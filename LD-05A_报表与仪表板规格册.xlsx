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说明" sheetId="1" state="visible" r:id="rId3"/>
    <sheet name="规格字段定义" sheetId="2" state="visible" r:id="rId4"/>
    <sheet name="报表规格（40）" sheetId="3" state="visible" r:id="rId5"/>
    <sheet name="仪表板规格（20）" sheetId="4" state="visible" r:id="rId6"/>
    <sheet name="清单调整" sheetId="5" state="visible" r:id="rId7"/>
    <sheet name="对齐登记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<sst xmlns="http://schemas.openxmlformats.org/spreadsheetml/2006/main" count="732" uniqueCount="429">
  <si>
    <r>
      <rPr>
        <b val="true"/>
        <sz val="12"/>
        <rFont val="Cambria"/>
        <family val="0"/>
        <charset val="1"/>
      </rPr>
      <t xml:space="preserve">LD-05A  </t>
    </r>
    <r>
      <rPr>
        <b val="true"/>
        <sz val="12"/>
        <rFont val="Noto Sans CJK SC"/>
        <family val="2"/>
      </rPr>
      <t xml:space="preserve">报表与仪表板规格册</t>
    </r>
  </si>
  <si>
    <t xml:space="preserve">本册的性质：样板与骨架，不是定稿。</t>
  </si>
  <si>
    <t xml:space="preserve">报表与仪表板的具体内容须在合同签订后与客户逐张对齐——RFP 1.6.2.9、1.6.2.20、1.6.2.28 与 1.6.2.30 均规定报表数量、类型、查询参数与图表类型「与 MOI 通过工作坊共同确定」。因此本册现阶段的作用是：定义每张报表的规格要填哪些字段、把已由设计确定的部分填上、并为逐张对齐提供登记表。</t>
  </si>
  <si>
    <t xml:space="preserve">未确定的格子留空，不填占位文字。空白代表「尚未与客户对齐」，是一条真实的状态信息；填上看似合理的内容会掩盖它。</t>
  </si>
  <si>
    <t xml:space="preserve">怎么用</t>
  </si>
  <si>
    <t xml:space="preserve">一、「规格字段定义」页说明每一列填什么、为什么需要它、以及填错的后果。开始对齐前先读这一页。</t>
  </si>
  <si>
    <t xml:space="preserve">二、「报表规格（40）」与「仪表板规格（20）」是主表。绿色底纹的行是已填满的样板，示范规格该写到什么颗粒度。</t>
  </si>
  <si>
    <t xml:space="preserve">三、每与客户对齐一张，在「对齐登记」页记一行，并把该行的「规格状态」改为「已对齐」。</t>
  </si>
  <si>
    <t xml:space="preserve">四、工作坊新增的报表从 R-41 起编号，仪表板从 D-21 起，以便区分基线与增补（沿用 HD-05 的编号规则）。</t>
  </si>
  <si>
    <t xml:space="preserve">样板选了哪几张，为什么</t>
  </si>
  <si>
    <r>
      <rPr>
        <sz val="9"/>
        <rFont val="Cambria"/>
        <family val="0"/>
        <charset val="1"/>
      </rPr>
      <t xml:space="preserve">R-01 </t>
    </r>
    <r>
      <rPr>
        <sz val="9"/>
        <rFont val="Noto Sans CJK SC"/>
        <family val="2"/>
      </rPr>
      <t xml:space="preserve">每日话务量汇总——最简单的一类，示范基本字段怎么填。</t>
    </r>
  </si>
  <si>
    <r>
      <rPr>
        <sz val="9"/>
        <rFont val="Cambria"/>
        <family val="0"/>
        <charset val="1"/>
      </rPr>
      <t xml:space="preserve">R-14 </t>
    </r>
    <r>
      <rPr>
        <sz val="9"/>
        <rFont val="Noto Sans CJK SC"/>
        <family val="2"/>
      </rPr>
      <t xml:space="preserve">平均响应时长——口径最容易出分歧的一张。</t>
    </r>
    <r>
      <rPr>
        <sz val="9"/>
        <rFont val="Cambria"/>
        <family val="0"/>
        <charset val="1"/>
      </rPr>
      <t xml:space="preserve">LD-03 </t>
    </r>
    <r>
      <rPr>
        <sz val="9"/>
        <rFont val="Noto Sans CJK SC"/>
        <family val="2"/>
      </rPr>
      <t xml:space="preserve">已把「平均到场时长」拆成三个定义，这张报表示范口径分歧如何在规格里写清楚，而不是留到验收时争论。</t>
    </r>
  </si>
  <si>
    <r>
      <rPr>
        <sz val="9"/>
        <rFont val="Cambria"/>
        <family val="0"/>
        <charset val="1"/>
      </rPr>
      <t xml:space="preserve">R-22 </t>
    </r>
    <r>
      <rPr>
        <sz val="9"/>
        <rFont val="Noto Sans CJK SC"/>
        <family val="2"/>
      </rPr>
      <t xml:space="preserve">班次覆盖与人力缺口分析——本轮决策改写了定义的一张，示范改写后的规格怎么写。</t>
    </r>
  </si>
  <si>
    <r>
      <rPr>
        <sz val="9"/>
        <rFont val="Cambria"/>
        <family val="0"/>
        <charset val="1"/>
      </rPr>
      <t xml:space="preserve">R-38 </t>
    </r>
    <r>
      <rPr>
        <sz val="9"/>
        <rFont val="Noto Sans CJK SC"/>
        <family val="2"/>
      </rPr>
      <t xml:space="preserve">数据质量与对账报表——数据来自 </t>
    </r>
    <r>
      <rPr>
        <sz val="9"/>
        <rFont val="Cambria"/>
        <family val="0"/>
        <charset val="1"/>
      </rPr>
      <t xml:space="preserve">meta </t>
    </r>
    <r>
      <rPr>
        <sz val="9"/>
        <rFont val="Noto Sans CJK SC"/>
        <family val="2"/>
      </rPr>
      <t xml:space="preserve">与 </t>
    </r>
    <r>
      <rPr>
        <sz val="9"/>
        <rFont val="Cambria"/>
        <family val="0"/>
        <charset val="1"/>
      </rPr>
      <t xml:space="preserve">audit </t>
    </r>
    <r>
      <rPr>
        <sz val="9"/>
        <rFont val="Noto Sans CJK SC"/>
        <family val="2"/>
      </rPr>
      <t xml:space="preserve">而非业务事实表，示范这一类的写法。</t>
    </r>
  </si>
  <si>
    <r>
      <rPr>
        <sz val="9"/>
        <rFont val="Cambria"/>
        <family val="0"/>
        <charset val="1"/>
      </rPr>
      <t xml:space="preserve">D-05 </t>
    </r>
    <r>
      <rPr>
        <sz val="9"/>
        <rFont val="Noto Sans CJK SC"/>
        <family val="2"/>
      </rPr>
      <t xml:space="preserve">当日运行概览——未封账数据的标注要求最吃紧的一个。</t>
    </r>
  </si>
  <si>
    <r>
      <rPr>
        <sz val="9"/>
        <rFont val="Cambria"/>
        <family val="0"/>
        <charset val="1"/>
      </rPr>
      <t xml:space="preserve">D-11 </t>
    </r>
    <r>
      <rPr>
        <sz val="9"/>
        <rFont val="Noto Sans CJK SC"/>
        <family val="2"/>
      </rPr>
      <t xml:space="preserve">热点与聚集区分析——涉及地图嵌入与降级行为。</t>
    </r>
  </si>
  <si>
    <t xml:space="preserve">本轮设计决策造成的清单调整</t>
  </si>
  <si>
    <t xml:space="preserve">见「清单调整」页。共六项，其中 R-32 的数据源整体不在本系统范围，需要一张替换报表才能维持四十张的下限。该替换尚未选定，在主表中保留 R-32 编号并标为「待替换」，不静默删除——删掉会让四十张变三十九张而没有人发现。</t>
  </si>
  <si>
    <t xml:space="preserve">规格进度（公式自动统计）</t>
  </si>
  <si>
    <t xml:space="preserve">报表总数</t>
  </si>
  <si>
    <t xml:space="preserve">报表 · 规格已填（样板）</t>
  </si>
  <si>
    <t xml:space="preserve">报表 · 待与客户对齐</t>
  </si>
  <si>
    <t xml:space="preserve">报表 · 待替换或待定</t>
  </si>
  <si>
    <t xml:space="preserve">仪表板总数</t>
  </si>
  <si>
    <t xml:space="preserve">仪表板 · 规格已填（样板）</t>
  </si>
  <si>
    <t xml:space="preserve">仪表板 · 待与客户对齐</t>
  </si>
  <si>
    <t xml:space="preserve">列</t>
  </si>
  <si>
    <t xml:space="preserve">字段</t>
  </si>
  <si>
    <t xml:space="preserve">填什么</t>
  </si>
  <si>
    <t xml:space="preserve">为什么需要它 · 填错的后果</t>
  </si>
  <si>
    <t xml:space="preserve">A</t>
  </si>
  <si>
    <t xml:space="preserve">编号</t>
  </si>
  <si>
    <r>
      <rPr>
        <sz val="9"/>
        <rFont val="Cambria"/>
        <family val="0"/>
        <charset val="1"/>
      </rPr>
      <t xml:space="preserve">R-xx </t>
    </r>
    <r>
      <rPr>
        <sz val="9"/>
        <rFont val="Noto Sans CJK SC"/>
        <family val="2"/>
      </rPr>
      <t xml:space="preserve">或 </t>
    </r>
    <r>
      <rPr>
        <sz val="9"/>
        <rFont val="Cambria"/>
        <family val="0"/>
        <charset val="1"/>
      </rPr>
      <t xml:space="preserve">D-xx</t>
    </r>
    <r>
      <rPr>
        <sz val="9"/>
        <rFont val="Noto Sans CJK SC"/>
        <family val="2"/>
      </rPr>
      <t xml:space="preserve">。一经分配不再变更。</t>
    </r>
  </si>
  <si>
    <t xml:space="preserve">编号是与客户对齐、变更登记、测试用例三处的共同锚点。改编号会让三处对不上。</t>
  </si>
  <si>
    <t xml:space="preserve">B</t>
  </si>
  <si>
    <t xml:space="preserve">主题域</t>
  </si>
  <si>
    <t xml:space="preserve">五个之一：接警话务、警情处置、资源与勤务、绩效与质量、系统运行。</t>
  </si>
  <si>
    <t xml:space="preserve">决定报表在门户目录中的位置，也决定谁会看到它。</t>
  </si>
  <si>
    <t xml:space="preserve">C</t>
  </si>
  <si>
    <t xml:space="preserve">报表名称</t>
  </si>
  <si>
    <t xml:space="preserve">中文名称，与客户确认后的用词为准。</t>
  </si>
  <si>
    <t xml:space="preserve">客户口中的叫法与我方的叫法不一致时，验收会出现「这张报表在哪」的争论。</t>
  </si>
  <si>
    <t xml:space="preserve">D</t>
  </si>
  <si>
    <t xml:space="preserve">英文名称</t>
  </si>
  <si>
    <t xml:space="preserve">英文名称。报表按语言各出一份（LD-05 3.5），两份各有其标题。</t>
  </si>
  <si>
    <t xml:space="preserve">不是中文名的直译，而是英文版报表的正式标题。</t>
  </si>
  <si>
    <t xml:space="preserve">E</t>
  </si>
  <si>
    <t xml:space="preserve">读者与用途</t>
  </si>
  <si>
    <t xml:space="preserve">谁看、用来做什么决定。一两句话。</t>
  </si>
  <si>
    <t xml:space="preserve">这一栏决定了后面所有栏的取舍。写不出用途的报表，通常是没有人真正需要它。</t>
  </si>
  <si>
    <t xml:space="preserve">F</t>
  </si>
  <si>
    <t xml:space="preserve">指标编码</t>
  </si>
  <si>
    <t xml:space="preserve">引用 metrics.yaml 中的编码，不写指标名称。</t>
  </si>
  <si>
    <t xml:space="preserve">编码是唯一事实来源。写名称会在口径变更时失去追溯——名称可以一样而定义已经变了。</t>
  </si>
  <si>
    <t xml:space="preserve">G</t>
  </si>
  <si>
    <t xml:space="preserve">维度</t>
  </si>
  <si>
    <t xml:space="preserve">可用于分组与下钻的维度。</t>
  </si>
  <si>
    <t xml:space="preserve">决定语义层是否接受该组合。粒度不匹配的组合由服务层拒绝（LD-04 3.1），不做静默降级。</t>
  </si>
  <si>
    <t xml:space="preserve">H</t>
  </si>
  <si>
    <t xml:space="preserve">参数（必填 · 可选 · 默认）</t>
  </si>
  <si>
    <t xml:space="preserve">分三类列出。默认值须按角色给出，使报表打开即有数据。</t>
  </si>
  <si>
    <t xml:space="preserve">默认值不得跨越权限边界——调度员的默认辖区是其本部门（LD-05 5.1）。</t>
  </si>
  <si>
    <t xml:space="preserve">I</t>
  </si>
  <si>
    <t xml:space="preserve">时间粒度</t>
  </si>
  <si>
    <t xml:space="preserve">日、周、月、季、年；话务类可到小时。</t>
  </si>
  <si>
    <t xml:space="preserve">与指标的 grain 必须一致，否则算出来的是另一个数。</t>
  </si>
  <si>
    <t xml:space="preserve">J</t>
  </si>
  <si>
    <t xml:space="preserve">数据新鲜度</t>
  </si>
  <si>
    <t xml:space="preserve">指示性 · 当日临时值 · 封账值 · 监控数据 · 审计数据。</t>
  </si>
  <si>
    <t xml:space="preserve">这是口径承诺不是技术细节。标为封账值的数字在重复运行时必须一致。</t>
  </si>
  <si>
    <t xml:space="preserve">K</t>
  </si>
  <si>
    <t xml:space="preserve">行级权限</t>
  </si>
  <si>
    <t xml:space="preserve">是否按部门过滤；接警员与管理员不受限。</t>
  </si>
  <si>
    <t xml:space="preserve">漏填等于默认不过滤。部门映射不上时拒绝放行而非静默返回空（LD-07 2.3）。</t>
  </si>
  <si>
    <t xml:space="preserve">L</t>
  </si>
  <si>
    <t xml:space="preserve">敏感字段</t>
  </si>
  <si>
    <t xml:space="preserve">本报表是否含报警人电话、精确位置、姓名等。</t>
  </si>
  <si>
    <t xml:space="preserve">决定字段级可见性矩阵的默认取值与脱敏规则，也决定这张报表能不能进培训环境。</t>
  </si>
  <si>
    <t xml:space="preserve">M</t>
  </si>
  <si>
    <t xml:space="preserve">图表与呈现</t>
  </si>
  <si>
    <t xml:space="preserve">图表类型与选择理由，或表格。</t>
  </si>
  <si>
    <r>
      <rPr>
        <sz val="9"/>
        <rFont val="Cambria"/>
        <family val="0"/>
        <charset val="1"/>
      </rPr>
      <t xml:space="preserve">RFP 1.6.2.30 </t>
    </r>
    <r>
      <rPr>
        <sz val="9"/>
        <rFont val="Noto Sans CJK SC"/>
        <family val="2"/>
      </rPr>
      <t xml:space="preserve">要求图表类型与 </t>
    </r>
    <r>
      <rPr>
        <sz val="9"/>
        <rFont val="Cambria"/>
        <family val="0"/>
        <charset val="1"/>
      </rPr>
      <t xml:space="preserve">MOI </t>
    </r>
    <r>
      <rPr>
        <sz val="9"/>
        <rFont val="Noto Sans CJK SC"/>
        <family val="2"/>
      </rPr>
      <t xml:space="preserve">共同确定。理由写下来，对齐时才谈得下去。</t>
    </r>
  </si>
  <si>
    <t xml:space="preserve">N</t>
  </si>
  <si>
    <t xml:space="preserve">版式（屏幕 · 打印）</t>
  </si>
  <si>
    <t xml:space="preserve">屏幕布局要点与打印纸张、方向、跨页规则。</t>
  </si>
  <si>
    <t xml:space="preserve">打印版式是独立的一套，不是屏幕版的缩放。表格跨页须重复表头。</t>
  </si>
  <si>
    <t xml:space="preserve">O</t>
  </si>
  <si>
    <t xml:space="preserve">导出与订阅</t>
  </si>
  <si>
    <t xml:space="preserve">支持的导出格式；是否可订阅、默认订阅周期。</t>
  </si>
  <si>
    <t xml:space="preserve">订阅按订阅者本人权限渲染（LD-04 5.3）。这一栏漏填会让订阅默认按配置者权限，属越权。</t>
  </si>
  <si>
    <t xml:space="preserve">P</t>
  </si>
  <si>
    <t xml:space="preserve">频率</t>
  </si>
  <si>
    <t xml:space="preserve">每日、每周、每月、按需。</t>
  </si>
  <si>
    <t xml:space="preserve">与订阅周期配合。频率高而计算重的报表须评估是否预聚合。</t>
  </si>
  <si>
    <t xml:space="preserve">Q</t>
  </si>
  <si>
    <t xml:space="preserve">对应 RFP</t>
  </si>
  <si>
    <t xml:space="preserve">条款号。</t>
  </si>
  <si>
    <t xml:space="preserve">追溯矩阵的输入。无条款对应的报表须说明来源，否则验收时无从主张它算在四十张内。</t>
  </si>
  <si>
    <t xml:space="preserve">R</t>
  </si>
  <si>
    <t xml:space="preserve">是否复刻现有</t>
  </si>
  <si>
    <t xml:space="preserve">是 / 否。</t>
  </si>
  <si>
    <t xml:space="preserve">对应 RFP 1.6.2.18 与 1.6.2.28。本册按「复刻项包含在四十张之内」编制，此解读待 MOI 确认（T-18）。</t>
  </si>
  <si>
    <t xml:space="preserve">S</t>
  </si>
  <si>
    <t xml:space="preserve">依赖未决</t>
  </si>
  <si>
    <t xml:space="preserve">依赖哪一条 IR 或 T 项；不依赖则留空。</t>
  </si>
  <si>
    <t xml:space="preserve">让「这张报表现在做不了」有据可查，而不是到实施期才发现缺数据源。</t>
  </si>
  <si>
    <t xml:space="preserve">T</t>
  </si>
  <si>
    <t xml:space="preserve">规格状态</t>
  </si>
  <si>
    <t xml:space="preserve">样板 · 待与客户对齐 · 已对齐 · 待替换 · 待客户确认数据源。</t>
  </si>
  <si>
    <t xml:space="preserve">说明页的统计公式按此列计数。状态值须用这五个词，不要自创。</t>
  </si>
  <si>
    <t xml:space="preserve">R-01</t>
  </si>
  <si>
    <t xml:space="preserve">接警话务</t>
  </si>
  <si>
    <t xml:space="preserve">每日话务量汇总</t>
  </si>
  <si>
    <t xml:space="preserve">Daily Call Volume Summary</t>
  </si>
  <si>
    <t xml:space="preserve">主管与中心管理层。掌握前一日话务总量与服务水平，是每日例会的第一张材料。</t>
  </si>
  <si>
    <t xml:space="preserve">M-C01 · M-C02 · M-C03 · M-C06 · M-C07</t>
  </si>
  <si>
    <t xml:space="preserve">dim_date · dim_site · dim_shift · dim_agent_group</t>
  </si>
  <si>
    <t xml:space="preserve">必填：日期或日期范围。可选：班次、坐席组。默认：昨日，全部班次。</t>
  </si>
  <si>
    <t xml:space="preserve">日（可按班次拆分）</t>
  </si>
  <si>
    <t xml:space="preserve">封账值</t>
  </si>
  <si>
    <t xml:space="preserve">不过滤。话务不分部门，接警员接所有来电。</t>
  </si>
  <si>
    <t xml:space="preserve">无。汇总层，不含主叫号码。</t>
  </si>
  <si>
    <t xml:space="preserve">主表为数值表；呼入/应答/放弃三项另出一张堆叠柱图。不用饼图——三项之和不构成整体，放弃量是呼入的子集。</t>
  </si>
  <si>
    <t xml:space="preserve">屏幕：单屏表格加一图，不分页。打印：A4 横向，表格跨页重复表头。</t>
  </si>
  <si>
    <r>
      <rPr>
        <sz val="9"/>
        <rFont val="Cambria"/>
        <family val="0"/>
        <charset val="1"/>
      </rPr>
      <t xml:space="preserve">PDF · Excel</t>
    </r>
    <r>
      <rPr>
        <sz val="9"/>
        <rFont val="Noto Sans CJK SC"/>
        <family val="2"/>
      </rPr>
      <t xml:space="preserve">。可订阅，默认每日 </t>
    </r>
    <r>
      <rPr>
        <sz val="9"/>
        <rFont val="Cambria"/>
        <family val="0"/>
        <charset val="1"/>
      </rPr>
      <t xml:space="preserve">08:00</t>
    </r>
    <r>
      <rPr>
        <sz val="9"/>
        <rFont val="Noto Sans CJK SC"/>
        <family val="2"/>
      </rPr>
      <t xml:space="preserve">。</t>
    </r>
  </si>
  <si>
    <t xml:space="preserve">每日</t>
  </si>
  <si>
    <t xml:space="preserve">1.6.2.25</t>
  </si>
  <si>
    <t xml:space="preserve">是</t>
  </si>
  <si>
    <t xml:space="preserve">样板</t>
  </si>
  <si>
    <t xml:space="preserve">R-02</t>
  </si>
  <si>
    <t xml:space="preserve">分时段话务分布</t>
  </si>
  <si>
    <t xml:space="preserve">按需</t>
  </si>
  <si>
    <t xml:space="preserve">待与客户对齐</t>
  </si>
  <si>
    <t xml:space="preserve">R-03</t>
  </si>
  <si>
    <t xml:space="preserve">应答前振铃次数分布</t>
  </si>
  <si>
    <t xml:space="preserve">1.6.2.20.1</t>
  </si>
  <si>
    <t xml:space="preserve">否</t>
  </si>
  <si>
    <r>
      <rPr>
        <sz val="9"/>
        <rFont val="Cambria"/>
        <family val="0"/>
        <charset val="1"/>
      </rPr>
      <t xml:space="preserve">IR-11</t>
    </r>
    <r>
      <rPr>
        <sz val="9"/>
        <rFont val="Noto Sans CJK SC"/>
        <family val="2"/>
      </rPr>
      <t xml:space="preserve">（</t>
    </r>
    <r>
      <rPr>
        <sz val="9"/>
        <rFont val="Cambria"/>
        <family val="0"/>
        <charset val="1"/>
      </rPr>
      <t xml:space="preserve">ICP </t>
    </r>
    <r>
      <rPr>
        <sz val="9"/>
        <rFont val="Noto Sans CJK SC"/>
        <family val="2"/>
      </rPr>
      <t xml:space="preserve">是否提供振铃明细）</t>
    </r>
  </si>
  <si>
    <t xml:space="preserve">待客户确认数据源</t>
  </si>
  <si>
    <t xml:space="preserve">R-04</t>
  </si>
  <si>
    <t xml:space="preserve">坐席呼叫呈现与处理对比</t>
  </si>
  <si>
    <t xml:space="preserve">1.6.2.20.2</t>
  </si>
  <si>
    <t xml:space="preserve">IR-11</t>
  </si>
  <si>
    <t xml:space="preserve">R-05</t>
  </si>
  <si>
    <t xml:space="preserve">挂断方分析</t>
  </si>
  <si>
    <t xml:space="preserve">每周</t>
  </si>
  <si>
    <t xml:space="preserve">1.6.2.20.3</t>
  </si>
  <si>
    <t xml:space="preserve">R-06</t>
  </si>
  <si>
    <t xml:space="preserve">同一主叫失败呼叫历史</t>
  </si>
  <si>
    <t xml:space="preserve">1.6.2.20.4</t>
  </si>
  <si>
    <r>
      <rPr>
        <sz val="9"/>
        <rFont val="Cambria"/>
        <family val="0"/>
        <charset val="1"/>
      </rPr>
      <t xml:space="preserve">IR-11</t>
    </r>
    <r>
      <rPr>
        <sz val="9"/>
        <rFont val="Noto Sans CJK SC"/>
        <family val="2"/>
      </rPr>
      <t xml:space="preserve">；含主叫号码，属敏感字段</t>
    </r>
  </si>
  <si>
    <t xml:space="preserve">R-07</t>
  </si>
  <si>
    <t xml:space="preserve">未接转接与骚扰呼叫统计</t>
  </si>
  <si>
    <t xml:space="preserve">1.6.2.20.5</t>
  </si>
  <si>
    <t xml:space="preserve">R-08</t>
  </si>
  <si>
    <t xml:space="preserve">放弃呼叫分析</t>
  </si>
  <si>
    <t xml:space="preserve">R-09</t>
  </si>
  <si>
    <t xml:space="preserve">话务服务水平达成</t>
  </si>
  <si>
    <t xml:space="preserve">1.5.2.8</t>
  </si>
  <si>
    <t xml:space="preserve">R-10</t>
  </si>
  <si>
    <t xml:space="preserve">重复来电与多人报警识别</t>
  </si>
  <si>
    <t xml:space="preserve">含主叫号码，属敏感字段</t>
  </si>
  <si>
    <t xml:space="preserve">R-11</t>
  </si>
  <si>
    <t xml:space="preserve">警情处置</t>
  </si>
  <si>
    <t xml:space="preserve">每日警情量与分类汇总</t>
  </si>
  <si>
    <t xml:space="preserve">1.6.2.16.1</t>
  </si>
  <si>
    <t xml:space="preserve">R-12</t>
  </si>
  <si>
    <t xml:space="preserve">警情按地点与时间分布</t>
  </si>
  <si>
    <t xml:space="preserve">1.6.2.16.2</t>
  </si>
  <si>
    <t xml:space="preserve">R-13</t>
  </si>
  <si>
    <t xml:space="preserve">平均处置时长</t>
  </si>
  <si>
    <t xml:space="preserve">1.6.2.16.3</t>
  </si>
  <si>
    <t xml:space="preserve">口径按 LD-03：均值、中位、P90 三个指标</t>
  </si>
  <si>
    <t xml:space="preserve">R-14</t>
  </si>
  <si>
    <t xml:space="preserve">平均响应时长</t>
  </si>
  <si>
    <t xml:space="preserve">Average Response Time</t>
  </si>
  <si>
    <t xml:space="preserve">主管与处置单位负责人。评估从受理到首个警力到场的耗时。</t>
  </si>
  <si>
    <r>
      <rPr>
        <sz val="9"/>
        <rFont val="Cambria"/>
        <family val="0"/>
        <charset val="1"/>
      </rPr>
      <t xml:space="preserve">M-I21</t>
    </r>
    <r>
      <rPr>
        <sz val="9"/>
        <rFont val="Noto Sans CJK SC"/>
        <family val="2"/>
      </rPr>
      <t xml:space="preserve">（首个到场时长，按接警单）</t>
    </r>
    <r>
      <rPr>
        <sz val="9"/>
        <rFont val="Cambria"/>
        <family val="0"/>
        <charset val="1"/>
      </rPr>
      <t xml:space="preserve">· M-I20</t>
    </r>
    <r>
      <rPr>
        <sz val="9"/>
        <rFont val="Noto Sans CJK SC"/>
        <family val="2"/>
      </rPr>
      <t xml:space="preserve">（警种到场时长，按派警单）</t>
    </r>
  </si>
  <si>
    <t xml:space="preserve">dim_date · dim_site · dim_incident_type · dim_sector · dim_agency_type</t>
  </si>
  <si>
    <t xml:space="preserve">必填：日期范围。可选：警情类型、辖区、警种。默认：上月，全部类型。</t>
  </si>
  <si>
    <t xml:space="preserve">日 · 周 · 月</t>
  </si>
  <si>
    <t xml:space="preserve">按派驻部门过滤（调度员与主管）。管理员不受限。</t>
  </si>
  <si>
    <t xml:space="preserve">无。汇总层。</t>
  </si>
  <si>
    <t xml:space="preserve">分布图加箱线图，不只给一个均值。多警种警情按警种分列。</t>
  </si>
  <si>
    <t xml:space="preserve">屏幕：上方为趋势，下方为分布。打印：A4 横向。</t>
  </si>
  <si>
    <r>
      <rPr>
        <sz val="9"/>
        <rFont val="Cambria"/>
        <family val="0"/>
        <charset val="1"/>
      </rPr>
      <t xml:space="preserve">PDF · Excel</t>
    </r>
    <r>
      <rPr>
        <sz val="9"/>
        <rFont val="Noto Sans CJK SC"/>
        <family val="2"/>
      </rPr>
      <t xml:space="preserve">。可订阅，默认每月 </t>
    </r>
    <r>
      <rPr>
        <sz val="9"/>
        <rFont val="Cambria"/>
        <family val="0"/>
        <charset val="1"/>
      </rPr>
      <t xml:space="preserve">1 </t>
    </r>
    <r>
      <rPr>
        <sz val="9"/>
        <rFont val="Noto Sans CJK SC"/>
        <family val="2"/>
      </rPr>
      <t xml:space="preserve">日。</t>
    </r>
  </si>
  <si>
    <t xml:space="preserve">1.6.2.16.4</t>
  </si>
  <si>
    <t xml:space="preserve">R-15</t>
  </si>
  <si>
    <t xml:space="preserve">警情全过程时长分解</t>
  </si>
  <si>
    <t xml:space="preserve">R-16</t>
  </si>
  <si>
    <t xml:space="preserve">派单及时性与超时清单</t>
  </si>
  <si>
    <t xml:space="preserve">R-17</t>
  </si>
  <si>
    <t xml:space="preserve">按严重程度与优先级分析</t>
  </si>
  <si>
    <t xml:space="preserve">R-18</t>
  </si>
  <si>
    <t xml:space="preserve">警情结案与撤案分析</t>
  </si>
  <si>
    <t xml:space="preserve">每月</t>
  </si>
  <si>
    <t xml:space="preserve">结案类按关闭日归日（LD-03 3.2）</t>
  </si>
  <si>
    <t xml:space="preserve">R-19</t>
  </si>
  <si>
    <t xml:space="preserve">跨部门协同警情分析</t>
  </si>
  <si>
    <t xml:space="preserve">R-20</t>
  </si>
  <si>
    <t xml:space="preserve">现场媒体附件统计</t>
  </si>
  <si>
    <t xml:space="preserve">1.6.5.7.4</t>
  </si>
  <si>
    <r>
      <rPr>
        <sz val="9"/>
        <rFont val="Cambria"/>
        <family val="0"/>
        <charset val="1"/>
      </rPr>
      <t xml:space="preserve">T-09</t>
    </r>
    <r>
      <rPr>
        <sz val="9"/>
        <rFont val="Noto Sans CJK SC"/>
        <family val="2"/>
      </rPr>
      <t xml:space="preserve">（媒体容量估算的输入）</t>
    </r>
  </si>
  <si>
    <t xml:space="preserve">R-21</t>
  </si>
  <si>
    <t xml:space="preserve">资源与勤务</t>
  </si>
  <si>
    <t xml:space="preserve">坐席在岗与工时统计</t>
  </si>
  <si>
    <t xml:space="preserve">R-22</t>
  </si>
  <si>
    <t xml:space="preserve">班次覆盖与人力缺口分析</t>
  </si>
  <si>
    <t xml:space="preserve">Shift Coverage and Staffing Gap Analysis</t>
  </si>
  <si>
    <t xml:space="preserve">班长与主管。识别实际在岗人力不足以支撑话务负载的时段。</t>
  </si>
  <si>
    <r>
      <rPr>
        <sz val="9"/>
        <rFont val="Cambria"/>
        <family val="0"/>
        <charset val="1"/>
      </rPr>
      <t xml:space="preserve">M-R01</t>
    </r>
    <r>
      <rPr>
        <sz val="9"/>
        <rFont val="Noto Sans CJK SC"/>
        <family val="2"/>
      </rPr>
      <t xml:space="preserve">（在岗坐席数）</t>
    </r>
    <r>
      <rPr>
        <sz val="9"/>
        <rFont val="Cambria"/>
        <family val="0"/>
        <charset val="1"/>
      </rPr>
      <t xml:space="preserve">· M-R02</t>
    </r>
    <r>
      <rPr>
        <sz val="9"/>
        <rFont val="Noto Sans CJK SC"/>
        <family val="2"/>
      </rPr>
      <t xml:space="preserve">（在岗时长）</t>
    </r>
    <r>
      <rPr>
        <sz val="9"/>
        <rFont val="Cambria"/>
        <family val="0"/>
        <charset val="1"/>
      </rPr>
      <t xml:space="preserve">· M-C01</t>
    </r>
    <r>
      <rPr>
        <sz val="9"/>
        <rFont val="Noto Sans CJK SC"/>
        <family val="2"/>
      </rPr>
      <t xml:space="preserve">（呼入量，作为负载基准）</t>
    </r>
  </si>
  <si>
    <t xml:space="preserve">必填：日期范围。可选：班次、坐席组。默认：上周，全部班次。</t>
  </si>
  <si>
    <t xml:space="preserve">小时（在班次窗口内）</t>
  </si>
  <si>
    <t xml:space="preserve">不过滤（话务口径）。</t>
  </si>
  <si>
    <t xml:space="preserve">无。人员层面只到班组，不到个人。</t>
  </si>
  <si>
    <t xml:space="preserve">双轴折线：实际在岗人数曲线叠加同时段呼入量曲线。覆盖不足时段以底纹标出。</t>
  </si>
  <si>
    <t xml:space="preserve">屏幕：按班次分区段。打印：A4 横向，每班次一段。</t>
  </si>
  <si>
    <r>
      <rPr>
        <sz val="9"/>
        <rFont val="Cambria"/>
        <family val="0"/>
        <charset val="1"/>
      </rPr>
      <t xml:space="preserve">PDF · Excel</t>
    </r>
    <r>
      <rPr>
        <sz val="9"/>
        <rFont val="Noto Sans CJK SC"/>
        <family val="2"/>
      </rPr>
      <t xml:space="preserve">。可订阅，默认每周一。</t>
    </r>
  </si>
  <si>
    <t xml:space="preserve">R-23</t>
  </si>
  <si>
    <t xml:space="preserve">朝觐期与时段对比分析</t>
  </si>
  <si>
    <t xml:space="preserve">原为「勤务级别对比」。勤务级别客户未使用（DD-54），改按 is_hajj_season 与时段分组</t>
  </si>
  <si>
    <t xml:space="preserve">R-24</t>
  </si>
  <si>
    <t xml:space="preserve">处置单位出动与负荷分析</t>
  </si>
  <si>
    <t xml:space="preserve">R-25</t>
  </si>
  <si>
    <t xml:space="preserve">资源可用性统计</t>
  </si>
  <si>
    <t xml:space="preserve">1.6.3.1</t>
  </si>
  <si>
    <r>
      <rPr>
        <sz val="9"/>
        <rFont val="Cambria"/>
        <family val="0"/>
        <charset val="1"/>
      </rPr>
      <t xml:space="preserve">IR-41</t>
    </r>
    <r>
      <rPr>
        <sz val="9"/>
        <rFont val="Noto Sans CJK SC"/>
        <family val="2"/>
      </rPr>
      <t xml:space="preserve">（资源若仅有派单快照则 </t>
    </r>
    <r>
      <rPr>
        <sz val="9"/>
        <rFont val="Cambria"/>
        <family val="0"/>
        <charset val="1"/>
      </rPr>
      <t xml:space="preserve">M-R06 </t>
    </r>
    <r>
      <rPr>
        <sz val="9"/>
        <rFont val="Noto Sans CJK SC"/>
        <family val="2"/>
      </rPr>
      <t xml:space="preserve">无法计算）</t>
    </r>
  </si>
  <si>
    <t xml:space="preserve">R-26</t>
  </si>
  <si>
    <t xml:space="preserve">坐席状态时长分解</t>
  </si>
  <si>
    <t xml:space="preserve">封账值（精度受 IR-11 影响）</t>
  </si>
  <si>
    <t xml:space="preserve">R-27</t>
  </si>
  <si>
    <t xml:space="preserve">加班与超时工作统计</t>
  </si>
  <si>
    <t xml:space="preserve">在岗区间由 fact_agent_state 推算，非排班计划（DD-53）</t>
  </si>
  <si>
    <t xml:space="preserve">R-28</t>
  </si>
  <si>
    <t xml:space="preserve">绩效与质量</t>
  </si>
  <si>
    <t xml:space="preserve">坐席个人绩效报表</t>
  </si>
  <si>
    <t xml:space="preserve">1.6.2.27.3</t>
  </si>
  <si>
    <t xml:space="preserve">已删除「质检得分」——质检属 IRMS，不在本系统范围（DD-55）</t>
  </si>
  <si>
    <t xml:space="preserve">R-29</t>
  </si>
  <si>
    <t xml:space="preserve">班组绩效对比</t>
  </si>
  <si>
    <t xml:space="preserve">R-30</t>
  </si>
  <si>
    <t xml:space="preserve">服务水平合规月报</t>
  </si>
  <si>
    <t xml:space="preserve">举证数据取自 audit.sla_daily（DD-45）</t>
  </si>
  <si>
    <t xml:space="preserve">R-31</t>
  </si>
  <si>
    <t xml:space="preserve">客户反馈与满意度报表</t>
  </si>
  <si>
    <t xml:space="preserve">1.6.2.17</t>
  </si>
  <si>
    <r>
      <rPr>
        <sz val="9"/>
        <rFont val="Cambria"/>
        <family val="0"/>
        <charset val="1"/>
      </rPr>
      <t xml:space="preserve">T-22</t>
    </r>
    <r>
      <rPr>
        <sz val="9"/>
        <rFont val="Noto Sans CJK SC"/>
        <family val="2"/>
      </rPr>
      <t xml:space="preserve">（反馈的采集方与形态未确认）</t>
    </r>
  </si>
  <si>
    <t xml:space="preserve">R-32</t>
  </si>
  <si>
    <t xml:space="preserve">（待替换）原：质检与复核结果报表</t>
  </si>
  <si>
    <t xml:space="preserve">原报表的数据源整体不在本系统范围——复核与质检属 IRMS（RFP 2.3.9.7 · DD-55）。保留编号并标为待替换，不静默删除：删掉会让四十张变三十九张而没有人发现。替换方案见「清单调整」页。</t>
  </si>
  <si>
    <r>
      <rPr>
        <sz val="9"/>
        <rFont val="Cambria"/>
        <family val="0"/>
        <charset val="1"/>
      </rPr>
      <t xml:space="preserve">DD-55</t>
    </r>
    <r>
      <rPr>
        <sz val="9"/>
        <rFont val="Noto Sans CJK SC"/>
        <family val="2"/>
      </rPr>
      <t xml:space="preserve">；替换报表待选定</t>
    </r>
  </si>
  <si>
    <t xml:space="preserve">待替换</t>
  </si>
  <si>
    <t xml:space="preserve">R-33</t>
  </si>
  <si>
    <t xml:space="preserve">异常事件与投诉分析</t>
  </si>
  <si>
    <t xml:space="preserve">R-34</t>
  </si>
  <si>
    <t xml:space="preserve">绩效趋势与同比环比</t>
  </si>
  <si>
    <t xml:space="preserve">1.6.2.22.1</t>
  </si>
  <si>
    <t xml:space="preserve">跨编码体系边界时分段呈现，不做跨期合并（DD-59）</t>
  </si>
  <si>
    <t xml:space="preserve">R-35</t>
  </si>
  <si>
    <t xml:space="preserve">系统运行</t>
  </si>
  <si>
    <t xml:space="preserve">系统可用性日报与月报</t>
  </si>
  <si>
    <t xml:space="preserve">监控数据</t>
  </si>
  <si>
    <t xml:space="preserve">每日与每月</t>
  </si>
  <si>
    <t xml:space="preserve">1.6.6.1 · 1.5.2.9</t>
  </si>
  <si>
    <t xml:space="preserve">R-36</t>
  </si>
  <si>
    <r>
      <rPr>
        <sz val="9"/>
        <rFont val="Cambria"/>
        <family val="0"/>
        <charset val="1"/>
      </rPr>
      <t xml:space="preserve">MTTR </t>
    </r>
    <r>
      <rPr>
        <sz val="9"/>
        <rFont val="Noto Sans CJK SC"/>
        <family val="2"/>
      </rPr>
      <t xml:space="preserve">与 </t>
    </r>
    <r>
      <rPr>
        <sz val="9"/>
        <rFont val="Cambria"/>
        <family val="0"/>
        <charset val="1"/>
      </rPr>
      <t xml:space="preserve">MTBF </t>
    </r>
    <r>
      <rPr>
        <sz val="9"/>
        <rFont val="Noto Sans CJK SC"/>
        <family val="2"/>
      </rPr>
      <t xml:space="preserve">报表</t>
    </r>
  </si>
  <si>
    <t xml:space="preserve">1.5.1.6.4</t>
  </si>
  <si>
    <t xml:space="preserve">R-37</t>
  </si>
  <si>
    <t xml:space="preserve">容量利用率报表</t>
  </si>
  <si>
    <t xml:space="preserve">1.5.1.6.4 · 1.6.2.6</t>
  </si>
  <si>
    <t xml:space="preserve">R-38</t>
  </si>
  <si>
    <t xml:space="preserve">数据质量与对账报表</t>
  </si>
  <si>
    <t xml:space="preserve">Data Quality and Reconciliation Report</t>
  </si>
  <si>
    <t xml:space="preserve">管理员与数据治理角色。每日判断前一日数据是否可信、可否用于对外汇报。</t>
  </si>
  <si>
    <r>
      <rPr>
        <sz val="9"/>
        <rFont val="Cambria"/>
        <family val="0"/>
        <charset val="1"/>
      </rPr>
      <t xml:space="preserve">M-S07</t>
    </r>
    <r>
      <rPr>
        <sz val="9"/>
        <rFont val="Noto Sans CJK SC"/>
        <family val="2"/>
      </rPr>
      <t xml:space="preserve">（拉取成功率）</t>
    </r>
    <r>
      <rPr>
        <sz val="9"/>
        <rFont val="Cambria"/>
        <family val="0"/>
        <charset val="1"/>
      </rPr>
      <t xml:space="preserve">· M-S08</t>
    </r>
    <r>
      <rPr>
        <sz val="9"/>
        <rFont val="Noto Sans CJK SC"/>
        <family val="2"/>
      </rPr>
      <t xml:space="preserve">（隔离批次数）</t>
    </r>
    <r>
      <rPr>
        <sz val="9"/>
        <rFont val="Cambria"/>
        <family val="0"/>
        <charset val="1"/>
      </rPr>
      <t xml:space="preserve">· M-S09</t>
    </r>
    <r>
      <rPr>
        <sz val="9"/>
        <rFont val="Noto Sans CJK SC"/>
        <family val="2"/>
      </rPr>
      <t xml:space="preserve">（未映射值占比）</t>
    </r>
    <r>
      <rPr>
        <sz val="9"/>
        <rFont val="Cambria"/>
        <family val="0"/>
        <charset val="1"/>
      </rPr>
      <t xml:space="preserve">· M-S10</t>
    </r>
    <r>
      <rPr>
        <sz val="9"/>
        <rFont val="Noto Sans CJK SC"/>
        <family val="2"/>
      </rPr>
      <t xml:space="preserve">（对账差异率）</t>
    </r>
  </si>
  <si>
    <r>
      <rPr>
        <sz val="9"/>
        <rFont val="Cambria"/>
        <family val="0"/>
        <charset val="1"/>
      </rPr>
      <t xml:space="preserve">dim_date · </t>
    </r>
    <r>
      <rPr>
        <sz val="9"/>
        <rFont val="Noto Sans CJK SC"/>
        <family val="2"/>
      </rPr>
      <t xml:space="preserve">数据源（</t>
    </r>
    <r>
      <rPr>
        <sz val="9"/>
        <rFont val="Cambria"/>
        <family val="0"/>
        <charset val="1"/>
      </rPr>
      <t xml:space="preserve">meta.source_contract.source_id</t>
    </r>
    <r>
      <rPr>
        <sz val="9"/>
        <rFont val="Noto Sans CJK SC"/>
        <family val="2"/>
      </rPr>
      <t xml:space="preserve">）</t>
    </r>
  </si>
  <si>
    <t xml:space="preserve">必填：日期范围。可选：数据源。默认：昨日，全部数据源。</t>
  </si>
  <si>
    <t xml:space="preserve">日</t>
  </si>
  <si>
    <t xml:space="preserve">封账值（数据来自 meta 与 audit，非业务事实表）</t>
  </si>
  <si>
    <t xml:space="preserve">不过滤。管理员与数据治理角色专用。</t>
  </si>
  <si>
    <t xml:space="preserve">无业务敏感字段。但含源系统结构信息，不对业务角色开放。</t>
  </si>
  <si>
    <t xml:space="preserve">表格为主。对账差异另出趋势线——持续存在的小差异通常意味着一条稳定的错误规则（LD-01 8.4）。</t>
  </si>
  <si>
    <t xml:space="preserve">屏幕：单屏表格。打印：A4 纵向。</t>
  </si>
  <si>
    <r>
      <rPr>
        <sz val="9"/>
        <rFont val="Cambria"/>
        <family val="0"/>
        <charset val="1"/>
      </rPr>
      <t xml:space="preserve">PDF · Excel</t>
    </r>
    <r>
      <rPr>
        <sz val="9"/>
        <rFont val="Noto Sans CJK SC"/>
        <family val="2"/>
      </rPr>
      <t xml:space="preserve">。可订阅，默认每日 </t>
    </r>
    <r>
      <rPr>
        <sz val="9"/>
        <rFont val="Cambria"/>
        <family val="0"/>
        <charset val="1"/>
      </rPr>
      <t xml:space="preserve">07:00</t>
    </r>
    <r>
      <rPr>
        <sz val="9"/>
        <rFont val="Noto Sans CJK SC"/>
        <family val="2"/>
      </rPr>
      <t xml:space="preserve">。</t>
    </r>
  </si>
  <si>
    <t xml:space="preserve">2.7.9.3</t>
  </si>
  <si>
    <t xml:space="preserve">R-39</t>
  </si>
  <si>
    <t xml:space="preserve">接口延迟与数据新鲜度报表</t>
  </si>
  <si>
    <t xml:space="preserve">R-40</t>
  </si>
  <si>
    <t xml:space="preserve">审计与访问统计报表</t>
  </si>
  <si>
    <t xml:space="preserve">审计数据</t>
  </si>
  <si>
    <t xml:space="preserve">2.7.9.2</t>
  </si>
  <si>
    <t xml:space="preserve">仪表板名称</t>
  </si>
  <si>
    <t xml:space="preserve">面板构成</t>
  </si>
  <si>
    <t xml:space="preserve">维度与下钻</t>
  </si>
  <si>
    <t xml:space="preserve">刷新方式</t>
  </si>
  <si>
    <t xml:space="preserve">权威性标注</t>
  </si>
  <si>
    <t xml:space="preserve">地图依赖</t>
  </si>
  <si>
    <t xml:space="preserve">降级行为</t>
  </si>
  <si>
    <t xml:space="preserve">版式（桌面 · 大屏 · 移动）</t>
  </si>
  <si>
    <t xml:space="preserve">交互</t>
  </si>
  <si>
    <t xml:space="preserve">D-01</t>
  </si>
  <si>
    <t xml:space="preserve">实时共同作战图</t>
  </si>
  <si>
    <t xml:space="preserve">实时 2-10 秒</t>
  </si>
  <si>
    <t xml:space="preserve">指示性</t>
  </si>
  <si>
    <t xml:space="preserve">1.6.2.27.1</t>
  </si>
  <si>
    <r>
      <rPr>
        <sz val="9"/>
        <rFont val="Cambria"/>
        <family val="0"/>
        <charset val="1"/>
      </rPr>
      <t xml:space="preserve">T-16</t>
    </r>
    <r>
      <rPr>
        <sz val="9"/>
        <rFont val="Noto Sans CJK SC"/>
        <family val="2"/>
      </rPr>
      <t xml:space="preserve">（</t>
    </r>
    <r>
      <rPr>
        <sz val="9"/>
        <rFont val="Cambria"/>
        <family val="0"/>
        <charset val="1"/>
      </rPr>
      <t xml:space="preserve">POC </t>
    </r>
    <r>
      <rPr>
        <sz val="9"/>
        <rFont val="Noto Sans CJK SC"/>
        <family val="2"/>
      </rPr>
      <t xml:space="preserve">元素逐项核对是否有真实数据源）</t>
    </r>
  </si>
  <si>
    <t xml:space="preserve">D-02</t>
  </si>
  <si>
    <t xml:space="preserve">实时话务态势</t>
  </si>
  <si>
    <t xml:space="preserve">D-03</t>
  </si>
  <si>
    <t xml:space="preserve">实时警情态势</t>
  </si>
  <si>
    <t xml:space="preserve">D-04</t>
  </si>
  <si>
    <t xml:space="preserve">实时资源与出动态势</t>
  </si>
  <si>
    <r>
      <rPr>
        <sz val="9"/>
        <rFont val="Cambria"/>
        <family val="0"/>
        <charset val="1"/>
      </rPr>
      <t xml:space="preserve">IR-41</t>
    </r>
    <r>
      <rPr>
        <sz val="9"/>
        <rFont val="Noto Sans CJK SC"/>
        <family val="2"/>
      </rPr>
      <t xml:space="preserve">（资源若仅有派单快照则态势不可算）</t>
    </r>
  </si>
  <si>
    <t xml:space="preserve">D-05</t>
  </si>
  <si>
    <t xml:space="preserve">当日运行概览</t>
  </si>
  <si>
    <t xml:space="preserve">Today at a Glance</t>
  </si>
  <si>
    <t xml:space="preserve">主管与中心管理层。掌握当日截至此刻的累计情况。这是全系统最容易被误用的一个看板——数字会变。</t>
  </si>
  <si>
    <t xml:space="preserve">四个指标卡（当日呼入、当日警情、平均响应、SLA 达成）加一条当日逐小时趋势。</t>
  </si>
  <si>
    <t xml:space="preserve">M-C01 · M-I01 · M-I21 · M-C05</t>
  </si>
  <si>
    <r>
      <rPr>
        <sz val="9"/>
        <rFont val="Cambria"/>
        <family val="0"/>
        <charset val="1"/>
      </rPr>
      <t xml:space="preserve">dim_date</t>
    </r>
    <r>
      <rPr>
        <sz val="9"/>
        <rFont val="Noto Sans CJK SC"/>
        <family val="2"/>
      </rPr>
      <t xml:space="preserve">（当日）</t>
    </r>
    <r>
      <rPr>
        <sz val="9"/>
        <rFont val="Cambria"/>
        <family val="0"/>
        <charset val="1"/>
      </rPr>
      <t xml:space="preserve">· dim_site · dim_shift</t>
    </r>
    <r>
      <rPr>
        <sz val="9"/>
        <rFont val="Noto Sans CJK SC"/>
        <family val="2"/>
      </rPr>
      <t xml:space="preserve">。不提供记录级下钻。</t>
    </r>
  </si>
  <si>
    <t xml:space="preserve">准实时约 1 分钟</t>
  </si>
  <si>
    <t xml:space="preserve">当日临时值（未封账）</t>
  </si>
  <si>
    <t xml:space="preserve">按派驻部门过滤（调度员与主管）。</t>
  </si>
  <si>
    <t xml:space="preserve">无</t>
  </si>
  <si>
    <t xml:space="preserve">准实时聚合延迟超阈值时，显示最后成功计算的时点而非停在旧数字上（LD-05 4.1 同理）。</t>
  </si>
  <si>
    <t xml:space="preserve">桌面：四卡一行加趋势图。大屏：不单独上墙，并入 D-01。移动：四卡两行，趋势图折叠。</t>
  </si>
  <si>
    <t xml:space="preserve">可切换班次；不可下钻到记录。</t>
  </si>
  <si>
    <t xml:space="preserve">1.6.2.4.1</t>
  </si>
  <si>
    <t xml:space="preserve">D-06</t>
  </si>
  <si>
    <t xml:space="preserve">话务性能趋势</t>
  </si>
  <si>
    <t xml:space="preserve">准实时与封账值</t>
  </si>
  <si>
    <t xml:space="preserve">混合，分区标注</t>
  </si>
  <si>
    <t xml:space="preserve">1.6.2.27.2</t>
  </si>
  <si>
    <t xml:space="preserve">D-07</t>
  </si>
  <si>
    <t xml:space="preserve">警情流量均值峰值瞬时</t>
  </si>
  <si>
    <t xml:space="preserve">D-08</t>
  </si>
  <si>
    <t xml:space="preserve">按班次坐席绩效</t>
  </si>
  <si>
    <t xml:space="preserve">已删除「质检得分」（DD-55）。班次为派生时间带（DD-53）</t>
  </si>
  <si>
    <t xml:space="preserve">D-09</t>
  </si>
  <si>
    <t xml:space="preserve">坐席状态实时看板</t>
  </si>
  <si>
    <t xml:space="preserve">D-10</t>
  </si>
  <si>
    <t xml:space="preserve">服务水平达成看板</t>
  </si>
  <si>
    <t xml:space="preserve">准实时与监控数据</t>
  </si>
  <si>
    <t xml:space="preserve">D-11</t>
  </si>
  <si>
    <t xml:space="preserve">热点与聚集区分析</t>
  </si>
  <si>
    <t xml:space="preserve">Hotspot and Cluster Analysis</t>
  </si>
  <si>
    <t xml:space="preserve">主管与指挥层。识别警情的空间聚集，支撑警力布置。</t>
  </si>
  <si>
    <t xml:space="preserve">地图热力面板 · 网格排名表 · 时段分布图。</t>
  </si>
  <si>
    <r>
      <rPr>
        <sz val="9"/>
        <rFont val="Cambria"/>
        <family val="0"/>
        <charset val="1"/>
      </rPr>
      <t xml:space="preserve">M-I13</t>
    </r>
    <r>
      <rPr>
        <sz val="9"/>
        <rFont val="Noto Sans CJK SC"/>
        <family val="2"/>
      </rPr>
      <t xml:space="preserve">（热点强度）</t>
    </r>
    <r>
      <rPr>
        <sz val="9"/>
        <rFont val="Cambria"/>
        <family val="0"/>
        <charset val="1"/>
      </rPr>
      <t xml:space="preserve">· M-I01</t>
    </r>
  </si>
  <si>
    <r>
      <rPr>
        <sz val="9"/>
        <rFont val="Cambria"/>
        <family val="0"/>
        <charset val="1"/>
      </rPr>
      <t xml:space="preserve">dim_date · dim_sector · dim_incident_type · </t>
    </r>
    <r>
      <rPr>
        <sz val="9"/>
        <rFont val="Noto Sans CJK SC"/>
        <family val="2"/>
      </rPr>
      <t xml:space="preserve">网格。可下钻到网格内警情列表（受记录检索权限约束）。</t>
    </r>
  </si>
  <si>
    <t xml:space="preserve">权威值</t>
  </si>
  <si>
    <t xml:space="preserve">按派驻部门过滤（调度员与主管）。下钻列表另受字段可见性矩阵约束。</t>
  </si>
  <si>
    <t xml:space="preserve">网格内下钻会触及警情明细，含位置。下钻入口按角色开放。</t>
  </si>
  <si>
    <t xml:space="preserve">是（IF-41 · HudHud 嵌入式组件，本地部署、可离线加载）</t>
  </si>
  <si>
    <t xml:space="preserve">地图服务不可用时降级为网格排名表与时段分布图，并提示「地图服务不可用」，不整页失败（LD-05 6.3）。HudHud 故障不计入本方服务水平。</t>
  </si>
  <si>
    <t xml:space="preserve">桌面：地图占三分之二，右侧排名表。大屏：仅地图与排名，字号放大。移动：不提供地图，仅排名表。</t>
  </si>
  <si>
    <t xml:space="preserve">缩放切换网格粒度，并显示当前粒度——同一区域在不同缩放下密度不同，不标出会被误读为数据变化。</t>
  </si>
  <si>
    <t xml:space="preserve">1.6.5.7.5</t>
  </si>
  <si>
    <t xml:space="preserve">D-12</t>
  </si>
  <si>
    <t xml:space="preserve">地理分布看板</t>
  </si>
  <si>
    <t xml:space="preserve">D-13</t>
  </si>
  <si>
    <t xml:space="preserve">朝觐期对比看板</t>
  </si>
  <si>
    <t xml:space="preserve">原为「勤务级别对比看板」。勤务级别客户未使用（DD-54），改按 is_hajj_season 分组</t>
  </si>
  <si>
    <t xml:space="preserve">D-14</t>
  </si>
  <si>
    <t xml:space="preserve">处置时长分解看板</t>
  </si>
  <si>
    <t xml:space="preserve">D-15</t>
  </si>
  <si>
    <t xml:space="preserve">客户反馈看板</t>
  </si>
  <si>
    <t xml:space="preserve">D-16</t>
  </si>
  <si>
    <t xml:space="preserve">数据质量与接入状态看板</t>
  </si>
  <si>
    <t xml:space="preserve">运行数据</t>
  </si>
  <si>
    <t xml:space="preserve">D-17</t>
  </si>
  <si>
    <t xml:space="preserve">系统可用性与容量看板</t>
  </si>
  <si>
    <t xml:space="preserve">1.6.6.1</t>
  </si>
  <si>
    <t xml:space="preserve">D-18</t>
  </si>
  <si>
    <r>
      <rPr>
        <sz val="9"/>
        <rFont val="Cambria"/>
        <family val="0"/>
        <charset val="1"/>
      </rPr>
      <t xml:space="preserve">KPI </t>
    </r>
    <r>
      <rPr>
        <sz val="9"/>
        <rFont val="Noto Sans CJK SC"/>
        <family val="2"/>
      </rPr>
      <t xml:space="preserve">多层级看板（领导视图）</t>
    </r>
  </si>
  <si>
    <t xml:space="preserve">1.5.1.6.9</t>
  </si>
  <si>
    <t xml:space="preserve">D-19</t>
  </si>
  <si>
    <t xml:space="preserve">跨中心统一看板</t>
  </si>
  <si>
    <t xml:space="preserve">本期预留</t>
  </si>
  <si>
    <t xml:space="preserve">1.6.2.33</t>
  </si>
  <si>
    <t xml:space="preserve">本期为架构预留，不实现（HLD 13）</t>
  </si>
  <si>
    <t xml:space="preserve">D-20</t>
  </si>
  <si>
    <t xml:space="preserve">用户自定义看板</t>
  </si>
  <si>
    <t xml:space="preserve">取决于所选指标</t>
  </si>
  <si>
    <t xml:space="preserve">随指标标注</t>
  </si>
  <si>
    <t xml:space="preserve">1.6.2.11</t>
  </si>
  <si>
    <t xml:space="preserve">原定义</t>
  </si>
  <si>
    <t xml:space="preserve">问题</t>
  </si>
  <si>
    <t xml:space="preserve">处置</t>
  </si>
  <si>
    <t xml:space="preserve">依据</t>
  </si>
  <si>
    <t xml:space="preserve">质检与复核结果报表</t>
  </si>
  <si>
    <t xml:space="preserve">复核与质检属 IRMS（RFP 2.3.9.7），本系统既不采集也不计算，整张报表无数据源。</t>
  </si>
  <si>
    <t xml:space="preserve">待替换。保留编号并在主表中标为「待替换」，不静默删除——四十张是硬数量下限，删掉会变三十九张而没有人发现。候选替换：一、告警触发与处置报表（告警事件落 core，数据现成；现有四十张中一张与告警相关的都没有）；二、参照数据变更报表（M-10 逐字段留痕，审计向，读者面窄）；三、归档数据可用性报表（指标 × 起始可用年份，迁移期有用，长期看是一次性的）。替换项须与客户一并对齐。</t>
  </si>
  <si>
    <t xml:space="preserve">DD-55</t>
  </si>
  <si>
    <t xml:space="preserve">班次覆盖与缺岗分析（计划与实际在岗对比）</t>
  </si>
  <si>
    <t xml:space="preserve">排班由各部门 supervisor 自行安排且弹性大，本系统不维护排班计划，「计划」一侧不存在。</t>
  </si>
  <si>
    <t xml:space="preserve">改名为「班次覆盖与人力缺口分析」，改为实际在岗曲线叠加同时段话务负载曲线，识别覆盖不足时段。对着计划比只能发现「没按计划来」，对着负载比才能发现「人不够」。</t>
  </si>
  <si>
    <t xml:space="preserve">DD-53</t>
  </si>
  <si>
    <t xml:space="preserve">勤务级别对比分析</t>
  </si>
  <si>
    <t xml:space="preserve">勤务级别客户现未使用。</t>
  </si>
  <si>
    <t xml:space="preserve">改为「朝觐期与时段对比分析」，按 dim_date.is_hajj_season 与时段分组。is_hajj_season 仍由 M-10 维护，数据源成立。</t>
  </si>
  <si>
    <t xml:space="preserve">DD-54</t>
  </si>
  <si>
    <t xml:space="preserve">勤务级别对比看板</t>
  </si>
  <si>
    <t xml:space="preserve">同上。其用途原本就写着「朝觐期与平时的对比」。</t>
  </si>
  <si>
    <t xml:space="preserve">改名为「朝觐期对比看板」，口径与 R-23 一致。</t>
  </si>
  <si>
    <t xml:space="preserve">坐席个人绩效报表（含质检得分）</t>
  </si>
  <si>
    <t xml:space="preserve">主要指标中的「质检得分」无数据源。</t>
  </si>
  <si>
    <t xml:space="preserve">删除该项指标，其余不变。</t>
  </si>
  <si>
    <t xml:space="preserve">按班次坐席绩效（含质检得分）</t>
  </si>
  <si>
    <t xml:space="preserve">同上。</t>
  </si>
  <si>
    <t xml:space="preserve">删除该项指标。班次本身不受影响——它是派生时间带，不依赖排班计划。</t>
  </si>
  <si>
    <t xml:space="preserve">DD-53 · DD-55</t>
  </si>
  <si>
    <t xml:space="preserve">序</t>
  </si>
  <si>
    <t xml:space="preserve">对齐日期</t>
  </si>
  <si>
    <t xml:space="preserve">参加人（客户侧）</t>
  </si>
  <si>
    <t xml:space="preserve">参加人（本方）</t>
  </si>
  <si>
    <t xml:space="preserve">结论</t>
  </si>
  <si>
    <t xml:space="preserve">变更点</t>
  </si>
  <si>
    <t xml:space="preserve">规格版本</t>
  </si>
  <si>
    <t xml:space="preserve">后续待办</t>
  </si>
  <si>
    <t xml:space="preserve">示例</t>
  </si>
  <si>
    <t xml:space="preserve">2026-11-05</t>
  </si>
  <si>
    <t xml:space="preserve">业务主管 · 话务班长</t>
  </si>
  <si>
    <t xml:space="preserve">需求负责人 · 数据组</t>
  </si>
  <si>
    <t xml:space="preserve">口径确认：放弃量不含 IVR 内挂断。客户要求增加「按坐席组」的默认分组。</t>
  </si>
  <si>
    <t xml:space="preserve">参数默认值由「全部班次」改为「全部班次 + 按坐席组分组」；放弃量口径在 metrics.yaml 加注。</t>
  </si>
  <si>
    <t xml:space="preserve">v1.1</t>
  </si>
  <si>
    <r>
      <rPr>
        <sz val="9"/>
        <rFont val="Cambria"/>
        <family val="0"/>
        <charset val="1"/>
      </rPr>
      <t xml:space="preserve">metrics.yaml M-C03 </t>
    </r>
    <r>
      <rPr>
        <sz val="9"/>
        <rFont val="Noto Sans CJK SC"/>
        <family val="2"/>
      </rPr>
      <t xml:space="preserve">口径补注；</t>
    </r>
    <r>
      <rPr>
        <sz val="9"/>
        <rFont val="Cambria"/>
        <family val="0"/>
        <charset val="1"/>
      </rPr>
      <t xml:space="preserve">LD-05A </t>
    </r>
    <r>
      <rPr>
        <sz val="9"/>
        <rFont val="Noto Sans CJK SC"/>
        <family val="2"/>
      </rPr>
      <t xml:space="preserve">主表同步</t>
    </r>
  </si>
  <si>
    <t xml:space="preserve">用法：每与客户对齐一张，记一行，并把主表中该行的「规格状态」改为「已对齐」。「变更点」一栏要写清改了什么，而不只是写「已确认」——三个月后没有人记得当时改了哪里。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</si>
</sst>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mbria"/>
      <family val="0"/>
      <charset val="1"/>
    </font>
    <font>
      <b val="true"/>
      <sz val="12"/>
      <name val="Noto Sans CJK SC"/>
      <family val="2"/>
    </font>
    <font>
      <sz val="9"/>
      <name val="Cambria"/>
      <family val="0"/>
      <charset val="1"/>
    </font>
    <font>
      <b val="true"/>
      <sz val="10"/>
      <name val="Noto Sans CJK SC"/>
      <family val="2"/>
      <charset val="1"/>
    </font>
    <font>
      <sz val="9"/>
      <name val="Noto Sans CJK SC"/>
      <family val="2"/>
      <charset val="1"/>
    </font>
    <font>
      <sz val="9"/>
      <name val="Noto Sans CJK SC"/>
      <family val="2"/>
    </font>
    <font>
      <b val="true"/>
      <sz val="9.5"/>
      <name val="Noto Sans CJK SC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8E1"/>
        <bgColor rgb="FFFDF1F1"/>
      </patternFill>
    </fill>
    <fill>
      <patternFill patternType="solid">
        <fgColor rgb="FFEEF2FD"/>
        <bgColor rgb="FFF1F8F2"/>
      </patternFill>
    </fill>
    <fill>
      <patternFill patternType="solid">
        <fgColor rgb="FFF1F8F2"/>
        <bgColor rgb="FFEEF2FD"/>
      </patternFill>
    </fill>
    <fill>
      <patternFill patternType="solid">
        <fgColor rgb="FFFDF1F1"/>
        <bgColor rgb="FFFFF8E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1F8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E1"/>
      <rgbColor rgb="FFEEF2FD"/>
      <rgbColor rgb="FF660066"/>
      <rgbColor rgb="FFFF8080"/>
      <rgbColor rgb="FF0066CC"/>
      <rgbColor rgb="FFD0D7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DF1F1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8"/>
    <col collapsed="false" customWidth="true" hidden="false" outlineLevel="0" max="2" min="2" style="1" width="12"/>
  </cols>
  <sheetData>
    <row r="1" customFormat="false" ht="18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15" hidden="false" customHeight="true" outlineLevel="0" collapsed="false">
      <c r="A3" s="4" t="s">
        <v>1</v>
      </c>
    </row>
    <row r="4" customFormat="false" ht="30" hidden="false" customHeight="true" outlineLevel="0" collapsed="false">
      <c r="A4" s="5" t="s">
        <v>2</v>
      </c>
    </row>
    <row r="5" customFormat="false" ht="15" hidden="false" customHeight="true" outlineLevel="0" collapsed="false">
      <c r="A5" s="5" t="s">
        <v>3</v>
      </c>
    </row>
    <row r="6" customFormat="false" ht="15" hidden="false" customHeight="true" outlineLevel="0" collapsed="false">
      <c r="A6" s="3"/>
    </row>
    <row r="7" customFormat="false" ht="15" hidden="false" customHeight="true" outlineLevel="0" collapsed="false">
      <c r="A7" s="4" t="s">
        <v>4</v>
      </c>
    </row>
    <row r="8" customFormat="false" ht="15" hidden="false" customHeight="true" outlineLevel="0" collapsed="false">
      <c r="A8" s="5" t="s">
        <v>5</v>
      </c>
    </row>
    <row r="9" customFormat="false" ht="15" hidden="false" customHeight="true" outlineLevel="0" collapsed="false">
      <c r="A9" s="5" t="s">
        <v>6</v>
      </c>
    </row>
    <row r="10" customFormat="false" ht="15" hidden="false" customHeight="true" outlineLevel="0" collapsed="false">
      <c r="A10" s="5" t="s">
        <v>7</v>
      </c>
    </row>
    <row r="11" customFormat="false" ht="15" hidden="false" customHeight="true" outlineLevel="0" collapsed="false">
      <c r="A11" s="5" t="s">
        <v>8</v>
      </c>
    </row>
    <row r="12" customFormat="false" ht="15" hidden="false" customHeight="true" outlineLevel="0" collapsed="false">
      <c r="A12" s="3"/>
    </row>
    <row r="13" customFormat="false" ht="15" hidden="false" customHeight="true" outlineLevel="0" collapsed="false">
      <c r="A13" s="4" t="s">
        <v>9</v>
      </c>
    </row>
    <row r="14" customFormat="false" ht="15" hidden="false" customHeight="true" outlineLevel="0" collapsed="false">
      <c r="A14" s="3" t="s">
        <v>10</v>
      </c>
    </row>
    <row r="15" customFormat="false" ht="30" hidden="false" customHeight="true" outlineLevel="0" collapsed="false">
      <c r="A15" s="3" t="s">
        <v>11</v>
      </c>
    </row>
    <row r="16" customFormat="false" ht="15" hidden="false" customHeight="true" outlineLevel="0" collapsed="false">
      <c r="A16" s="3" t="s">
        <v>12</v>
      </c>
    </row>
    <row r="17" customFormat="false" ht="15" hidden="false" customHeight="true" outlineLevel="0" collapsed="false">
      <c r="A17" s="3" t="s">
        <v>13</v>
      </c>
    </row>
    <row r="18" customFormat="false" ht="15" hidden="false" customHeight="true" outlineLevel="0" collapsed="false">
      <c r="A18" s="3" t="s">
        <v>14</v>
      </c>
    </row>
    <row r="19" customFormat="false" ht="15" hidden="false" customHeight="true" outlineLevel="0" collapsed="false">
      <c r="A19" s="3" t="s">
        <v>15</v>
      </c>
    </row>
    <row r="20" customFormat="false" ht="15" hidden="false" customHeight="true" outlineLevel="0" collapsed="false">
      <c r="A20" s="3"/>
    </row>
    <row r="21" customFormat="false" ht="15" hidden="false" customHeight="true" outlineLevel="0" collapsed="false">
      <c r="A21" s="4" t="s">
        <v>16</v>
      </c>
    </row>
    <row r="22" customFormat="false" ht="30" hidden="false" customHeight="true" outlineLevel="0" collapsed="false">
      <c r="A22" s="5" t="s">
        <v>17</v>
      </c>
    </row>
    <row r="24" customFormat="false" ht="15" hidden="false" customHeight="true" outlineLevel="0" collapsed="false">
      <c r="A24" s="6" t="s">
        <v>18</v>
      </c>
    </row>
    <row r="25" customFormat="false" ht="15" hidden="false" customHeight="true" outlineLevel="0" collapsed="false">
      <c r="A25" s="7" t="s">
        <v>19</v>
      </c>
      <c r="B25" s="8" t="n">
        <f aca="false">COUNTA('报表规格（40）'!A2:A41)</f>
        <v>40</v>
      </c>
    </row>
    <row r="26" customFormat="false" ht="15" hidden="false" customHeight="true" outlineLevel="0" collapsed="false">
      <c r="A26" s="7" t="s">
        <v>20</v>
      </c>
      <c r="B26" s="8" t="n">
        <f aca="false">COUNTIF('报表规格（40）'!T2:T41,"样板")</f>
        <v>4</v>
      </c>
    </row>
    <row r="27" customFormat="false" ht="15" hidden="false" customHeight="true" outlineLevel="0" collapsed="false">
      <c r="A27" s="7" t="s">
        <v>21</v>
      </c>
      <c r="B27" s="8" t="n">
        <f aca="false">COUNTIF('报表规格（40）'!T2:T41,"待与客户对齐")</f>
        <v>27</v>
      </c>
    </row>
    <row r="28" customFormat="false" ht="15" hidden="false" customHeight="true" outlineLevel="0" collapsed="false">
      <c r="A28" s="7" t="s">
        <v>22</v>
      </c>
      <c r="B28" s="8" t="n">
        <f aca="false">COUNTIF('报表规格（40）'!T2:T41,"待替换")+COUNTIF('报表规格（40）'!T2:T41,"待客户确认数据源")</f>
        <v>9</v>
      </c>
    </row>
    <row r="29" customFormat="false" ht="15" hidden="false" customHeight="true" outlineLevel="0" collapsed="false">
      <c r="A29" s="7" t="s">
        <v>23</v>
      </c>
      <c r="B29" s="8" t="n">
        <f aca="false">COUNTA('仪表板规格（20）'!A2:A21)</f>
        <v>20</v>
      </c>
    </row>
    <row r="30" customFormat="false" ht="15" hidden="false" customHeight="true" outlineLevel="0" collapsed="false">
      <c r="A30" s="7" t="s">
        <v>24</v>
      </c>
      <c r="B30" s="8" t="n">
        <f aca="false">COUNTIF('仪表板规格（20）'!R2:R21,"样板")</f>
        <v>2</v>
      </c>
    </row>
    <row r="31" customFormat="false" ht="15" hidden="false" customHeight="true" outlineLevel="0" collapsed="false">
      <c r="A31" s="7" t="s">
        <v>25</v>
      </c>
      <c r="B31" s="8" t="n">
        <f aca="false">COUNTIF('仪表板规格（20）'!R2:R21,"待与客户对齐")</f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0"/>
    <col collapsed="false" customWidth="true" hidden="false" outlineLevel="0" max="3" min="3" style="1" width="44"/>
    <col collapsed="false" customWidth="true" hidden="false" outlineLevel="0" max="4" min="4" style="1" width="62"/>
  </cols>
  <sheetData>
    <row r="1" customFormat="false" ht="31.5" hidden="false" customHeight="true" outlineLevel="0" collapsed="false">
      <c r="A1" s="9" t="s">
        <v>26</v>
      </c>
      <c r="B1" s="9" t="s">
        <v>27</v>
      </c>
      <c r="C1" s="9" t="s">
        <v>28</v>
      </c>
      <c r="D1" s="9" t="s">
        <v>29</v>
      </c>
    </row>
    <row r="2" customFormat="false" ht="26.25" hidden="false" customHeight="true" outlineLevel="0" collapsed="false">
      <c r="A2" s="10" t="s">
        <v>30</v>
      </c>
      <c r="B2" s="11" t="s">
        <v>31</v>
      </c>
      <c r="C2" s="10" t="s">
        <v>32</v>
      </c>
      <c r="D2" s="11" t="s">
        <v>33</v>
      </c>
    </row>
    <row r="3" customFormat="false" ht="26.25" hidden="false" customHeight="true" outlineLevel="0" collapsed="false">
      <c r="A3" s="10" t="s">
        <v>34</v>
      </c>
      <c r="B3" s="11" t="s">
        <v>35</v>
      </c>
      <c r="C3" s="11" t="s">
        <v>36</v>
      </c>
      <c r="D3" s="11" t="s">
        <v>37</v>
      </c>
    </row>
    <row r="4" customFormat="false" ht="15" hidden="false" customHeight="true" outlineLevel="0" collapsed="false">
      <c r="A4" s="10" t="s">
        <v>38</v>
      </c>
      <c r="B4" s="11" t="s">
        <v>39</v>
      </c>
      <c r="C4" s="11" t="s">
        <v>40</v>
      </c>
      <c r="D4" s="11" t="s">
        <v>41</v>
      </c>
    </row>
    <row r="5" customFormat="false" ht="26.25" hidden="false" customHeight="true" outlineLevel="0" collapsed="false">
      <c r="A5" s="10" t="s">
        <v>42</v>
      </c>
      <c r="B5" s="11" t="s">
        <v>43</v>
      </c>
      <c r="C5" s="11" t="s">
        <v>44</v>
      </c>
      <c r="D5" s="11" t="s">
        <v>45</v>
      </c>
    </row>
    <row r="6" customFormat="false" ht="15" hidden="false" customHeight="true" outlineLevel="0" collapsed="false">
      <c r="A6" s="10" t="s">
        <v>46</v>
      </c>
      <c r="B6" s="11" t="s">
        <v>47</v>
      </c>
      <c r="C6" s="11" t="s">
        <v>48</v>
      </c>
      <c r="D6" s="11" t="s">
        <v>49</v>
      </c>
    </row>
    <row r="7" customFormat="false" ht="26.25" hidden="false" customHeight="true" outlineLevel="0" collapsed="false">
      <c r="A7" s="10" t="s">
        <v>50</v>
      </c>
      <c r="B7" s="11" t="s">
        <v>51</v>
      </c>
      <c r="C7" s="11" t="s">
        <v>52</v>
      </c>
      <c r="D7" s="11" t="s">
        <v>53</v>
      </c>
    </row>
    <row r="8" customFormat="false" ht="26.25" hidden="false" customHeight="true" outlineLevel="0" collapsed="false">
      <c r="A8" s="10" t="s">
        <v>54</v>
      </c>
      <c r="B8" s="11" t="s">
        <v>55</v>
      </c>
      <c r="C8" s="11" t="s">
        <v>56</v>
      </c>
      <c r="D8" s="11" t="s">
        <v>57</v>
      </c>
    </row>
    <row r="9" customFormat="false" ht="15" hidden="false" customHeight="true" outlineLevel="0" collapsed="false">
      <c r="A9" s="10" t="s">
        <v>58</v>
      </c>
      <c r="B9" s="11" t="s">
        <v>59</v>
      </c>
      <c r="C9" s="11" t="s">
        <v>60</v>
      </c>
      <c r="D9" s="11" t="s">
        <v>61</v>
      </c>
    </row>
    <row r="10" customFormat="false" ht="15" hidden="false" customHeight="true" outlineLevel="0" collapsed="false">
      <c r="A10" s="10" t="s">
        <v>62</v>
      </c>
      <c r="B10" s="11" t="s">
        <v>63</v>
      </c>
      <c r="C10" s="11" t="s">
        <v>64</v>
      </c>
      <c r="D10" s="11" t="s">
        <v>65</v>
      </c>
    </row>
    <row r="11" customFormat="false" ht="15" hidden="false" customHeight="true" outlineLevel="0" collapsed="false">
      <c r="A11" s="10" t="s">
        <v>66</v>
      </c>
      <c r="B11" s="11" t="s">
        <v>67</v>
      </c>
      <c r="C11" s="11" t="s">
        <v>68</v>
      </c>
      <c r="D11" s="11" t="s">
        <v>69</v>
      </c>
    </row>
    <row r="12" customFormat="false" ht="15" hidden="false" customHeight="true" outlineLevel="0" collapsed="false">
      <c r="A12" s="10" t="s">
        <v>70</v>
      </c>
      <c r="B12" s="11" t="s">
        <v>71</v>
      </c>
      <c r="C12" s="11" t="s">
        <v>72</v>
      </c>
      <c r="D12" s="11" t="s">
        <v>73</v>
      </c>
    </row>
    <row r="13" customFormat="false" ht="26.25" hidden="false" customHeight="true" outlineLevel="0" collapsed="false">
      <c r="A13" s="10" t="s">
        <v>74</v>
      </c>
      <c r="B13" s="11" t="s">
        <v>75</v>
      </c>
      <c r="C13" s="11" t="s">
        <v>76</v>
      </c>
      <c r="D13" s="11" t="s">
        <v>77</v>
      </c>
    </row>
    <row r="14" customFormat="false" ht="15" hidden="false" customHeight="true" outlineLevel="0" collapsed="false">
      <c r="A14" s="10" t="s">
        <v>78</v>
      </c>
      <c r="B14" s="11" t="s">
        <v>79</v>
      </c>
      <c r="C14" s="11" t="s">
        <v>80</v>
      </c>
      <c r="D14" s="10" t="s">
        <v>81</v>
      </c>
    </row>
    <row r="15" customFormat="false" ht="15" hidden="false" customHeight="true" outlineLevel="0" collapsed="false">
      <c r="A15" s="10" t="s">
        <v>82</v>
      </c>
      <c r="B15" s="11" t="s">
        <v>83</v>
      </c>
      <c r="C15" s="11" t="s">
        <v>84</v>
      </c>
      <c r="D15" s="11" t="s">
        <v>85</v>
      </c>
    </row>
    <row r="16" customFormat="false" ht="26.25" hidden="false" customHeight="true" outlineLevel="0" collapsed="false">
      <c r="A16" s="10" t="s">
        <v>86</v>
      </c>
      <c r="B16" s="11" t="s">
        <v>87</v>
      </c>
      <c r="C16" s="11" t="s">
        <v>88</v>
      </c>
      <c r="D16" s="11" t="s">
        <v>89</v>
      </c>
    </row>
    <row r="17" customFormat="false" ht="15" hidden="false" customHeight="true" outlineLevel="0" collapsed="false">
      <c r="A17" s="10" t="s">
        <v>90</v>
      </c>
      <c r="B17" s="11" t="s">
        <v>91</v>
      </c>
      <c r="C17" s="11" t="s">
        <v>92</v>
      </c>
      <c r="D17" s="11" t="s">
        <v>93</v>
      </c>
    </row>
    <row r="18" customFormat="false" ht="26.25" hidden="false" customHeight="true" outlineLevel="0" collapsed="false">
      <c r="A18" s="10" t="s">
        <v>94</v>
      </c>
      <c r="B18" s="11" t="s">
        <v>95</v>
      </c>
      <c r="C18" s="11" t="s">
        <v>96</v>
      </c>
      <c r="D18" s="11" t="s">
        <v>97</v>
      </c>
    </row>
    <row r="19" customFormat="false" ht="26.25" hidden="false" customHeight="true" outlineLevel="0" collapsed="false">
      <c r="A19" s="10" t="s">
        <v>98</v>
      </c>
      <c r="B19" s="11" t="s">
        <v>99</v>
      </c>
      <c r="C19" s="11" t="s">
        <v>100</v>
      </c>
      <c r="D19" s="11" t="s">
        <v>101</v>
      </c>
    </row>
    <row r="20" customFormat="false" ht="15" hidden="false" customHeight="true" outlineLevel="0" collapsed="false">
      <c r="A20" s="10" t="s">
        <v>102</v>
      </c>
      <c r="B20" s="11" t="s">
        <v>103</v>
      </c>
      <c r="C20" s="11" t="s">
        <v>104</v>
      </c>
      <c r="D20" s="11" t="s">
        <v>105</v>
      </c>
    </row>
    <row r="21" customFormat="false" ht="15" hidden="false" customHeight="true" outlineLevel="0" collapsed="false">
      <c r="A21" s="10" t="s">
        <v>106</v>
      </c>
      <c r="B21" s="11" t="s">
        <v>107</v>
      </c>
      <c r="C21" s="11" t="s">
        <v>108</v>
      </c>
      <c r="D21" s="11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1"/>
    <col collapsed="false" customWidth="true" hidden="false" outlineLevel="0" max="3" min="3" style="1" width="22"/>
    <col collapsed="false" customWidth="true" hidden="false" outlineLevel="0" max="4" min="4" style="1" width="24"/>
    <col collapsed="false" customWidth="true" hidden="false" outlineLevel="0" max="5" min="5" style="1" width="34"/>
    <col collapsed="false" customWidth="true" hidden="false" outlineLevel="0" max="6" min="6" style="1" width="20"/>
    <col collapsed="false" customWidth="true" hidden="false" outlineLevel="0" max="7" min="7" style="1" width="22"/>
    <col collapsed="false" customWidth="true" hidden="false" outlineLevel="0" max="8" min="8" style="1" width="34"/>
    <col collapsed="false" customWidth="true" hidden="false" outlineLevel="0" max="9" min="9" style="1" width="10"/>
    <col collapsed="false" customWidth="true" hidden="false" outlineLevel="0" max="10" min="10" style="1" width="13"/>
    <col collapsed="false" customWidth="true" hidden="false" outlineLevel="0" max="11" min="11" style="1" width="16"/>
    <col collapsed="false" customWidth="true" hidden="false" outlineLevel="0" max="12" min="12" style="1" width="20"/>
    <col collapsed="false" customWidth="true" hidden="false" outlineLevel="0" max="13" min="13" style="1" width="30"/>
    <col collapsed="false" customWidth="true" hidden="false" outlineLevel="0" max="14" min="14" style="1" width="32"/>
    <col collapsed="false" customWidth="true" hidden="false" outlineLevel="0" max="15" min="15" style="1" width="26"/>
    <col collapsed="false" customWidth="true" hidden="false" outlineLevel="0" max="16" min="16" style="1" width="9"/>
    <col collapsed="false" customWidth="true" hidden="false" outlineLevel="0" max="17" min="17" style="1" width="16"/>
    <col collapsed="false" customWidth="true" hidden="false" outlineLevel="0" max="18" min="18" style="1" width="10"/>
    <col collapsed="false" customWidth="true" hidden="false" outlineLevel="0" max="19" min="19" style="1" width="16"/>
    <col collapsed="false" customWidth="true" hidden="false" outlineLevel="0" max="20" min="20" style="1" width="14"/>
  </cols>
  <sheetData>
    <row r="1" customFormat="false" ht="33.75" hidden="false" customHeight="true" outlineLevel="0" collapsed="false">
      <c r="A1" s="9" t="s">
        <v>31</v>
      </c>
      <c r="B1" s="9" t="s">
        <v>35</v>
      </c>
      <c r="C1" s="9" t="s">
        <v>39</v>
      </c>
      <c r="D1" s="9" t="s">
        <v>43</v>
      </c>
      <c r="E1" s="9" t="s">
        <v>47</v>
      </c>
      <c r="F1" s="9" t="s">
        <v>51</v>
      </c>
      <c r="G1" s="9" t="s">
        <v>55</v>
      </c>
      <c r="H1" s="9" t="s">
        <v>59</v>
      </c>
      <c r="I1" s="9" t="s">
        <v>63</v>
      </c>
      <c r="J1" s="9" t="s">
        <v>67</v>
      </c>
      <c r="K1" s="9" t="s">
        <v>71</v>
      </c>
      <c r="L1" s="9" t="s">
        <v>75</v>
      </c>
      <c r="M1" s="9" t="s">
        <v>79</v>
      </c>
      <c r="N1" s="9" t="s">
        <v>83</v>
      </c>
      <c r="O1" s="9" t="s">
        <v>87</v>
      </c>
      <c r="P1" s="9" t="s">
        <v>91</v>
      </c>
      <c r="Q1" s="9" t="s">
        <v>95</v>
      </c>
      <c r="R1" s="9" t="s">
        <v>99</v>
      </c>
      <c r="S1" s="9" t="s">
        <v>103</v>
      </c>
      <c r="T1" s="9" t="s">
        <v>107</v>
      </c>
    </row>
    <row r="2" customFormat="false" ht="39" hidden="false" customHeight="true" outlineLevel="0" collapsed="false">
      <c r="A2" s="12" t="s">
        <v>110</v>
      </c>
      <c r="B2" s="13" t="s">
        <v>111</v>
      </c>
      <c r="C2" s="13" t="s">
        <v>112</v>
      </c>
      <c r="D2" s="12" t="s">
        <v>113</v>
      </c>
      <c r="E2" s="13" t="s">
        <v>114</v>
      </c>
      <c r="F2" s="12" t="s">
        <v>115</v>
      </c>
      <c r="G2" s="12" t="s">
        <v>116</v>
      </c>
      <c r="H2" s="13" t="s">
        <v>117</v>
      </c>
      <c r="I2" s="13" t="s">
        <v>118</v>
      </c>
      <c r="J2" s="13" t="s">
        <v>119</v>
      </c>
      <c r="K2" s="13" t="s">
        <v>120</v>
      </c>
      <c r="L2" s="13" t="s">
        <v>121</v>
      </c>
      <c r="M2" s="13" t="s">
        <v>122</v>
      </c>
      <c r="N2" s="13" t="s">
        <v>123</v>
      </c>
      <c r="O2" s="12" t="s">
        <v>124</v>
      </c>
      <c r="P2" s="13" t="s">
        <v>125</v>
      </c>
      <c r="Q2" s="12" t="s">
        <v>126</v>
      </c>
      <c r="R2" s="13" t="s">
        <v>127</v>
      </c>
      <c r="S2" s="12"/>
      <c r="T2" s="13" t="s">
        <v>128</v>
      </c>
    </row>
    <row r="3" customFormat="false" ht="15" hidden="false" customHeight="true" outlineLevel="0" collapsed="false">
      <c r="A3" s="10" t="s">
        <v>129</v>
      </c>
      <c r="B3" s="11" t="s">
        <v>111</v>
      </c>
      <c r="C3" s="11" t="s">
        <v>130</v>
      </c>
      <c r="D3" s="10"/>
      <c r="E3" s="10"/>
      <c r="F3" s="10"/>
      <c r="G3" s="10"/>
      <c r="H3" s="10"/>
      <c r="I3" s="10"/>
      <c r="J3" s="11" t="s">
        <v>119</v>
      </c>
      <c r="K3" s="10"/>
      <c r="L3" s="10"/>
      <c r="M3" s="10"/>
      <c r="N3" s="10"/>
      <c r="O3" s="10"/>
      <c r="P3" s="11" t="s">
        <v>131</v>
      </c>
      <c r="Q3" s="10" t="s">
        <v>126</v>
      </c>
      <c r="R3" s="11" t="s">
        <v>127</v>
      </c>
      <c r="S3" s="10"/>
      <c r="T3" s="11" t="s">
        <v>132</v>
      </c>
    </row>
    <row r="4" customFormat="false" ht="26.25" hidden="false" customHeight="true" outlineLevel="0" collapsed="false">
      <c r="A4" s="10" t="s">
        <v>133</v>
      </c>
      <c r="B4" s="11" t="s">
        <v>111</v>
      </c>
      <c r="C4" s="11" t="s">
        <v>134</v>
      </c>
      <c r="D4" s="10"/>
      <c r="E4" s="10"/>
      <c r="F4" s="10"/>
      <c r="G4" s="10"/>
      <c r="H4" s="10"/>
      <c r="I4" s="10"/>
      <c r="J4" s="11" t="s">
        <v>119</v>
      </c>
      <c r="K4" s="10"/>
      <c r="L4" s="10"/>
      <c r="M4" s="10"/>
      <c r="N4" s="10"/>
      <c r="O4" s="10"/>
      <c r="P4" s="11" t="s">
        <v>125</v>
      </c>
      <c r="Q4" s="10" t="s">
        <v>135</v>
      </c>
      <c r="R4" s="11" t="s">
        <v>136</v>
      </c>
      <c r="S4" s="10" t="s">
        <v>137</v>
      </c>
      <c r="T4" s="11" t="s">
        <v>138</v>
      </c>
    </row>
    <row r="5" customFormat="false" ht="15" hidden="false" customHeight="true" outlineLevel="0" collapsed="false">
      <c r="A5" s="10" t="s">
        <v>139</v>
      </c>
      <c r="B5" s="11" t="s">
        <v>111</v>
      </c>
      <c r="C5" s="11" t="s">
        <v>140</v>
      </c>
      <c r="D5" s="10"/>
      <c r="E5" s="10"/>
      <c r="F5" s="10"/>
      <c r="G5" s="10"/>
      <c r="H5" s="10"/>
      <c r="I5" s="10"/>
      <c r="J5" s="11" t="s">
        <v>119</v>
      </c>
      <c r="K5" s="10"/>
      <c r="L5" s="10"/>
      <c r="M5" s="10"/>
      <c r="N5" s="10"/>
      <c r="O5" s="10"/>
      <c r="P5" s="11" t="s">
        <v>125</v>
      </c>
      <c r="Q5" s="10" t="s">
        <v>141</v>
      </c>
      <c r="R5" s="11" t="s">
        <v>136</v>
      </c>
      <c r="S5" s="10" t="s">
        <v>142</v>
      </c>
      <c r="T5" s="11" t="s">
        <v>138</v>
      </c>
    </row>
    <row r="6" customFormat="false" ht="15" hidden="false" customHeight="true" outlineLevel="0" collapsed="false">
      <c r="A6" s="10" t="s">
        <v>143</v>
      </c>
      <c r="B6" s="11" t="s">
        <v>111</v>
      </c>
      <c r="C6" s="11" t="s">
        <v>144</v>
      </c>
      <c r="D6" s="10"/>
      <c r="E6" s="10"/>
      <c r="F6" s="10"/>
      <c r="G6" s="10"/>
      <c r="H6" s="10"/>
      <c r="I6" s="10"/>
      <c r="J6" s="11" t="s">
        <v>119</v>
      </c>
      <c r="K6" s="10"/>
      <c r="L6" s="10"/>
      <c r="M6" s="10"/>
      <c r="N6" s="10"/>
      <c r="O6" s="10"/>
      <c r="P6" s="11" t="s">
        <v>145</v>
      </c>
      <c r="Q6" s="10" t="s">
        <v>146</v>
      </c>
      <c r="R6" s="11" t="s">
        <v>136</v>
      </c>
      <c r="S6" s="10" t="s">
        <v>142</v>
      </c>
      <c r="T6" s="11" t="s">
        <v>138</v>
      </c>
    </row>
    <row r="7" customFormat="false" ht="26.25" hidden="false" customHeight="true" outlineLevel="0" collapsed="false">
      <c r="A7" s="10" t="s">
        <v>147</v>
      </c>
      <c r="B7" s="11" t="s">
        <v>111</v>
      </c>
      <c r="C7" s="11" t="s">
        <v>148</v>
      </c>
      <c r="D7" s="10"/>
      <c r="E7" s="10"/>
      <c r="F7" s="10"/>
      <c r="G7" s="10"/>
      <c r="H7" s="10"/>
      <c r="I7" s="10"/>
      <c r="J7" s="11" t="s">
        <v>119</v>
      </c>
      <c r="K7" s="10"/>
      <c r="L7" s="10"/>
      <c r="M7" s="10"/>
      <c r="N7" s="10"/>
      <c r="O7" s="10"/>
      <c r="P7" s="11" t="s">
        <v>131</v>
      </c>
      <c r="Q7" s="10" t="s">
        <v>149</v>
      </c>
      <c r="R7" s="11" t="s">
        <v>136</v>
      </c>
      <c r="S7" s="10" t="s">
        <v>150</v>
      </c>
      <c r="T7" s="11" t="s">
        <v>138</v>
      </c>
    </row>
    <row r="8" customFormat="false" ht="15" hidden="false" customHeight="true" outlineLevel="0" collapsed="false">
      <c r="A8" s="10" t="s">
        <v>151</v>
      </c>
      <c r="B8" s="11" t="s">
        <v>111</v>
      </c>
      <c r="C8" s="11" t="s">
        <v>152</v>
      </c>
      <c r="D8" s="10"/>
      <c r="E8" s="10"/>
      <c r="F8" s="10"/>
      <c r="G8" s="10"/>
      <c r="H8" s="10"/>
      <c r="I8" s="10"/>
      <c r="J8" s="11" t="s">
        <v>119</v>
      </c>
      <c r="K8" s="10"/>
      <c r="L8" s="10"/>
      <c r="M8" s="10"/>
      <c r="N8" s="10"/>
      <c r="O8" s="10"/>
      <c r="P8" s="11" t="s">
        <v>125</v>
      </c>
      <c r="Q8" s="10" t="s">
        <v>153</v>
      </c>
      <c r="R8" s="11" t="s">
        <v>136</v>
      </c>
      <c r="S8" s="10" t="s">
        <v>142</v>
      </c>
      <c r="T8" s="11" t="s">
        <v>138</v>
      </c>
    </row>
    <row r="9" customFormat="false" ht="15" hidden="false" customHeight="true" outlineLevel="0" collapsed="false">
      <c r="A9" s="10" t="s">
        <v>154</v>
      </c>
      <c r="B9" s="11" t="s">
        <v>111</v>
      </c>
      <c r="C9" s="11" t="s">
        <v>155</v>
      </c>
      <c r="D9" s="10"/>
      <c r="E9" s="10"/>
      <c r="F9" s="10"/>
      <c r="G9" s="10"/>
      <c r="H9" s="10"/>
      <c r="I9" s="10"/>
      <c r="J9" s="11" t="s">
        <v>119</v>
      </c>
      <c r="K9" s="10"/>
      <c r="L9" s="10"/>
      <c r="M9" s="10"/>
      <c r="N9" s="10"/>
      <c r="O9" s="10"/>
      <c r="P9" s="11" t="s">
        <v>125</v>
      </c>
      <c r="Q9" s="10" t="s">
        <v>126</v>
      </c>
      <c r="R9" s="11" t="s">
        <v>127</v>
      </c>
      <c r="S9" s="10"/>
      <c r="T9" s="11" t="s">
        <v>132</v>
      </c>
    </row>
    <row r="10" customFormat="false" ht="15" hidden="false" customHeight="true" outlineLevel="0" collapsed="false">
      <c r="A10" s="10" t="s">
        <v>156</v>
      </c>
      <c r="B10" s="11" t="s">
        <v>111</v>
      </c>
      <c r="C10" s="11" t="s">
        <v>157</v>
      </c>
      <c r="D10" s="10"/>
      <c r="E10" s="10"/>
      <c r="F10" s="10"/>
      <c r="G10" s="10"/>
      <c r="H10" s="10"/>
      <c r="I10" s="10"/>
      <c r="J10" s="11" t="s">
        <v>119</v>
      </c>
      <c r="K10" s="10"/>
      <c r="L10" s="10"/>
      <c r="M10" s="10"/>
      <c r="N10" s="10"/>
      <c r="O10" s="10"/>
      <c r="P10" s="11" t="s">
        <v>125</v>
      </c>
      <c r="Q10" s="10" t="s">
        <v>158</v>
      </c>
      <c r="R10" s="11" t="s">
        <v>127</v>
      </c>
      <c r="S10" s="10"/>
      <c r="T10" s="11" t="s">
        <v>132</v>
      </c>
    </row>
    <row r="11" customFormat="false" ht="26.25" hidden="false" customHeight="true" outlineLevel="0" collapsed="false">
      <c r="A11" s="10" t="s">
        <v>159</v>
      </c>
      <c r="B11" s="11" t="s">
        <v>111</v>
      </c>
      <c r="C11" s="11" t="s">
        <v>160</v>
      </c>
      <c r="D11" s="10"/>
      <c r="E11" s="10"/>
      <c r="F11" s="10"/>
      <c r="G11" s="10"/>
      <c r="H11" s="10"/>
      <c r="I11" s="10"/>
      <c r="J11" s="11" t="s">
        <v>119</v>
      </c>
      <c r="K11" s="10"/>
      <c r="L11" s="10"/>
      <c r="M11" s="10"/>
      <c r="N11" s="10"/>
      <c r="O11" s="10"/>
      <c r="P11" s="11" t="s">
        <v>131</v>
      </c>
      <c r="Q11" s="10" t="s">
        <v>126</v>
      </c>
      <c r="R11" s="11" t="s">
        <v>136</v>
      </c>
      <c r="S11" s="11" t="s">
        <v>161</v>
      </c>
      <c r="T11" s="11" t="s">
        <v>132</v>
      </c>
    </row>
    <row r="12" customFormat="false" ht="15" hidden="false" customHeight="true" outlineLevel="0" collapsed="false">
      <c r="A12" s="10" t="s">
        <v>162</v>
      </c>
      <c r="B12" s="11" t="s">
        <v>163</v>
      </c>
      <c r="C12" s="11" t="s">
        <v>164</v>
      </c>
      <c r="D12" s="10"/>
      <c r="E12" s="10"/>
      <c r="F12" s="10"/>
      <c r="G12" s="10"/>
      <c r="H12" s="10"/>
      <c r="I12" s="10"/>
      <c r="J12" s="11" t="s">
        <v>119</v>
      </c>
      <c r="K12" s="10"/>
      <c r="L12" s="10"/>
      <c r="M12" s="10"/>
      <c r="N12" s="10"/>
      <c r="O12" s="10"/>
      <c r="P12" s="11" t="s">
        <v>125</v>
      </c>
      <c r="Q12" s="10" t="s">
        <v>165</v>
      </c>
      <c r="R12" s="11" t="s">
        <v>127</v>
      </c>
      <c r="S12" s="10"/>
      <c r="T12" s="11" t="s">
        <v>132</v>
      </c>
    </row>
    <row r="13" customFormat="false" ht="15" hidden="false" customHeight="true" outlineLevel="0" collapsed="false">
      <c r="A13" s="10" t="s">
        <v>166</v>
      </c>
      <c r="B13" s="11" t="s">
        <v>163</v>
      </c>
      <c r="C13" s="11" t="s">
        <v>167</v>
      </c>
      <c r="D13" s="10"/>
      <c r="E13" s="10"/>
      <c r="F13" s="10"/>
      <c r="G13" s="10"/>
      <c r="H13" s="10"/>
      <c r="I13" s="10"/>
      <c r="J13" s="11" t="s">
        <v>119</v>
      </c>
      <c r="K13" s="10"/>
      <c r="L13" s="10"/>
      <c r="M13" s="10"/>
      <c r="N13" s="10"/>
      <c r="O13" s="10"/>
      <c r="P13" s="11" t="s">
        <v>125</v>
      </c>
      <c r="Q13" s="10" t="s">
        <v>168</v>
      </c>
      <c r="R13" s="11" t="s">
        <v>127</v>
      </c>
      <c r="S13" s="10"/>
      <c r="T13" s="11" t="s">
        <v>132</v>
      </c>
    </row>
    <row r="14" customFormat="false" ht="39" hidden="false" customHeight="true" outlineLevel="0" collapsed="false">
      <c r="A14" s="10" t="s">
        <v>169</v>
      </c>
      <c r="B14" s="11" t="s">
        <v>163</v>
      </c>
      <c r="C14" s="11" t="s">
        <v>170</v>
      </c>
      <c r="D14" s="10"/>
      <c r="E14" s="10"/>
      <c r="F14" s="10"/>
      <c r="G14" s="10"/>
      <c r="H14" s="10"/>
      <c r="I14" s="10"/>
      <c r="J14" s="11" t="s">
        <v>119</v>
      </c>
      <c r="K14" s="10"/>
      <c r="L14" s="10"/>
      <c r="M14" s="10"/>
      <c r="N14" s="10"/>
      <c r="O14" s="10"/>
      <c r="P14" s="11" t="s">
        <v>125</v>
      </c>
      <c r="Q14" s="10" t="s">
        <v>171</v>
      </c>
      <c r="R14" s="11" t="s">
        <v>127</v>
      </c>
      <c r="S14" s="11" t="s">
        <v>172</v>
      </c>
      <c r="T14" s="11" t="s">
        <v>132</v>
      </c>
    </row>
    <row r="15" customFormat="false" ht="39" hidden="false" customHeight="true" outlineLevel="0" collapsed="false">
      <c r="A15" s="12" t="s">
        <v>173</v>
      </c>
      <c r="B15" s="13" t="s">
        <v>163</v>
      </c>
      <c r="C15" s="13" t="s">
        <v>174</v>
      </c>
      <c r="D15" s="12" t="s">
        <v>175</v>
      </c>
      <c r="E15" s="13" t="s">
        <v>176</v>
      </c>
      <c r="F15" s="12" t="s">
        <v>177</v>
      </c>
      <c r="G15" s="12" t="s">
        <v>178</v>
      </c>
      <c r="H15" s="13" t="s">
        <v>179</v>
      </c>
      <c r="I15" s="13" t="s">
        <v>180</v>
      </c>
      <c r="J15" s="13" t="s">
        <v>119</v>
      </c>
      <c r="K15" s="13" t="s">
        <v>181</v>
      </c>
      <c r="L15" s="13" t="s">
        <v>182</v>
      </c>
      <c r="M15" s="13" t="s">
        <v>183</v>
      </c>
      <c r="N15" s="13" t="s">
        <v>184</v>
      </c>
      <c r="O15" s="12" t="s">
        <v>185</v>
      </c>
      <c r="P15" s="13" t="s">
        <v>125</v>
      </c>
      <c r="Q15" s="12" t="s">
        <v>186</v>
      </c>
      <c r="R15" s="13" t="s">
        <v>127</v>
      </c>
      <c r="S15" s="12"/>
      <c r="T15" s="13" t="s">
        <v>128</v>
      </c>
    </row>
    <row r="16" customFormat="false" ht="15" hidden="false" customHeight="true" outlineLevel="0" collapsed="false">
      <c r="A16" s="10" t="s">
        <v>187</v>
      </c>
      <c r="B16" s="11" t="s">
        <v>163</v>
      </c>
      <c r="C16" s="11" t="s">
        <v>188</v>
      </c>
      <c r="D16" s="10"/>
      <c r="E16" s="10"/>
      <c r="F16" s="10"/>
      <c r="G16" s="10"/>
      <c r="H16" s="10"/>
      <c r="I16" s="10"/>
      <c r="J16" s="11" t="s">
        <v>119</v>
      </c>
      <c r="K16" s="10"/>
      <c r="L16" s="10"/>
      <c r="M16" s="10"/>
      <c r="N16" s="10"/>
      <c r="O16" s="10"/>
      <c r="P16" s="11" t="s">
        <v>145</v>
      </c>
      <c r="Q16" s="10" t="s">
        <v>126</v>
      </c>
      <c r="R16" s="11" t="s">
        <v>136</v>
      </c>
      <c r="S16" s="10"/>
      <c r="T16" s="11" t="s">
        <v>132</v>
      </c>
    </row>
    <row r="17" customFormat="false" ht="15" hidden="false" customHeight="true" outlineLevel="0" collapsed="false">
      <c r="A17" s="10" t="s">
        <v>189</v>
      </c>
      <c r="B17" s="11" t="s">
        <v>163</v>
      </c>
      <c r="C17" s="11" t="s">
        <v>190</v>
      </c>
      <c r="D17" s="10"/>
      <c r="E17" s="10"/>
      <c r="F17" s="10"/>
      <c r="G17" s="10"/>
      <c r="H17" s="10"/>
      <c r="I17" s="10"/>
      <c r="J17" s="11" t="s">
        <v>119</v>
      </c>
      <c r="K17" s="10"/>
      <c r="L17" s="10"/>
      <c r="M17" s="10"/>
      <c r="N17" s="10"/>
      <c r="O17" s="10"/>
      <c r="P17" s="11" t="s">
        <v>125</v>
      </c>
      <c r="Q17" s="10" t="s">
        <v>126</v>
      </c>
      <c r="R17" s="11" t="s">
        <v>136</v>
      </c>
      <c r="S17" s="10"/>
      <c r="T17" s="11" t="s">
        <v>132</v>
      </c>
    </row>
    <row r="18" customFormat="false" ht="15" hidden="false" customHeight="true" outlineLevel="0" collapsed="false">
      <c r="A18" s="10" t="s">
        <v>191</v>
      </c>
      <c r="B18" s="11" t="s">
        <v>163</v>
      </c>
      <c r="C18" s="11" t="s">
        <v>192</v>
      </c>
      <c r="D18" s="10"/>
      <c r="E18" s="10"/>
      <c r="F18" s="10"/>
      <c r="G18" s="10"/>
      <c r="H18" s="10"/>
      <c r="I18" s="10"/>
      <c r="J18" s="11" t="s">
        <v>119</v>
      </c>
      <c r="K18" s="10"/>
      <c r="L18" s="10"/>
      <c r="M18" s="10"/>
      <c r="N18" s="10"/>
      <c r="O18" s="10"/>
      <c r="P18" s="11" t="s">
        <v>145</v>
      </c>
      <c r="Q18" s="10" t="s">
        <v>165</v>
      </c>
      <c r="R18" s="11" t="s">
        <v>127</v>
      </c>
      <c r="S18" s="10"/>
      <c r="T18" s="11" t="s">
        <v>132</v>
      </c>
    </row>
    <row r="19" customFormat="false" ht="26.25" hidden="false" customHeight="true" outlineLevel="0" collapsed="false">
      <c r="A19" s="10" t="s">
        <v>193</v>
      </c>
      <c r="B19" s="11" t="s">
        <v>163</v>
      </c>
      <c r="C19" s="11" t="s">
        <v>194</v>
      </c>
      <c r="D19" s="10"/>
      <c r="E19" s="10"/>
      <c r="F19" s="10"/>
      <c r="G19" s="10"/>
      <c r="H19" s="10"/>
      <c r="I19" s="10"/>
      <c r="J19" s="11" t="s">
        <v>119</v>
      </c>
      <c r="K19" s="10"/>
      <c r="L19" s="10"/>
      <c r="M19" s="10"/>
      <c r="N19" s="10"/>
      <c r="O19" s="10"/>
      <c r="P19" s="11" t="s">
        <v>195</v>
      </c>
      <c r="Q19" s="10" t="s">
        <v>126</v>
      </c>
      <c r="R19" s="11" t="s">
        <v>136</v>
      </c>
      <c r="S19" s="11" t="s">
        <v>196</v>
      </c>
      <c r="T19" s="11" t="s">
        <v>132</v>
      </c>
    </row>
    <row r="20" customFormat="false" ht="15" hidden="false" customHeight="true" outlineLevel="0" collapsed="false">
      <c r="A20" s="10" t="s">
        <v>197</v>
      </c>
      <c r="B20" s="11" t="s">
        <v>163</v>
      </c>
      <c r="C20" s="11" t="s">
        <v>198</v>
      </c>
      <c r="D20" s="10"/>
      <c r="E20" s="10"/>
      <c r="F20" s="10"/>
      <c r="G20" s="10"/>
      <c r="H20" s="10"/>
      <c r="I20" s="10"/>
      <c r="J20" s="11" t="s">
        <v>119</v>
      </c>
      <c r="K20" s="10"/>
      <c r="L20" s="10"/>
      <c r="M20" s="10"/>
      <c r="N20" s="10"/>
      <c r="O20" s="10"/>
      <c r="P20" s="11" t="s">
        <v>195</v>
      </c>
      <c r="Q20" s="10" t="s">
        <v>126</v>
      </c>
      <c r="R20" s="11" t="s">
        <v>136</v>
      </c>
      <c r="S20" s="10"/>
      <c r="T20" s="11" t="s">
        <v>132</v>
      </c>
    </row>
    <row r="21" customFormat="false" ht="26.25" hidden="false" customHeight="true" outlineLevel="0" collapsed="false">
      <c r="A21" s="10" t="s">
        <v>199</v>
      </c>
      <c r="B21" s="11" t="s">
        <v>163</v>
      </c>
      <c r="C21" s="11" t="s">
        <v>200</v>
      </c>
      <c r="D21" s="10"/>
      <c r="E21" s="10"/>
      <c r="F21" s="10"/>
      <c r="G21" s="10"/>
      <c r="H21" s="10"/>
      <c r="I21" s="10"/>
      <c r="J21" s="11" t="s">
        <v>119</v>
      </c>
      <c r="K21" s="10"/>
      <c r="L21" s="10"/>
      <c r="M21" s="10"/>
      <c r="N21" s="10"/>
      <c r="O21" s="10"/>
      <c r="P21" s="11" t="s">
        <v>195</v>
      </c>
      <c r="Q21" s="10" t="s">
        <v>201</v>
      </c>
      <c r="R21" s="11" t="s">
        <v>136</v>
      </c>
      <c r="S21" s="10" t="s">
        <v>202</v>
      </c>
      <c r="T21" s="11" t="s">
        <v>132</v>
      </c>
    </row>
    <row r="22" customFormat="false" ht="15" hidden="false" customHeight="true" outlineLevel="0" collapsed="false">
      <c r="A22" s="10" t="s">
        <v>203</v>
      </c>
      <c r="B22" s="11" t="s">
        <v>204</v>
      </c>
      <c r="C22" s="11" t="s">
        <v>205</v>
      </c>
      <c r="D22" s="10"/>
      <c r="E22" s="10"/>
      <c r="F22" s="10"/>
      <c r="G22" s="10"/>
      <c r="H22" s="10"/>
      <c r="I22" s="10"/>
      <c r="J22" s="11" t="s">
        <v>119</v>
      </c>
      <c r="K22" s="10"/>
      <c r="L22" s="10"/>
      <c r="M22" s="10"/>
      <c r="N22" s="10"/>
      <c r="O22" s="10"/>
      <c r="P22" s="11" t="s">
        <v>125</v>
      </c>
      <c r="Q22" s="10" t="s">
        <v>126</v>
      </c>
      <c r="R22" s="11" t="s">
        <v>127</v>
      </c>
      <c r="S22" s="10"/>
      <c r="T22" s="11" t="s">
        <v>132</v>
      </c>
    </row>
    <row r="23" customFormat="false" ht="39" hidden="false" customHeight="true" outlineLevel="0" collapsed="false">
      <c r="A23" s="12" t="s">
        <v>206</v>
      </c>
      <c r="B23" s="13" t="s">
        <v>204</v>
      </c>
      <c r="C23" s="13" t="s">
        <v>207</v>
      </c>
      <c r="D23" s="12" t="s">
        <v>208</v>
      </c>
      <c r="E23" s="13" t="s">
        <v>209</v>
      </c>
      <c r="F23" s="12" t="s">
        <v>210</v>
      </c>
      <c r="G23" s="12" t="s">
        <v>116</v>
      </c>
      <c r="H23" s="13" t="s">
        <v>211</v>
      </c>
      <c r="I23" s="13" t="s">
        <v>212</v>
      </c>
      <c r="J23" s="13" t="s">
        <v>119</v>
      </c>
      <c r="K23" s="13" t="s">
        <v>213</v>
      </c>
      <c r="L23" s="13" t="s">
        <v>214</v>
      </c>
      <c r="M23" s="13" t="s">
        <v>215</v>
      </c>
      <c r="N23" s="13" t="s">
        <v>216</v>
      </c>
      <c r="O23" s="12" t="s">
        <v>217</v>
      </c>
      <c r="P23" s="13" t="s">
        <v>145</v>
      </c>
      <c r="Q23" s="12" t="s">
        <v>126</v>
      </c>
      <c r="R23" s="13" t="s">
        <v>136</v>
      </c>
      <c r="S23" s="12"/>
      <c r="T23" s="13" t="s">
        <v>128</v>
      </c>
    </row>
    <row r="24" customFormat="false" ht="64.5" hidden="false" customHeight="true" outlineLevel="0" collapsed="false">
      <c r="A24" s="10" t="s">
        <v>218</v>
      </c>
      <c r="B24" s="11" t="s">
        <v>204</v>
      </c>
      <c r="C24" s="11" t="s">
        <v>219</v>
      </c>
      <c r="D24" s="10"/>
      <c r="E24" s="10"/>
      <c r="F24" s="10"/>
      <c r="G24" s="10"/>
      <c r="H24" s="10"/>
      <c r="I24" s="10"/>
      <c r="J24" s="11" t="s">
        <v>119</v>
      </c>
      <c r="K24" s="10"/>
      <c r="L24" s="10"/>
      <c r="M24" s="10"/>
      <c r="N24" s="10"/>
      <c r="O24" s="10"/>
      <c r="P24" s="11" t="s">
        <v>131</v>
      </c>
      <c r="Q24" s="10" t="s">
        <v>126</v>
      </c>
      <c r="R24" s="11" t="s">
        <v>136</v>
      </c>
      <c r="S24" s="11" t="s">
        <v>220</v>
      </c>
      <c r="T24" s="11" t="s">
        <v>132</v>
      </c>
    </row>
    <row r="25" customFormat="false" ht="15" hidden="false" customHeight="true" outlineLevel="0" collapsed="false">
      <c r="A25" s="10" t="s">
        <v>221</v>
      </c>
      <c r="B25" s="11" t="s">
        <v>204</v>
      </c>
      <c r="C25" s="11" t="s">
        <v>222</v>
      </c>
      <c r="D25" s="10"/>
      <c r="E25" s="10"/>
      <c r="F25" s="10"/>
      <c r="G25" s="10"/>
      <c r="H25" s="10"/>
      <c r="I25" s="10"/>
      <c r="J25" s="11" t="s">
        <v>119</v>
      </c>
      <c r="K25" s="10"/>
      <c r="L25" s="10"/>
      <c r="M25" s="10"/>
      <c r="N25" s="10"/>
      <c r="O25" s="10"/>
      <c r="P25" s="11" t="s">
        <v>145</v>
      </c>
      <c r="Q25" s="10" t="s">
        <v>126</v>
      </c>
      <c r="R25" s="11" t="s">
        <v>136</v>
      </c>
      <c r="S25" s="10"/>
      <c r="T25" s="11" t="s">
        <v>132</v>
      </c>
    </row>
    <row r="26" customFormat="false" ht="39" hidden="false" customHeight="true" outlineLevel="0" collapsed="false">
      <c r="A26" s="10" t="s">
        <v>223</v>
      </c>
      <c r="B26" s="11" t="s">
        <v>204</v>
      </c>
      <c r="C26" s="11" t="s">
        <v>224</v>
      </c>
      <c r="D26" s="10"/>
      <c r="E26" s="10"/>
      <c r="F26" s="10"/>
      <c r="G26" s="10"/>
      <c r="H26" s="10"/>
      <c r="I26" s="10"/>
      <c r="J26" s="11" t="s">
        <v>119</v>
      </c>
      <c r="K26" s="10"/>
      <c r="L26" s="10"/>
      <c r="M26" s="10"/>
      <c r="N26" s="10"/>
      <c r="O26" s="10"/>
      <c r="P26" s="11" t="s">
        <v>145</v>
      </c>
      <c r="Q26" s="10" t="s">
        <v>225</v>
      </c>
      <c r="R26" s="11" t="s">
        <v>136</v>
      </c>
      <c r="S26" s="10" t="s">
        <v>226</v>
      </c>
      <c r="T26" s="11" t="s">
        <v>138</v>
      </c>
    </row>
    <row r="27" customFormat="false" ht="26.25" hidden="false" customHeight="true" outlineLevel="0" collapsed="false">
      <c r="A27" s="10" t="s">
        <v>227</v>
      </c>
      <c r="B27" s="11" t="s">
        <v>204</v>
      </c>
      <c r="C27" s="11" t="s">
        <v>228</v>
      </c>
      <c r="D27" s="10"/>
      <c r="E27" s="10"/>
      <c r="F27" s="10"/>
      <c r="G27" s="10"/>
      <c r="H27" s="10"/>
      <c r="I27" s="10"/>
      <c r="J27" s="11" t="s">
        <v>229</v>
      </c>
      <c r="K27" s="10"/>
      <c r="L27" s="10"/>
      <c r="M27" s="10"/>
      <c r="N27" s="10"/>
      <c r="O27" s="10"/>
      <c r="P27" s="11" t="s">
        <v>125</v>
      </c>
      <c r="Q27" s="10" t="s">
        <v>126</v>
      </c>
      <c r="R27" s="11" t="s">
        <v>136</v>
      </c>
      <c r="S27" s="10" t="s">
        <v>142</v>
      </c>
      <c r="T27" s="11" t="s">
        <v>138</v>
      </c>
    </row>
    <row r="28" customFormat="false" ht="51.75" hidden="false" customHeight="true" outlineLevel="0" collapsed="false">
      <c r="A28" s="10" t="s">
        <v>230</v>
      </c>
      <c r="B28" s="11" t="s">
        <v>204</v>
      </c>
      <c r="C28" s="11" t="s">
        <v>231</v>
      </c>
      <c r="D28" s="10"/>
      <c r="E28" s="10"/>
      <c r="F28" s="10"/>
      <c r="G28" s="10"/>
      <c r="H28" s="10"/>
      <c r="I28" s="10"/>
      <c r="J28" s="11" t="s">
        <v>119</v>
      </c>
      <c r="K28" s="10"/>
      <c r="L28" s="10"/>
      <c r="M28" s="10"/>
      <c r="N28" s="10"/>
      <c r="O28" s="10"/>
      <c r="P28" s="11" t="s">
        <v>195</v>
      </c>
      <c r="Q28" s="10" t="s">
        <v>126</v>
      </c>
      <c r="R28" s="11" t="s">
        <v>136</v>
      </c>
      <c r="S28" s="11" t="s">
        <v>232</v>
      </c>
      <c r="T28" s="11" t="s">
        <v>132</v>
      </c>
    </row>
    <row r="29" customFormat="false" ht="51.75" hidden="false" customHeight="true" outlineLevel="0" collapsed="false">
      <c r="A29" s="10" t="s">
        <v>233</v>
      </c>
      <c r="B29" s="11" t="s">
        <v>234</v>
      </c>
      <c r="C29" s="11" t="s">
        <v>235</v>
      </c>
      <c r="D29" s="10"/>
      <c r="E29" s="10"/>
      <c r="F29" s="10"/>
      <c r="G29" s="10"/>
      <c r="H29" s="10"/>
      <c r="I29" s="10"/>
      <c r="J29" s="11" t="s">
        <v>119</v>
      </c>
      <c r="K29" s="10"/>
      <c r="L29" s="10"/>
      <c r="M29" s="10"/>
      <c r="N29" s="10"/>
      <c r="O29" s="10"/>
      <c r="P29" s="11" t="s">
        <v>195</v>
      </c>
      <c r="Q29" s="10" t="s">
        <v>236</v>
      </c>
      <c r="R29" s="11" t="s">
        <v>127</v>
      </c>
      <c r="S29" s="11" t="s">
        <v>237</v>
      </c>
      <c r="T29" s="11" t="s">
        <v>132</v>
      </c>
    </row>
    <row r="30" customFormat="false" ht="15" hidden="false" customHeight="true" outlineLevel="0" collapsed="false">
      <c r="A30" s="10" t="s">
        <v>238</v>
      </c>
      <c r="B30" s="11" t="s">
        <v>234</v>
      </c>
      <c r="C30" s="11" t="s">
        <v>239</v>
      </c>
      <c r="D30" s="10"/>
      <c r="E30" s="10"/>
      <c r="F30" s="10"/>
      <c r="G30" s="10"/>
      <c r="H30" s="10"/>
      <c r="I30" s="10"/>
      <c r="J30" s="11" t="s">
        <v>119</v>
      </c>
      <c r="K30" s="10"/>
      <c r="L30" s="10"/>
      <c r="M30" s="10"/>
      <c r="N30" s="10"/>
      <c r="O30" s="10"/>
      <c r="P30" s="11" t="s">
        <v>195</v>
      </c>
      <c r="Q30" s="10" t="s">
        <v>236</v>
      </c>
      <c r="R30" s="11" t="s">
        <v>127</v>
      </c>
      <c r="S30" s="10"/>
      <c r="T30" s="11" t="s">
        <v>132</v>
      </c>
    </row>
    <row r="31" customFormat="false" ht="39" hidden="false" customHeight="true" outlineLevel="0" collapsed="false">
      <c r="A31" s="10" t="s">
        <v>240</v>
      </c>
      <c r="B31" s="11" t="s">
        <v>234</v>
      </c>
      <c r="C31" s="11" t="s">
        <v>241</v>
      </c>
      <c r="D31" s="10"/>
      <c r="E31" s="10"/>
      <c r="F31" s="10"/>
      <c r="G31" s="10"/>
      <c r="H31" s="10"/>
      <c r="I31" s="10"/>
      <c r="J31" s="11" t="s">
        <v>119</v>
      </c>
      <c r="K31" s="10"/>
      <c r="L31" s="10"/>
      <c r="M31" s="10"/>
      <c r="N31" s="10"/>
      <c r="O31" s="10"/>
      <c r="P31" s="11" t="s">
        <v>195</v>
      </c>
      <c r="Q31" s="10" t="s">
        <v>158</v>
      </c>
      <c r="R31" s="11" t="s">
        <v>136</v>
      </c>
      <c r="S31" s="11" t="s">
        <v>242</v>
      </c>
      <c r="T31" s="11" t="s">
        <v>132</v>
      </c>
    </row>
    <row r="32" customFormat="false" ht="26.25" hidden="false" customHeight="true" outlineLevel="0" collapsed="false">
      <c r="A32" s="10" t="s">
        <v>243</v>
      </c>
      <c r="B32" s="11" t="s">
        <v>234</v>
      </c>
      <c r="C32" s="11" t="s">
        <v>244</v>
      </c>
      <c r="D32" s="10"/>
      <c r="E32" s="10"/>
      <c r="F32" s="10"/>
      <c r="G32" s="10"/>
      <c r="H32" s="10"/>
      <c r="I32" s="10"/>
      <c r="J32" s="11" t="s">
        <v>119</v>
      </c>
      <c r="K32" s="10"/>
      <c r="L32" s="10"/>
      <c r="M32" s="10"/>
      <c r="N32" s="10"/>
      <c r="O32" s="10"/>
      <c r="P32" s="11" t="s">
        <v>195</v>
      </c>
      <c r="Q32" s="10" t="s">
        <v>245</v>
      </c>
      <c r="R32" s="11" t="s">
        <v>136</v>
      </c>
      <c r="S32" s="10" t="s">
        <v>246</v>
      </c>
      <c r="T32" s="11" t="s">
        <v>138</v>
      </c>
    </row>
    <row r="33" customFormat="false" ht="64.5" hidden="false" customHeight="true" outlineLevel="0" collapsed="false">
      <c r="A33" s="14" t="s">
        <v>247</v>
      </c>
      <c r="B33" s="15" t="s">
        <v>234</v>
      </c>
      <c r="C33" s="15" t="s">
        <v>248</v>
      </c>
      <c r="D33" s="14"/>
      <c r="E33" s="15" t="s">
        <v>249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 t="s">
        <v>126</v>
      </c>
      <c r="R33" s="15" t="s">
        <v>136</v>
      </c>
      <c r="S33" s="14" t="s">
        <v>250</v>
      </c>
      <c r="T33" s="15" t="s">
        <v>251</v>
      </c>
    </row>
    <row r="34" customFormat="false" ht="15" hidden="false" customHeight="true" outlineLevel="0" collapsed="false">
      <c r="A34" s="10" t="s">
        <v>252</v>
      </c>
      <c r="B34" s="11" t="s">
        <v>234</v>
      </c>
      <c r="C34" s="11" t="s">
        <v>253</v>
      </c>
      <c r="D34" s="10"/>
      <c r="E34" s="10"/>
      <c r="F34" s="10"/>
      <c r="G34" s="10"/>
      <c r="H34" s="10"/>
      <c r="I34" s="10"/>
      <c r="J34" s="11" t="s">
        <v>119</v>
      </c>
      <c r="K34" s="10"/>
      <c r="L34" s="10"/>
      <c r="M34" s="10"/>
      <c r="N34" s="10"/>
      <c r="O34" s="10"/>
      <c r="P34" s="11" t="s">
        <v>195</v>
      </c>
      <c r="Q34" s="10" t="s">
        <v>126</v>
      </c>
      <c r="R34" s="11" t="s">
        <v>136</v>
      </c>
      <c r="S34" s="10"/>
      <c r="T34" s="11" t="s">
        <v>132</v>
      </c>
    </row>
    <row r="35" customFormat="false" ht="39" hidden="false" customHeight="true" outlineLevel="0" collapsed="false">
      <c r="A35" s="10" t="s">
        <v>254</v>
      </c>
      <c r="B35" s="11" t="s">
        <v>234</v>
      </c>
      <c r="C35" s="11" t="s">
        <v>255</v>
      </c>
      <c r="D35" s="10"/>
      <c r="E35" s="10"/>
      <c r="F35" s="10"/>
      <c r="G35" s="10"/>
      <c r="H35" s="10"/>
      <c r="I35" s="10"/>
      <c r="J35" s="11" t="s">
        <v>119</v>
      </c>
      <c r="K35" s="10"/>
      <c r="L35" s="10"/>
      <c r="M35" s="10"/>
      <c r="N35" s="10"/>
      <c r="O35" s="10"/>
      <c r="P35" s="11" t="s">
        <v>195</v>
      </c>
      <c r="Q35" s="10" t="s">
        <v>256</v>
      </c>
      <c r="R35" s="11" t="s">
        <v>136</v>
      </c>
      <c r="S35" s="11" t="s">
        <v>257</v>
      </c>
      <c r="T35" s="11" t="s">
        <v>132</v>
      </c>
    </row>
    <row r="36" customFormat="false" ht="15" hidden="false" customHeight="true" outlineLevel="0" collapsed="false">
      <c r="A36" s="10" t="s">
        <v>258</v>
      </c>
      <c r="B36" s="11" t="s">
        <v>259</v>
      </c>
      <c r="C36" s="11" t="s">
        <v>260</v>
      </c>
      <c r="D36" s="10"/>
      <c r="E36" s="10"/>
      <c r="F36" s="10"/>
      <c r="G36" s="10"/>
      <c r="H36" s="10"/>
      <c r="I36" s="10"/>
      <c r="J36" s="11" t="s">
        <v>261</v>
      </c>
      <c r="K36" s="10"/>
      <c r="L36" s="10"/>
      <c r="M36" s="10"/>
      <c r="N36" s="10"/>
      <c r="O36" s="10"/>
      <c r="P36" s="11" t="s">
        <v>262</v>
      </c>
      <c r="Q36" s="10" t="s">
        <v>263</v>
      </c>
      <c r="R36" s="11" t="s">
        <v>136</v>
      </c>
      <c r="S36" s="10"/>
      <c r="T36" s="11" t="s">
        <v>132</v>
      </c>
    </row>
    <row r="37" customFormat="false" ht="15" hidden="false" customHeight="true" outlineLevel="0" collapsed="false">
      <c r="A37" s="10" t="s">
        <v>264</v>
      </c>
      <c r="B37" s="11" t="s">
        <v>259</v>
      </c>
      <c r="C37" s="10" t="s">
        <v>265</v>
      </c>
      <c r="D37" s="10"/>
      <c r="E37" s="10"/>
      <c r="F37" s="10"/>
      <c r="G37" s="10"/>
      <c r="H37" s="10"/>
      <c r="I37" s="10"/>
      <c r="J37" s="11" t="s">
        <v>261</v>
      </c>
      <c r="K37" s="10"/>
      <c r="L37" s="10"/>
      <c r="M37" s="10"/>
      <c r="N37" s="10"/>
      <c r="O37" s="10"/>
      <c r="P37" s="11" t="s">
        <v>195</v>
      </c>
      <c r="Q37" s="10" t="s">
        <v>266</v>
      </c>
      <c r="R37" s="11" t="s">
        <v>136</v>
      </c>
      <c r="S37" s="10"/>
      <c r="T37" s="11" t="s">
        <v>132</v>
      </c>
    </row>
    <row r="38" customFormat="false" ht="15" hidden="false" customHeight="true" outlineLevel="0" collapsed="false">
      <c r="A38" s="10" t="s">
        <v>267</v>
      </c>
      <c r="B38" s="11" t="s">
        <v>259</v>
      </c>
      <c r="C38" s="11" t="s">
        <v>268</v>
      </c>
      <c r="D38" s="10"/>
      <c r="E38" s="10"/>
      <c r="F38" s="10"/>
      <c r="G38" s="10"/>
      <c r="H38" s="10"/>
      <c r="I38" s="10"/>
      <c r="J38" s="11" t="s">
        <v>261</v>
      </c>
      <c r="K38" s="10"/>
      <c r="L38" s="10"/>
      <c r="M38" s="10"/>
      <c r="N38" s="10"/>
      <c r="O38" s="10"/>
      <c r="P38" s="11" t="s">
        <v>195</v>
      </c>
      <c r="Q38" s="10" t="s">
        <v>269</v>
      </c>
      <c r="R38" s="11" t="s">
        <v>136</v>
      </c>
      <c r="S38" s="10"/>
      <c r="T38" s="11" t="s">
        <v>132</v>
      </c>
    </row>
    <row r="39" customFormat="false" ht="51.75" hidden="false" customHeight="true" outlineLevel="0" collapsed="false">
      <c r="A39" s="12" t="s">
        <v>270</v>
      </c>
      <c r="B39" s="13" t="s">
        <v>259</v>
      </c>
      <c r="C39" s="13" t="s">
        <v>271</v>
      </c>
      <c r="D39" s="12" t="s">
        <v>272</v>
      </c>
      <c r="E39" s="13" t="s">
        <v>273</v>
      </c>
      <c r="F39" s="12" t="s">
        <v>274</v>
      </c>
      <c r="G39" s="12" t="s">
        <v>275</v>
      </c>
      <c r="H39" s="13" t="s">
        <v>276</v>
      </c>
      <c r="I39" s="13" t="s">
        <v>277</v>
      </c>
      <c r="J39" s="13" t="s">
        <v>278</v>
      </c>
      <c r="K39" s="13" t="s">
        <v>279</v>
      </c>
      <c r="L39" s="13" t="s">
        <v>280</v>
      </c>
      <c r="M39" s="13" t="s">
        <v>281</v>
      </c>
      <c r="N39" s="13" t="s">
        <v>282</v>
      </c>
      <c r="O39" s="12" t="s">
        <v>283</v>
      </c>
      <c r="P39" s="13" t="s">
        <v>125</v>
      </c>
      <c r="Q39" s="12" t="s">
        <v>284</v>
      </c>
      <c r="R39" s="13" t="s">
        <v>136</v>
      </c>
      <c r="S39" s="12"/>
      <c r="T39" s="13" t="s">
        <v>128</v>
      </c>
    </row>
    <row r="40" customFormat="false" ht="15" hidden="false" customHeight="true" outlineLevel="0" collapsed="false">
      <c r="A40" s="10" t="s">
        <v>285</v>
      </c>
      <c r="B40" s="11" t="s">
        <v>259</v>
      </c>
      <c r="C40" s="11" t="s">
        <v>286</v>
      </c>
      <c r="D40" s="10"/>
      <c r="E40" s="10"/>
      <c r="F40" s="10"/>
      <c r="G40" s="10"/>
      <c r="H40" s="10"/>
      <c r="I40" s="10"/>
      <c r="J40" s="11" t="s">
        <v>261</v>
      </c>
      <c r="K40" s="10"/>
      <c r="L40" s="10"/>
      <c r="M40" s="10"/>
      <c r="N40" s="10"/>
      <c r="O40" s="10"/>
      <c r="P40" s="11" t="s">
        <v>125</v>
      </c>
      <c r="Q40" s="10" t="s">
        <v>284</v>
      </c>
      <c r="R40" s="11" t="s">
        <v>136</v>
      </c>
      <c r="S40" s="10"/>
      <c r="T40" s="11" t="s">
        <v>132</v>
      </c>
    </row>
    <row r="41" customFormat="false" ht="15" hidden="false" customHeight="true" outlineLevel="0" collapsed="false">
      <c r="A41" s="10" t="s">
        <v>287</v>
      </c>
      <c r="B41" s="11" t="s">
        <v>259</v>
      </c>
      <c r="C41" s="11" t="s">
        <v>288</v>
      </c>
      <c r="D41" s="10"/>
      <c r="E41" s="10"/>
      <c r="F41" s="10"/>
      <c r="G41" s="10"/>
      <c r="H41" s="10"/>
      <c r="I41" s="10"/>
      <c r="J41" s="11" t="s">
        <v>289</v>
      </c>
      <c r="K41" s="10"/>
      <c r="L41" s="10"/>
      <c r="M41" s="10"/>
      <c r="N41" s="10"/>
      <c r="O41" s="10"/>
      <c r="P41" s="11" t="s">
        <v>195</v>
      </c>
      <c r="Q41" s="10" t="s">
        <v>290</v>
      </c>
      <c r="R41" s="11" t="s">
        <v>136</v>
      </c>
      <c r="S41" s="10"/>
      <c r="T41" s="11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2"/>
    <col collapsed="false" customWidth="true" hidden="false" outlineLevel="0" max="3" min="3" style="1" width="24"/>
    <col collapsed="false" customWidth="true" hidden="false" outlineLevel="0" max="4" min="4" style="1" width="32"/>
    <col collapsed="false" customWidth="true" hidden="false" outlineLevel="0" max="5" min="5" style="1" width="34"/>
    <col collapsed="false" customWidth="true" hidden="false" outlineLevel="0" max="6" min="6" style="1" width="22"/>
    <col collapsed="false" customWidth="true" hidden="false" outlineLevel="0" max="7" min="7" style="1" width="24"/>
    <col collapsed="false" customWidth="true" hidden="false" outlineLevel="0" max="9" min="8" style="1" width="14"/>
    <col collapsed="false" customWidth="true" hidden="false" outlineLevel="0" max="10" min="10" style="1" width="16"/>
    <col collapsed="false" customWidth="true" hidden="false" outlineLevel="0" max="11" min="11" style="1" width="18"/>
    <col collapsed="false" customWidth="true" hidden="false" outlineLevel="0" max="12" min="12" style="1" width="14"/>
    <col collapsed="false" customWidth="true" hidden="false" outlineLevel="0" max="14" min="13" style="1" width="30"/>
    <col collapsed="false" customWidth="true" hidden="false" outlineLevel="0" max="15" min="15" style="1" width="24"/>
    <col collapsed="false" customWidth="true" hidden="false" outlineLevel="0" max="16" min="16" style="1" width="16"/>
    <col collapsed="false" customWidth="true" hidden="false" outlineLevel="0" max="17" min="17" style="1" width="18"/>
    <col collapsed="false" customWidth="true" hidden="false" outlineLevel="0" max="18" min="18" style="1" width="14"/>
  </cols>
  <sheetData>
    <row r="1" customFormat="false" ht="33.75" hidden="false" customHeight="true" outlineLevel="0" collapsed="false">
      <c r="A1" s="9" t="s">
        <v>31</v>
      </c>
      <c r="B1" s="9" t="s">
        <v>291</v>
      </c>
      <c r="C1" s="9" t="s">
        <v>43</v>
      </c>
      <c r="D1" s="9" t="s">
        <v>47</v>
      </c>
      <c r="E1" s="9" t="s">
        <v>292</v>
      </c>
      <c r="F1" s="9" t="s">
        <v>51</v>
      </c>
      <c r="G1" s="9" t="s">
        <v>293</v>
      </c>
      <c r="H1" s="9" t="s">
        <v>294</v>
      </c>
      <c r="I1" s="9" t="s">
        <v>295</v>
      </c>
      <c r="J1" s="9" t="s">
        <v>71</v>
      </c>
      <c r="K1" s="9" t="s">
        <v>75</v>
      </c>
      <c r="L1" s="9" t="s">
        <v>296</v>
      </c>
      <c r="M1" s="9" t="s">
        <v>297</v>
      </c>
      <c r="N1" s="9" t="s">
        <v>298</v>
      </c>
      <c r="O1" s="9" t="s">
        <v>299</v>
      </c>
      <c r="P1" s="9" t="s">
        <v>95</v>
      </c>
      <c r="Q1" s="9" t="s">
        <v>103</v>
      </c>
      <c r="R1" s="9" t="s">
        <v>107</v>
      </c>
    </row>
    <row r="2" customFormat="false" ht="26.25" hidden="false" customHeight="true" outlineLevel="0" collapsed="false">
      <c r="A2" s="10" t="s">
        <v>300</v>
      </c>
      <c r="B2" s="11" t="s">
        <v>301</v>
      </c>
      <c r="C2" s="10"/>
      <c r="D2" s="10"/>
      <c r="E2" s="10"/>
      <c r="F2" s="10"/>
      <c r="G2" s="10"/>
      <c r="H2" s="11" t="s">
        <v>302</v>
      </c>
      <c r="I2" s="11" t="s">
        <v>303</v>
      </c>
      <c r="J2" s="10"/>
      <c r="K2" s="10"/>
      <c r="L2" s="10"/>
      <c r="M2" s="10"/>
      <c r="N2" s="10"/>
      <c r="O2" s="10"/>
      <c r="P2" s="10" t="s">
        <v>304</v>
      </c>
      <c r="Q2" s="10" t="s">
        <v>305</v>
      </c>
      <c r="R2" s="11" t="s">
        <v>132</v>
      </c>
    </row>
    <row r="3" customFormat="false" ht="15" hidden="false" customHeight="true" outlineLevel="0" collapsed="false">
      <c r="A3" s="10" t="s">
        <v>306</v>
      </c>
      <c r="B3" s="11" t="s">
        <v>307</v>
      </c>
      <c r="C3" s="10"/>
      <c r="D3" s="10"/>
      <c r="E3" s="10"/>
      <c r="F3" s="10"/>
      <c r="G3" s="10"/>
      <c r="H3" s="11" t="s">
        <v>302</v>
      </c>
      <c r="I3" s="11" t="s">
        <v>303</v>
      </c>
      <c r="J3" s="10"/>
      <c r="K3" s="10"/>
      <c r="L3" s="10"/>
      <c r="M3" s="10"/>
      <c r="N3" s="10"/>
      <c r="O3" s="10"/>
      <c r="P3" s="10" t="s">
        <v>304</v>
      </c>
      <c r="Q3" s="10"/>
      <c r="R3" s="11" t="s">
        <v>132</v>
      </c>
    </row>
    <row r="4" customFormat="false" ht="15" hidden="false" customHeight="true" outlineLevel="0" collapsed="false">
      <c r="A4" s="10" t="s">
        <v>308</v>
      </c>
      <c r="B4" s="11" t="s">
        <v>309</v>
      </c>
      <c r="C4" s="10"/>
      <c r="D4" s="10"/>
      <c r="E4" s="10"/>
      <c r="F4" s="10"/>
      <c r="G4" s="10"/>
      <c r="H4" s="11" t="s">
        <v>302</v>
      </c>
      <c r="I4" s="11" t="s">
        <v>303</v>
      </c>
      <c r="J4" s="10"/>
      <c r="K4" s="10"/>
      <c r="L4" s="10"/>
      <c r="M4" s="10"/>
      <c r="N4" s="10"/>
      <c r="O4" s="10"/>
      <c r="P4" s="10" t="s">
        <v>304</v>
      </c>
      <c r="Q4" s="10"/>
      <c r="R4" s="11" t="s">
        <v>132</v>
      </c>
    </row>
    <row r="5" customFormat="false" ht="26.25" hidden="false" customHeight="true" outlineLevel="0" collapsed="false">
      <c r="A5" s="10" t="s">
        <v>310</v>
      </c>
      <c r="B5" s="11" t="s">
        <v>311</v>
      </c>
      <c r="C5" s="10"/>
      <c r="D5" s="10"/>
      <c r="E5" s="10"/>
      <c r="F5" s="10"/>
      <c r="G5" s="10"/>
      <c r="H5" s="11" t="s">
        <v>302</v>
      </c>
      <c r="I5" s="11" t="s">
        <v>303</v>
      </c>
      <c r="J5" s="10"/>
      <c r="K5" s="10"/>
      <c r="L5" s="10"/>
      <c r="M5" s="10"/>
      <c r="N5" s="10"/>
      <c r="O5" s="10"/>
      <c r="P5" s="10" t="s">
        <v>225</v>
      </c>
      <c r="Q5" s="10" t="s">
        <v>312</v>
      </c>
      <c r="R5" s="11" t="s">
        <v>138</v>
      </c>
    </row>
    <row r="6" customFormat="false" ht="39" hidden="false" customHeight="true" outlineLevel="0" collapsed="false">
      <c r="A6" s="12" t="s">
        <v>313</v>
      </c>
      <c r="B6" s="13" t="s">
        <v>314</v>
      </c>
      <c r="C6" s="12" t="s">
        <v>315</v>
      </c>
      <c r="D6" s="13" t="s">
        <v>316</v>
      </c>
      <c r="E6" s="13" t="s">
        <v>317</v>
      </c>
      <c r="F6" s="12" t="s">
        <v>318</v>
      </c>
      <c r="G6" s="12" t="s">
        <v>319</v>
      </c>
      <c r="H6" s="13" t="s">
        <v>320</v>
      </c>
      <c r="I6" s="13" t="s">
        <v>321</v>
      </c>
      <c r="J6" s="13" t="s">
        <v>322</v>
      </c>
      <c r="K6" s="13" t="s">
        <v>182</v>
      </c>
      <c r="L6" s="13" t="s">
        <v>323</v>
      </c>
      <c r="M6" s="13" t="s">
        <v>324</v>
      </c>
      <c r="N6" s="13" t="s">
        <v>325</v>
      </c>
      <c r="O6" s="13" t="s">
        <v>326</v>
      </c>
      <c r="P6" s="12" t="s">
        <v>327</v>
      </c>
      <c r="Q6" s="12"/>
      <c r="R6" s="13" t="s">
        <v>128</v>
      </c>
    </row>
    <row r="7" customFormat="false" ht="15" hidden="false" customHeight="true" outlineLevel="0" collapsed="false">
      <c r="A7" s="10" t="s">
        <v>328</v>
      </c>
      <c r="B7" s="11" t="s">
        <v>329</v>
      </c>
      <c r="C7" s="10"/>
      <c r="D7" s="10"/>
      <c r="E7" s="10"/>
      <c r="F7" s="10"/>
      <c r="G7" s="10"/>
      <c r="H7" s="11" t="s">
        <v>330</v>
      </c>
      <c r="I7" s="11" t="s">
        <v>331</v>
      </c>
      <c r="J7" s="10"/>
      <c r="K7" s="10"/>
      <c r="L7" s="10"/>
      <c r="M7" s="10"/>
      <c r="N7" s="10"/>
      <c r="O7" s="10"/>
      <c r="P7" s="10" t="s">
        <v>332</v>
      </c>
      <c r="Q7" s="10"/>
      <c r="R7" s="11" t="s">
        <v>132</v>
      </c>
    </row>
    <row r="8" customFormat="false" ht="15" hidden="false" customHeight="true" outlineLevel="0" collapsed="false">
      <c r="A8" s="10" t="s">
        <v>333</v>
      </c>
      <c r="B8" s="11" t="s">
        <v>334</v>
      </c>
      <c r="C8" s="10"/>
      <c r="D8" s="10"/>
      <c r="E8" s="10"/>
      <c r="F8" s="10"/>
      <c r="G8" s="10"/>
      <c r="H8" s="11" t="s">
        <v>330</v>
      </c>
      <c r="I8" s="11" t="s">
        <v>331</v>
      </c>
      <c r="J8" s="10"/>
      <c r="K8" s="10"/>
      <c r="L8" s="10"/>
      <c r="M8" s="10"/>
      <c r="N8" s="10"/>
      <c r="O8" s="10"/>
      <c r="P8" s="10" t="s">
        <v>332</v>
      </c>
      <c r="Q8" s="10"/>
      <c r="R8" s="11" t="s">
        <v>132</v>
      </c>
    </row>
    <row r="9" customFormat="false" ht="39" hidden="false" customHeight="true" outlineLevel="0" collapsed="false">
      <c r="A9" s="10" t="s">
        <v>335</v>
      </c>
      <c r="B9" s="11" t="s">
        <v>336</v>
      </c>
      <c r="C9" s="10"/>
      <c r="D9" s="10"/>
      <c r="E9" s="10"/>
      <c r="F9" s="10"/>
      <c r="G9" s="10"/>
      <c r="H9" s="11" t="s">
        <v>330</v>
      </c>
      <c r="I9" s="11" t="s">
        <v>331</v>
      </c>
      <c r="J9" s="10"/>
      <c r="K9" s="10"/>
      <c r="L9" s="10"/>
      <c r="M9" s="10"/>
      <c r="N9" s="10"/>
      <c r="O9" s="10"/>
      <c r="P9" s="10" t="s">
        <v>236</v>
      </c>
      <c r="Q9" s="11" t="s">
        <v>337</v>
      </c>
      <c r="R9" s="11" t="s">
        <v>132</v>
      </c>
    </row>
    <row r="10" customFormat="false" ht="15" hidden="false" customHeight="true" outlineLevel="0" collapsed="false">
      <c r="A10" s="10" t="s">
        <v>338</v>
      </c>
      <c r="B10" s="11" t="s">
        <v>339</v>
      </c>
      <c r="C10" s="10"/>
      <c r="D10" s="10"/>
      <c r="E10" s="10"/>
      <c r="F10" s="10"/>
      <c r="G10" s="10"/>
      <c r="H10" s="11" t="s">
        <v>302</v>
      </c>
      <c r="I10" s="11" t="s">
        <v>303</v>
      </c>
      <c r="J10" s="10"/>
      <c r="K10" s="10"/>
      <c r="L10" s="10"/>
      <c r="M10" s="10"/>
      <c r="N10" s="10"/>
      <c r="O10" s="10"/>
      <c r="P10" s="10" t="s">
        <v>236</v>
      </c>
      <c r="Q10" s="10" t="s">
        <v>142</v>
      </c>
      <c r="R10" s="11" t="s">
        <v>138</v>
      </c>
    </row>
    <row r="11" customFormat="false" ht="15" hidden="false" customHeight="true" outlineLevel="0" collapsed="false">
      <c r="A11" s="10" t="s">
        <v>340</v>
      </c>
      <c r="B11" s="11" t="s">
        <v>341</v>
      </c>
      <c r="C11" s="10"/>
      <c r="D11" s="10"/>
      <c r="E11" s="10"/>
      <c r="F11" s="10"/>
      <c r="G11" s="10"/>
      <c r="H11" s="11" t="s">
        <v>342</v>
      </c>
      <c r="I11" s="11" t="s">
        <v>331</v>
      </c>
      <c r="J11" s="10"/>
      <c r="K11" s="10"/>
      <c r="L11" s="10"/>
      <c r="M11" s="10"/>
      <c r="N11" s="10"/>
      <c r="O11" s="10"/>
      <c r="P11" s="10" t="s">
        <v>158</v>
      </c>
      <c r="Q11" s="10"/>
      <c r="R11" s="11" t="s">
        <v>132</v>
      </c>
    </row>
    <row r="12" customFormat="false" ht="51.75" hidden="false" customHeight="true" outlineLevel="0" collapsed="false">
      <c r="A12" s="12" t="s">
        <v>343</v>
      </c>
      <c r="B12" s="13" t="s">
        <v>344</v>
      </c>
      <c r="C12" s="12" t="s">
        <v>345</v>
      </c>
      <c r="D12" s="13" t="s">
        <v>346</v>
      </c>
      <c r="E12" s="13" t="s">
        <v>347</v>
      </c>
      <c r="F12" s="12" t="s">
        <v>348</v>
      </c>
      <c r="G12" s="12" t="s">
        <v>349</v>
      </c>
      <c r="H12" s="13" t="s">
        <v>119</v>
      </c>
      <c r="I12" s="13" t="s">
        <v>350</v>
      </c>
      <c r="J12" s="13" t="s">
        <v>351</v>
      </c>
      <c r="K12" s="13" t="s">
        <v>352</v>
      </c>
      <c r="L12" s="13" t="s">
        <v>353</v>
      </c>
      <c r="M12" s="13" t="s">
        <v>354</v>
      </c>
      <c r="N12" s="13" t="s">
        <v>355</v>
      </c>
      <c r="O12" s="13" t="s">
        <v>356</v>
      </c>
      <c r="P12" s="12" t="s">
        <v>357</v>
      </c>
      <c r="Q12" s="12"/>
      <c r="R12" s="13" t="s">
        <v>128</v>
      </c>
    </row>
    <row r="13" customFormat="false" ht="15" hidden="false" customHeight="true" outlineLevel="0" collapsed="false">
      <c r="A13" s="10" t="s">
        <v>358</v>
      </c>
      <c r="B13" s="11" t="s">
        <v>359</v>
      </c>
      <c r="C13" s="10"/>
      <c r="D13" s="10"/>
      <c r="E13" s="10"/>
      <c r="F13" s="10"/>
      <c r="G13" s="10"/>
      <c r="H13" s="11" t="s">
        <v>119</v>
      </c>
      <c r="I13" s="11" t="s">
        <v>350</v>
      </c>
      <c r="J13" s="10"/>
      <c r="K13" s="10"/>
      <c r="L13" s="10"/>
      <c r="M13" s="10"/>
      <c r="N13" s="10"/>
      <c r="O13" s="10"/>
      <c r="P13" s="10" t="s">
        <v>168</v>
      </c>
      <c r="Q13" s="10"/>
      <c r="R13" s="11" t="s">
        <v>132</v>
      </c>
    </row>
    <row r="14" customFormat="false" ht="51.75" hidden="false" customHeight="true" outlineLevel="0" collapsed="false">
      <c r="A14" s="10" t="s">
        <v>360</v>
      </c>
      <c r="B14" s="11" t="s">
        <v>361</v>
      </c>
      <c r="C14" s="10"/>
      <c r="D14" s="10"/>
      <c r="E14" s="10"/>
      <c r="F14" s="10"/>
      <c r="G14" s="10"/>
      <c r="H14" s="11" t="s">
        <v>119</v>
      </c>
      <c r="I14" s="11" t="s">
        <v>350</v>
      </c>
      <c r="J14" s="10"/>
      <c r="K14" s="10"/>
      <c r="L14" s="10"/>
      <c r="M14" s="10"/>
      <c r="N14" s="10"/>
      <c r="O14" s="10"/>
      <c r="P14" s="10" t="s">
        <v>126</v>
      </c>
      <c r="Q14" s="11" t="s">
        <v>362</v>
      </c>
      <c r="R14" s="11" t="s">
        <v>132</v>
      </c>
    </row>
    <row r="15" customFormat="false" ht="15" hidden="false" customHeight="true" outlineLevel="0" collapsed="false">
      <c r="A15" s="10" t="s">
        <v>363</v>
      </c>
      <c r="B15" s="11" t="s">
        <v>364</v>
      </c>
      <c r="C15" s="10"/>
      <c r="D15" s="10"/>
      <c r="E15" s="10"/>
      <c r="F15" s="10"/>
      <c r="G15" s="10"/>
      <c r="H15" s="11" t="s">
        <v>119</v>
      </c>
      <c r="I15" s="11" t="s">
        <v>350</v>
      </c>
      <c r="J15" s="10"/>
      <c r="K15" s="10"/>
      <c r="L15" s="10"/>
      <c r="M15" s="10"/>
      <c r="N15" s="10"/>
      <c r="O15" s="10"/>
      <c r="P15" s="10" t="s">
        <v>171</v>
      </c>
      <c r="Q15" s="10"/>
      <c r="R15" s="11" t="s">
        <v>132</v>
      </c>
    </row>
    <row r="16" customFormat="false" ht="26.25" hidden="false" customHeight="true" outlineLevel="0" collapsed="false">
      <c r="A16" s="10" t="s">
        <v>365</v>
      </c>
      <c r="B16" s="11" t="s">
        <v>366</v>
      </c>
      <c r="C16" s="10"/>
      <c r="D16" s="10"/>
      <c r="E16" s="10"/>
      <c r="F16" s="10"/>
      <c r="G16" s="10"/>
      <c r="H16" s="11" t="s">
        <v>119</v>
      </c>
      <c r="I16" s="11" t="s">
        <v>350</v>
      </c>
      <c r="J16" s="10"/>
      <c r="K16" s="10"/>
      <c r="L16" s="10"/>
      <c r="M16" s="10"/>
      <c r="N16" s="10"/>
      <c r="O16" s="10"/>
      <c r="P16" s="10" t="s">
        <v>245</v>
      </c>
      <c r="Q16" s="10" t="s">
        <v>246</v>
      </c>
      <c r="R16" s="11" t="s">
        <v>138</v>
      </c>
    </row>
    <row r="17" customFormat="false" ht="15" hidden="false" customHeight="true" outlineLevel="0" collapsed="false">
      <c r="A17" s="10" t="s">
        <v>367</v>
      </c>
      <c r="B17" s="11" t="s">
        <v>368</v>
      </c>
      <c r="C17" s="10"/>
      <c r="D17" s="10"/>
      <c r="E17" s="10"/>
      <c r="F17" s="10"/>
      <c r="G17" s="10"/>
      <c r="H17" s="11" t="s">
        <v>261</v>
      </c>
      <c r="I17" s="11" t="s">
        <v>369</v>
      </c>
      <c r="J17" s="10"/>
      <c r="K17" s="10"/>
      <c r="L17" s="10"/>
      <c r="M17" s="10"/>
      <c r="N17" s="10"/>
      <c r="O17" s="10"/>
      <c r="P17" s="10" t="s">
        <v>284</v>
      </c>
      <c r="Q17" s="10"/>
      <c r="R17" s="11" t="s">
        <v>132</v>
      </c>
    </row>
    <row r="18" customFormat="false" ht="15" hidden="false" customHeight="true" outlineLevel="0" collapsed="false">
      <c r="A18" s="10" t="s">
        <v>370</v>
      </c>
      <c r="B18" s="11" t="s">
        <v>371</v>
      </c>
      <c r="C18" s="10"/>
      <c r="D18" s="10"/>
      <c r="E18" s="10"/>
      <c r="F18" s="10"/>
      <c r="G18" s="10"/>
      <c r="H18" s="11" t="s">
        <v>261</v>
      </c>
      <c r="I18" s="11" t="s">
        <v>369</v>
      </c>
      <c r="J18" s="10"/>
      <c r="K18" s="10"/>
      <c r="L18" s="10"/>
      <c r="M18" s="10"/>
      <c r="N18" s="10"/>
      <c r="O18" s="10"/>
      <c r="P18" s="10" t="s">
        <v>372</v>
      </c>
      <c r="Q18" s="10"/>
      <c r="R18" s="11" t="s">
        <v>132</v>
      </c>
    </row>
    <row r="19" customFormat="false" ht="15" hidden="false" customHeight="true" outlineLevel="0" collapsed="false">
      <c r="A19" s="10" t="s">
        <v>373</v>
      </c>
      <c r="B19" s="10" t="s">
        <v>374</v>
      </c>
      <c r="C19" s="10"/>
      <c r="D19" s="10"/>
      <c r="E19" s="10"/>
      <c r="F19" s="10"/>
      <c r="G19" s="10"/>
      <c r="H19" s="11" t="s">
        <v>119</v>
      </c>
      <c r="I19" s="11" t="s">
        <v>350</v>
      </c>
      <c r="J19" s="10"/>
      <c r="K19" s="10"/>
      <c r="L19" s="10"/>
      <c r="M19" s="10"/>
      <c r="N19" s="10"/>
      <c r="O19" s="10"/>
      <c r="P19" s="10" t="s">
        <v>375</v>
      </c>
      <c r="Q19" s="10"/>
      <c r="R19" s="11" t="s">
        <v>132</v>
      </c>
    </row>
    <row r="20" customFormat="false" ht="26.25" hidden="false" customHeight="true" outlineLevel="0" collapsed="false">
      <c r="A20" s="10" t="s">
        <v>376</v>
      </c>
      <c r="B20" s="11" t="s">
        <v>377</v>
      </c>
      <c r="C20" s="10"/>
      <c r="D20" s="10"/>
      <c r="E20" s="10"/>
      <c r="F20" s="10"/>
      <c r="G20" s="10"/>
      <c r="H20" s="11" t="s">
        <v>119</v>
      </c>
      <c r="I20" s="11" t="s">
        <v>378</v>
      </c>
      <c r="J20" s="10"/>
      <c r="K20" s="10"/>
      <c r="L20" s="10"/>
      <c r="M20" s="10"/>
      <c r="N20" s="10"/>
      <c r="O20" s="10"/>
      <c r="P20" s="10" t="s">
        <v>379</v>
      </c>
      <c r="Q20" s="11" t="s">
        <v>380</v>
      </c>
      <c r="R20" s="11" t="s">
        <v>132</v>
      </c>
    </row>
    <row r="21" customFormat="false" ht="15" hidden="false" customHeight="true" outlineLevel="0" collapsed="false">
      <c r="A21" s="10" t="s">
        <v>381</v>
      </c>
      <c r="B21" s="11" t="s">
        <v>382</v>
      </c>
      <c r="C21" s="10"/>
      <c r="D21" s="10"/>
      <c r="E21" s="10"/>
      <c r="F21" s="10"/>
      <c r="G21" s="10"/>
      <c r="H21" s="11" t="s">
        <v>383</v>
      </c>
      <c r="I21" s="11" t="s">
        <v>384</v>
      </c>
      <c r="J21" s="10"/>
      <c r="K21" s="10"/>
      <c r="L21" s="10"/>
      <c r="M21" s="10"/>
      <c r="N21" s="10"/>
      <c r="O21" s="10"/>
      <c r="P21" s="10" t="s">
        <v>385</v>
      </c>
      <c r="Q21" s="10"/>
      <c r="R21" s="11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6"/>
    <col collapsed="false" customWidth="true" hidden="false" outlineLevel="0" max="3" min="3" style="1" width="40"/>
    <col collapsed="false" customWidth="true" hidden="false" outlineLevel="0" max="4" min="4" style="1" width="44"/>
    <col collapsed="false" customWidth="true" hidden="false" outlineLevel="0" max="5" min="5" style="1" width="14"/>
  </cols>
  <sheetData>
    <row r="1" customFormat="false" ht="31.5" hidden="false" customHeight="true" outlineLevel="0" collapsed="false">
      <c r="A1" s="9" t="s">
        <v>31</v>
      </c>
      <c r="B1" s="9" t="s">
        <v>386</v>
      </c>
      <c r="C1" s="9" t="s">
        <v>387</v>
      </c>
      <c r="D1" s="9" t="s">
        <v>388</v>
      </c>
      <c r="E1" s="9" t="s">
        <v>389</v>
      </c>
    </row>
    <row r="2" customFormat="false" ht="90" hidden="false" customHeight="true" outlineLevel="0" collapsed="false">
      <c r="A2" s="10" t="s">
        <v>247</v>
      </c>
      <c r="B2" s="11" t="s">
        <v>390</v>
      </c>
      <c r="C2" s="11" t="s">
        <v>391</v>
      </c>
      <c r="D2" s="11" t="s">
        <v>392</v>
      </c>
      <c r="E2" s="10" t="s">
        <v>393</v>
      </c>
    </row>
    <row r="3" customFormat="false" ht="39" hidden="false" customHeight="true" outlineLevel="0" collapsed="false">
      <c r="A3" s="10" t="s">
        <v>206</v>
      </c>
      <c r="B3" s="11" t="s">
        <v>394</v>
      </c>
      <c r="C3" s="11" t="s">
        <v>395</v>
      </c>
      <c r="D3" s="11" t="s">
        <v>396</v>
      </c>
      <c r="E3" s="10" t="s">
        <v>397</v>
      </c>
    </row>
    <row r="4" customFormat="false" ht="26.25" hidden="false" customHeight="true" outlineLevel="0" collapsed="false">
      <c r="A4" s="10" t="s">
        <v>218</v>
      </c>
      <c r="B4" s="11" t="s">
        <v>398</v>
      </c>
      <c r="C4" s="11" t="s">
        <v>399</v>
      </c>
      <c r="D4" s="11" t="s">
        <v>400</v>
      </c>
      <c r="E4" s="10" t="s">
        <v>401</v>
      </c>
    </row>
    <row r="5" customFormat="false" ht="15" hidden="false" customHeight="true" outlineLevel="0" collapsed="false">
      <c r="A5" s="10" t="s">
        <v>360</v>
      </c>
      <c r="B5" s="11" t="s">
        <v>402</v>
      </c>
      <c r="C5" s="11" t="s">
        <v>403</v>
      </c>
      <c r="D5" s="11" t="s">
        <v>404</v>
      </c>
      <c r="E5" s="10" t="s">
        <v>401</v>
      </c>
    </row>
    <row r="6" customFormat="false" ht="15" hidden="false" customHeight="true" outlineLevel="0" collapsed="false">
      <c r="A6" s="10" t="s">
        <v>233</v>
      </c>
      <c r="B6" s="11" t="s">
        <v>405</v>
      </c>
      <c r="C6" s="11" t="s">
        <v>406</v>
      </c>
      <c r="D6" s="11" t="s">
        <v>407</v>
      </c>
      <c r="E6" s="10" t="s">
        <v>393</v>
      </c>
    </row>
    <row r="7" customFormat="false" ht="26.25" hidden="false" customHeight="true" outlineLevel="0" collapsed="false">
      <c r="A7" s="10" t="s">
        <v>335</v>
      </c>
      <c r="B7" s="11" t="s">
        <v>408</v>
      </c>
      <c r="C7" s="11" t="s">
        <v>409</v>
      </c>
      <c r="D7" s="11" t="s">
        <v>410</v>
      </c>
      <c r="E7" s="10" t="s">
        <v>411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8"/>
    <col collapsed="false" customWidth="true" hidden="false" outlineLevel="0" max="3" min="3" style="1" width="12"/>
    <col collapsed="false" customWidth="true" hidden="false" outlineLevel="0" max="4" min="4" style="1" width="22"/>
    <col collapsed="false" customWidth="true" hidden="false" outlineLevel="0" max="5" min="5" style="1" width="18"/>
    <col collapsed="false" customWidth="true" hidden="false" outlineLevel="0" max="6" min="6" style="1" width="36"/>
    <col collapsed="false" customWidth="true" hidden="false" outlineLevel="0" max="7" min="7" style="1" width="40"/>
    <col collapsed="false" customWidth="true" hidden="false" outlineLevel="0" max="8" min="8" style="1" width="10"/>
    <col collapsed="false" customWidth="true" hidden="false" outlineLevel="0" max="9" min="9" style="1" width="26"/>
  </cols>
  <sheetData>
    <row r="1" customFormat="false" ht="31.5" hidden="false" customHeight="true" outlineLevel="0" collapsed="false">
      <c r="A1" s="9" t="s">
        <v>412</v>
      </c>
      <c r="B1" s="9" t="s">
        <v>31</v>
      </c>
      <c r="C1" s="9" t="s">
        <v>413</v>
      </c>
      <c r="D1" s="9" t="s">
        <v>414</v>
      </c>
      <c r="E1" s="9" t="s">
        <v>415</v>
      </c>
      <c r="F1" s="9" t="s">
        <v>416</v>
      </c>
      <c r="G1" s="9" t="s">
        <v>417</v>
      </c>
      <c r="H1" s="9" t="s">
        <v>418</v>
      </c>
      <c r="I1" s="9" t="s">
        <v>419</v>
      </c>
    </row>
    <row r="2" customFormat="false" ht="26.25" hidden="false" customHeight="true" outlineLevel="0" collapsed="false">
      <c r="A2" s="13" t="s">
        <v>420</v>
      </c>
      <c r="B2" s="12" t="s">
        <v>110</v>
      </c>
      <c r="C2" s="12" t="s">
        <v>421</v>
      </c>
      <c r="D2" s="13" t="s">
        <v>422</v>
      </c>
      <c r="E2" s="13" t="s">
        <v>423</v>
      </c>
      <c r="F2" s="13" t="s">
        <v>424</v>
      </c>
      <c r="G2" s="13" t="s">
        <v>425</v>
      </c>
      <c r="H2" s="12" t="s">
        <v>426</v>
      </c>
      <c r="I2" s="12" t="s">
        <v>427</v>
      </c>
    </row>
    <row r="3" customFormat="false" ht="15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</row>
    <row r="4" customFormat="false" ht="15" hidden="false" customHeight="true" outlineLevel="0" collapsed="false">
      <c r="A4" s="10"/>
      <c r="B4" s="10"/>
      <c r="C4" s="10"/>
      <c r="D4" s="10"/>
      <c r="E4" s="10"/>
      <c r="F4" s="10"/>
      <c r="G4" s="10"/>
      <c r="H4" s="10"/>
      <c r="I4" s="10"/>
    </row>
    <row r="5" customFormat="false" ht="15" hidden="false" customHeight="true" outlineLevel="0" collapsed="false">
      <c r="A5" s="10"/>
      <c r="B5" s="10"/>
      <c r="C5" s="10"/>
      <c r="D5" s="10"/>
      <c r="E5" s="10"/>
      <c r="F5" s="10"/>
      <c r="G5" s="10"/>
      <c r="H5" s="10"/>
      <c r="I5" s="10"/>
    </row>
    <row r="6" customFormat="false" ht="15" hidden="false" customHeight="true" outlineLevel="0" collapsed="false">
      <c r="A6" s="10"/>
      <c r="B6" s="10"/>
      <c r="C6" s="10"/>
      <c r="D6" s="10"/>
      <c r="E6" s="10"/>
      <c r="F6" s="10"/>
      <c r="G6" s="10"/>
      <c r="H6" s="10"/>
      <c r="I6" s="10"/>
    </row>
    <row r="7" customFormat="false" ht="15" hidden="false" customHeight="true" outlineLevel="0" collapsed="false">
      <c r="A7" s="10"/>
      <c r="B7" s="10"/>
      <c r="C7" s="10"/>
      <c r="D7" s="10"/>
      <c r="E7" s="10"/>
      <c r="F7" s="10"/>
      <c r="G7" s="10"/>
      <c r="H7" s="10"/>
      <c r="I7" s="10"/>
    </row>
    <row r="8" customFormat="false" ht="15" hidden="false" customHeight="true" outlineLevel="0" collapsed="false">
      <c r="A8" s="10"/>
      <c r="B8" s="10"/>
      <c r="C8" s="10"/>
      <c r="D8" s="10"/>
      <c r="E8" s="10"/>
      <c r="F8" s="10"/>
      <c r="G8" s="10"/>
      <c r="H8" s="10"/>
      <c r="I8" s="10"/>
    </row>
    <row r="9" customFormat="false" ht="15" hidden="false" customHeight="true" outlineLevel="0" collapsed="false">
      <c r="A9" s="10"/>
      <c r="B9" s="10"/>
      <c r="C9" s="10"/>
      <c r="D9" s="10"/>
      <c r="E9" s="10"/>
      <c r="F9" s="10"/>
      <c r="G9" s="10"/>
      <c r="H9" s="10"/>
      <c r="I9" s="10"/>
    </row>
    <row r="10" customFormat="false" ht="15" hidden="false" customHeight="true" outlineLevel="0" collapsed="false">
      <c r="A10" s="10"/>
      <c r="B10" s="10"/>
      <c r="C10" s="10"/>
      <c r="D10" s="10"/>
      <c r="E10" s="10"/>
      <c r="F10" s="10"/>
      <c r="G10" s="10"/>
      <c r="H10" s="10"/>
      <c r="I10" s="10"/>
    </row>
    <row r="11" customFormat="false" ht="15" hidden="false" customHeight="true" outlineLevel="0" collapsed="false">
      <c r="A11" s="10"/>
      <c r="B11" s="10"/>
      <c r="C11" s="10"/>
      <c r="D11" s="10"/>
      <c r="E11" s="10"/>
      <c r="F11" s="10"/>
      <c r="G11" s="10"/>
      <c r="H11" s="10"/>
      <c r="I11" s="10"/>
    </row>
    <row r="12" customFormat="false" ht="15" hidden="false" customHeight="true" outlineLevel="0" collapsed="false">
      <c r="A12" s="10"/>
      <c r="B12" s="10"/>
      <c r="C12" s="10"/>
      <c r="D12" s="10"/>
      <c r="E12" s="10"/>
      <c r="F12" s="10"/>
      <c r="G12" s="10"/>
      <c r="H12" s="10"/>
      <c r="I12" s="10"/>
    </row>
    <row r="13" customFormat="false" ht="15" hidden="false" customHeight="true" outlineLevel="0" collapsed="false">
      <c r="A13" s="10"/>
      <c r="B13" s="10"/>
      <c r="C13" s="10"/>
      <c r="D13" s="10"/>
      <c r="E13" s="10"/>
      <c r="F13" s="10"/>
      <c r="G13" s="10"/>
      <c r="H13" s="10"/>
      <c r="I13" s="10"/>
    </row>
    <row r="14" customFormat="false" ht="15" hidden="false" customHeight="true" outlineLevel="0" collapsed="false">
      <c r="A14" s="10"/>
      <c r="B14" s="10"/>
      <c r="C14" s="10"/>
      <c r="D14" s="10"/>
      <c r="E14" s="10"/>
      <c r="F14" s="10"/>
      <c r="G14" s="10"/>
      <c r="H14" s="10"/>
      <c r="I14" s="10"/>
    </row>
    <row r="15" customFormat="false" ht="15" hidden="false" customHeight="true" outlineLevel="0" collapsed="false">
      <c r="A15" s="10"/>
      <c r="B15" s="10"/>
      <c r="C15" s="10"/>
      <c r="D15" s="10"/>
      <c r="E15" s="10"/>
      <c r="F15" s="10"/>
      <c r="G15" s="10"/>
      <c r="H15" s="10"/>
      <c r="I15" s="10"/>
    </row>
    <row r="16" customFormat="false" ht="15" hidden="false" customHeight="true" outlineLevel="0" collapsed="false">
      <c r="A16" s="10"/>
      <c r="B16" s="10"/>
      <c r="C16" s="10"/>
      <c r="D16" s="10"/>
      <c r="E16" s="10"/>
      <c r="F16" s="10"/>
      <c r="G16" s="10"/>
      <c r="H16" s="10"/>
      <c r="I16" s="10"/>
    </row>
    <row r="17" customFormat="false" ht="15" hidden="false" customHeight="true" outlineLevel="0" collapsed="false">
      <c r="A17" s="10"/>
      <c r="B17" s="10"/>
      <c r="C17" s="10"/>
      <c r="D17" s="10"/>
      <c r="E17" s="10"/>
      <c r="F17" s="10"/>
      <c r="G17" s="10"/>
      <c r="H17" s="10"/>
      <c r="I17" s="10"/>
    </row>
    <row r="18" customFormat="false" ht="15" hidden="false" customHeight="true" outlineLevel="0" collapsed="false">
      <c r="A18" s="10"/>
      <c r="B18" s="10"/>
      <c r="C18" s="10"/>
      <c r="D18" s="10"/>
      <c r="E18" s="10"/>
      <c r="F18" s="10"/>
      <c r="G18" s="10"/>
      <c r="H18" s="10"/>
      <c r="I18" s="10"/>
    </row>
    <row r="19" customFormat="false" ht="15" hidden="false" customHeight="true" outlineLevel="0" collapsed="false">
      <c r="A19" s="10"/>
      <c r="B19" s="10"/>
      <c r="C19" s="10"/>
      <c r="D19" s="10"/>
      <c r="E19" s="10"/>
      <c r="F19" s="10"/>
      <c r="G19" s="10"/>
      <c r="H19" s="10"/>
      <c r="I19" s="10"/>
    </row>
    <row r="20" customFormat="false" ht="15" hidden="false" customHeight="true" outlineLevel="0" collapsed="false">
      <c r="A20" s="10"/>
      <c r="B20" s="10"/>
      <c r="C20" s="10"/>
      <c r="D20" s="10"/>
      <c r="E20" s="10"/>
      <c r="F20" s="10"/>
      <c r="G20" s="10"/>
      <c r="H20" s="10"/>
      <c r="I20" s="10"/>
    </row>
    <row r="21" customFormat="false" ht="15" hidden="false" customHeight="true" outlineLevel="0" collapsed="false">
      <c r="A21" s="10"/>
      <c r="B21" s="10"/>
      <c r="C21" s="10"/>
      <c r="D21" s="10"/>
      <c r="E21" s="10"/>
      <c r="F21" s="10"/>
      <c r="G21" s="10"/>
      <c r="H21" s="10"/>
      <c r="I21" s="10"/>
    </row>
    <row r="22" customFormat="false" ht="15" hidden="false" customHeight="true" outlineLevel="0" collapsed="false">
      <c r="A22" s="10"/>
      <c r="B22" s="10"/>
      <c r="C22" s="10"/>
      <c r="D22" s="10"/>
      <c r="E22" s="10"/>
      <c r="F22" s="10"/>
      <c r="G22" s="10"/>
      <c r="H22" s="10"/>
      <c r="I22" s="10"/>
    </row>
    <row r="24" customFormat="false" ht="15" hidden="false" customHeight="true" outlineLevel="0" collapsed="false">
      <c r="A24" s="16" t="s">
        <v>428</v>
      </c>
      <c r="B24" s="16"/>
      <c r="C24" s="16"/>
      <c r="D24" s="16"/>
      <c r="E24" s="16"/>
      <c r="F24" s="16"/>
      <c r="G24" s="16"/>
      <c r="H24" s="16"/>
      <c r="I24" s="16"/>
    </row>
  </sheetData>
  <mergeCells count="1">
    <mergeCell ref="A24:I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2026-09-13T14:31:23Z</dcterms:created>
  <dc:creator>openpyxl</dc:creator>
  <dc:description/>
  <dc:language>en-US</dc:language>
  <cp:lastModifiedBy/>
  <dcterms:modified xsi:type="dcterms:W3CDTF">2026-09-13T14:35:12Z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