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Instructions" sheetId="1" state="visible" r:id="rId1"/>
    <sheet xmlns:r="http://schemas.openxmlformats.org/officeDocument/2006/relationships" name="问题单 Questions" sheetId="2" state="visible" r:id="rId2"/>
    <sheet xmlns:r="http://schemas.openxmlformats.org/officeDocument/2006/relationships" name="汇总 Summary" sheetId="3" state="visible" r:id="rId3"/>
  </sheets>
  <definedNames>
    <definedName name="_xlnm._FilterDatabase" localSheetId="1" hidden="1">'问题单 Questions'!$A$1:$J$38</definedName>
    <definedName name="_xlnm.Print_Titles" localSheetId="1">'问题单 Questions'!$1:$1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charset val="1"/>
      <family val="0"/>
      <b val="1"/>
      <sz val="16"/>
    </font>
    <font>
      <name val="Arial"/>
      <charset val="1"/>
      <family val="0"/>
      <b val="1"/>
      <sz val="13"/>
    </font>
    <font>
      <name val="Arial"/>
      <charset val="1"/>
      <family val="0"/>
      <sz val="10"/>
    </font>
    <font>
      <name val="Noto Sans CJK SC"/>
      <family val="2"/>
      <b val="1"/>
      <sz val="12"/>
    </font>
    <font>
      <name val="Noto Sans CJK SC"/>
      <family val="2"/>
      <b val="1"/>
      <color rgb="FFFFFFFF"/>
      <sz val="10"/>
    </font>
    <font>
      <name val="Arial"/>
      <charset val="1"/>
      <family val="0"/>
      <b val="1"/>
      <color rgb="FFFFFFFF"/>
      <sz val="10"/>
    </font>
    <font>
      <name val="Arial"/>
      <charset val="1"/>
      <family val="0"/>
      <b val="1"/>
      <sz val="10"/>
    </font>
    <font>
      <name val="Calibri"/>
      <charset val="1"/>
      <family val="2"/>
      <color theme="1"/>
      <sz val="11"/>
    </font>
    <font>
      <name val="Noto Sans CJK SC"/>
      <family val="2"/>
      <sz val="10"/>
    </font>
    <font>
      <name val="Noto Sans CJK SC"/>
      <family val="2"/>
      <b val="1"/>
      <sz val="10"/>
    </font>
  </fonts>
  <fills count="5">
    <fill>
      <patternFill/>
    </fill>
    <fill>
      <patternFill patternType="gray125"/>
    </fill>
    <fill>
      <patternFill patternType="solid">
        <fgColor rgb="FF1F3864"/>
        <bgColor rgb="FF333333"/>
      </patternFill>
    </fill>
    <fill>
      <patternFill patternType="solid">
        <fgColor rgb="FFD9E2F3"/>
        <bgColor rgb="FFCCFFFF"/>
      </patternFill>
    </fill>
    <fill>
      <patternFill patternType="solid">
        <fgColor rgb="FFFFF2CC"/>
        <bgColor rgb="FFFFFFFF"/>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general" vertical="bottom"/>
    </xf>
    <xf numFmtId="0" fontId="2" fillId="0" borderId="0" applyAlignment="1" pivotButton="0" quotePrefix="0" xfId="0">
      <alignment horizontal="general" vertical="bottom"/>
    </xf>
    <xf numFmtId="0" fontId="3"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general" vertical="bottom"/>
    </xf>
    <xf numFmtId="0" fontId="0" fillId="0" borderId="2" pivotButton="0" quotePrefix="0" xfId="0"/>
    <xf numFmtId="0" fontId="0" fillId="0" borderId="3" pivotButton="0" quotePrefix="0" xfId="0"/>
    <xf numFmtId="0" fontId="3"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3" fillId="4" borderId="1" applyAlignment="1" pivotButton="0" quotePrefix="0" xfId="0">
      <alignment horizontal="general" vertical="top" wrapText="1"/>
    </xf>
    <xf numFmtId="0" fontId="5" fillId="2" borderId="1" applyAlignment="1" pivotButton="0" quotePrefix="0" xfId="0">
      <alignment horizontal="general" vertical="bottom"/>
    </xf>
    <xf numFmtId="0" fontId="9" fillId="0" borderId="1" applyAlignment="1" pivotButton="0" quotePrefix="0" xfId="0">
      <alignment horizontal="general" vertical="bottom"/>
    </xf>
    <xf numFmtId="0" fontId="10" fillId="0" borderId="1" applyAlignment="1" pivotButton="0" quotePrefix="0" xfId="0">
      <alignment horizontal="general"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30" customWidth="1" min="1" max="1"/>
  </cols>
  <sheetData>
    <row r="1">
      <c r="A1" s="1" t="inlineStr">
        <is>
          <t>CloudICP CMS 接口澄清问题单</t>
        </is>
      </c>
    </row>
    <row r="2">
      <c r="A2" s="2" t="inlineStr">
        <is>
          <t>CloudICP CMS Interface — Clarification Questions</t>
        </is>
      </c>
    </row>
    <row r="3">
      <c r="A3" s="3" t="n"/>
    </row>
    <row r="4">
      <c r="A4" s="3" t="inlineStr">
        <is>
          <t>提出方 From：Nexora-BI（OSS911 BI 与数据仓库子系统）</t>
        </is>
      </c>
    </row>
    <row r="5">
      <c r="A5" s="3" t="inlineStr">
        <is>
          <t>依据 Based on：《CloudICP V100R023C00 Interface Reference》（话单下载、历史指标、配置同步接口）</t>
        </is>
      </c>
    </row>
    <row r="6">
      <c r="A6" s="3" t="inlineStr">
        <is>
          <t>日期 Date：2026-10-14</t>
        </is>
      </c>
    </row>
    <row r="7">
      <c r="A7" s="3" t="n"/>
    </row>
    <row r="8">
      <c r="A8" s="4" t="inlineStr">
        <is>
          <t>填写说明 How to answer</t>
        </is>
      </c>
    </row>
    <row r="9">
      <c r="A9" s="3" t="inlineStr">
        <is>
          <t>1. 请在「问题单 Questions」页签中，于黄色底色的三列填写：答复、答复人、答复日期。其余各列请勿修改。</t>
        </is>
      </c>
    </row>
    <row r="10">
      <c r="A10" s="3" t="inlineStr">
        <is>
          <t xml:space="preserve">   Please fill in the three yellow columns on the "Questions" sheet: Answer, Answered by, Date. Please do not edit other columns.</t>
        </is>
      </c>
    </row>
    <row r="11">
      <c r="A11" s="3" t="inlineStr">
        <is>
          <t>2. 很多问题是文档未写明、需要以平台实际表现为准的行为。能在平台上实测给出的，请以实测结果答复，并注明「实测」。</t>
        </is>
      </c>
    </row>
    <row r="12">
      <c r="A12" s="3" t="inlineStr">
        <is>
          <t xml:space="preserve">   Many questions concern behaviour the document does not specify. Where possible, please answer from an actual test on the platform and mark the answer "tested".</t>
        </is>
      </c>
    </row>
    <row r="13">
      <c r="A13" s="3" t="inlineStr">
        <is>
          <t>3. 如问题需要附件（如样例话单、配置导出），请在答复中注明附件文件名。</t>
        </is>
      </c>
    </row>
    <row r="14">
      <c r="A14" s="3" t="inlineStr">
        <is>
          <t xml:space="preserve">   If an answer needs an attachment (e.g. sample CDRs, configuration export), please name the attached file in the answer.</t>
        </is>
      </c>
    </row>
    <row r="15">
      <c r="A15" s="3" t="inlineStr">
        <is>
          <t>4. 「状态」一列可选：待答复 / 已答复 / 需进一步讨论。</t>
        </is>
      </c>
    </row>
    <row r="16">
      <c r="A16" s="3" t="inlineStr">
        <is>
          <t xml:space="preserve">   The "Status" column accepts: Open / Answered / Needs discussion.</t>
        </is>
      </c>
    </row>
    <row r="17">
      <c r="A17" s="3" t="inlineStr">
        <is>
          <t>5. 优先级为「高」的问题会影响接入设计，或猜错时会造成数据缺失而不报错，烦请优先答复。</t>
        </is>
      </c>
    </row>
    <row r="18">
      <c r="A18" s="3" t="inlineStr">
        <is>
          <t xml:space="preserve">   High-priority questions affect the integration design, or would cause silent data loss if guessed wrongly; we would appreciate answers to these first.</t>
        </is>
      </c>
    </row>
    <row r="19">
      <c r="A19" s="3" t="n"/>
    </row>
    <row r="20">
      <c r="A20" s="4" t="inlineStr">
        <is>
          <t>答复示例 Example answer</t>
        </is>
      </c>
    </row>
    <row r="21">
      <c r="A21" s="3" t="inlineStr">
        <is>
          <t>问题：请求参数 startTime / endTime 按 UTC 还是本地时间解释？</t>
        </is>
      </c>
    </row>
    <row r="22">
      <c r="A22" s="3" t="inlineStr">
        <is>
          <t>答复：按 UTC 解释（实测）。</t>
        </is>
      </c>
    </row>
    <row r="23">
      <c r="A23" s="3" t="inlineStr">
        <is>
          <t>Answer: Interpreted as UTC (tested).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J3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52" customWidth="1" min="3" max="3"/>
    <col width="58" customWidth="1" min="4" max="4"/>
    <col width="36" customWidth="1" min="5" max="5"/>
    <col width="10" customWidth="1" min="6" max="6"/>
    <col width="48" customWidth="1" min="7" max="7"/>
    <col width="14" customWidth="1" min="8" max="8"/>
    <col width="12" customWidth="1" min="9" max="9"/>
    <col width="14" customWidth="1" min="10" max="10"/>
  </cols>
  <sheetData>
    <row r="1" ht="31.5" customHeight="1">
      <c r="A1" s="5" t="inlineStr">
        <is>
          <t>编号
No.</t>
        </is>
      </c>
      <c r="B1" s="5" t="inlineStr">
        <is>
          <t>涉及表 / 字段
Table / Field</t>
        </is>
      </c>
      <c r="C1" s="5" t="inlineStr">
        <is>
          <t>问题（中文）</t>
        </is>
      </c>
      <c r="D1" s="6" t="inlineStr">
        <is>
          <t>Question (English)</t>
        </is>
      </c>
      <c r="E1" s="5" t="inlineStr">
        <is>
          <t>为什么需要
Why it matters</t>
        </is>
      </c>
      <c r="F1" s="5" t="inlineStr">
        <is>
          <t>优先级
Priority</t>
        </is>
      </c>
      <c r="G1" s="5" t="inlineStr">
        <is>
          <t>答复
Answer</t>
        </is>
      </c>
      <c r="H1" s="5" t="inlineStr">
        <is>
          <t>答复人
Answered by</t>
        </is>
      </c>
      <c r="I1" s="5" t="inlineStr">
        <is>
          <t>答复日期
Date</t>
        </is>
      </c>
      <c r="J1" s="5" t="inlineStr">
        <is>
          <t>状态
Status</t>
        </is>
      </c>
    </row>
    <row r="2" ht="15" customHeight="1">
      <c r="A2" s="7" t="inlineStr">
        <is>
          <t>A 鉴权、账号与连接 / Authentication, accounts &amp; connectivity</t>
        </is>
      </c>
      <c r="B2" s="8" t="n"/>
      <c r="C2" s="8" t="n"/>
      <c r="D2" s="8" t="n"/>
      <c r="E2" s="8" t="n"/>
      <c r="F2" s="8" t="n"/>
      <c r="G2" s="8" t="n"/>
      <c r="H2" s="8" t="n"/>
      <c r="I2" s="8" t="n"/>
      <c r="J2" s="9" t="n"/>
    </row>
    <row r="3" ht="112" customHeight="1">
      <c r="A3" s="10" t="inlineStr">
        <is>
          <t>Q01</t>
        </is>
      </c>
      <c r="B3" s="10" t="inlineStr">
        <is>
          <t>话单下载接口 · 鉴权（Interface Reference p.1019 / p.903）</t>
        </is>
      </c>
      <c r="C3" s="11" t="inlineStr">
        <is>
          <t>下载话单需要什么账号？文档一处写须系统管理员鉴权（错误码 300-013），另一处写只有具质检权限的 VDN 用户才能鉴权成功；而工号 1–100 为系统管理员、101–59999 为 VDN 用户，两处字面互斥。请明确账号类型与所需权限，并为本系统分配一个专用服务账号。</t>
        </is>
      </c>
      <c r="D3" s="10" t="inlineStr">
        <is>
          <t>Which account type is required to download CDRs? One section says system-administrator authentication is required (error 300-013); another says only VDN users with quality-inspection permission can authenticate. Since IDs 1–100 are system administrators and 101–59999 are VDN users, the two statements contradict each other. Please confirm the account type and permissions required, and allocate a dedicated service account for the BI system.</t>
        </is>
      </c>
      <c r="E3" s="11" t="inlineStr">
        <is>
          <t>不问清，整条接入链路可能在鉴权第一步就走不通。</t>
        </is>
      </c>
      <c r="F3" s="12" t="inlineStr">
        <is>
          <t>高 High</t>
        </is>
      </c>
      <c r="G3" s="13" t="n"/>
      <c r="H3" s="13" t="n"/>
      <c r="I3" s="13" t="n"/>
      <c r="J3" s="11" t="inlineStr">
        <is>
          <t>待答复 Open</t>
        </is>
      </c>
    </row>
    <row r="4" ht="44.5" customHeight="1">
      <c r="A4" s="10" t="inlineStr">
        <is>
          <t>Q02</t>
        </is>
      </c>
      <c r="B4" s="10" t="inlineStr">
        <is>
          <t>鉴权 token</t>
        </is>
      </c>
      <c r="C4" s="11" t="inlineStr">
        <is>
          <t>token 的有效期是多久？过期后返回什么错误码？是否有刷新机制，还是必须重新鉴权？</t>
        </is>
      </c>
      <c r="D4" s="10" t="inlineStr">
        <is>
          <t>What is the token validity period? Which error code is returned when it expires? Is there a refresh mechanism, or must the client re-authenticate?</t>
        </is>
      </c>
      <c r="E4" s="11" t="inlineStr">
        <is>
          <t>决定接入程序的鉴权实现；拿到答复前只能按「token 随时可能失效」处理。</t>
        </is>
      </c>
      <c r="F4" s="12" t="inlineStr">
        <is>
          <t>高 High</t>
        </is>
      </c>
      <c r="G4" s="13" t="n"/>
      <c r="H4" s="13" t="n"/>
      <c r="I4" s="13" t="n"/>
      <c r="J4" s="11" t="inlineStr">
        <is>
          <t>待答复 Open</t>
        </is>
      </c>
    </row>
    <row r="5" ht="71.5" customHeight="1">
      <c r="A5" s="10" t="inlineStr">
        <is>
          <t>Q03</t>
        </is>
      </c>
      <c r="B5" s="10" t="inlineStr">
        <is>
          <t>鉴权 · 会话</t>
        </is>
      </c>
      <c r="C5" s="11" t="inlineStr">
        <is>
          <t>同一账号重复鉴权，是否会使之前的 token 失效？若有人用同一工号登录坐席或管理界面，接入作业的会话会不会被挤下线？多个接口（话单、坐席指标、配置）能否共用一个服务账号同时使用？</t>
        </is>
      </c>
      <c r="D5" s="10" t="inlineStr">
        <is>
          <t>Does re-authenticating with the same account invalidate the earlier token? If someone logs in to the agent or management UI with the same ID, will the integration session be kicked out? Can several interfaces (CDR, agent indicators, configuration) share one service account concurrently?</t>
        </is>
      </c>
      <c r="E5" s="11" t="inlineStr">
        <is>
          <t>若会话互斥，人工登录会把接入作业踢下线，数据中断且难以排查。</t>
        </is>
      </c>
      <c r="F5" s="12" t="inlineStr">
        <is>
          <t>高 High</t>
        </is>
      </c>
      <c r="G5" s="13" t="n"/>
      <c r="H5" s="13" t="n"/>
      <c r="I5" s="13" t="n"/>
      <c r="J5" s="11" t="inlineStr">
        <is>
          <t>待答复 Open</t>
        </is>
      </c>
    </row>
    <row r="6" ht="58" customHeight="1">
      <c r="A6" s="10" t="inlineStr">
        <is>
          <t>Q04</t>
        </is>
      </c>
      <c r="B6" s="10" t="inlineStr">
        <is>
          <t>调用频率（Interface Reference p.903）</t>
        </is>
      </c>
      <c r="C6" s="11" t="inlineStr">
        <is>
          <t>文档建议周期调用间隔 5 秒。是否存在硬性的调用频率或配额限制？超限时返回什么（错误码、延迟、拒绝）？</t>
        </is>
      </c>
      <c r="D6" s="10" t="inlineStr">
        <is>
          <t>The document recommends a 5-second interval between periodic calls. Is there a hard rate limit or quota per account? What happens when it is exceeded (error code, throttling, rejection)?</t>
        </is>
      </c>
      <c r="E6" s="11" t="inlineStr">
        <is>
          <t>决定轮询周期与补数切片的取值；本方计划每 5 分钟取一次增量，补数时会连续发起多次请求。</t>
        </is>
      </c>
      <c r="F6" s="12" t="inlineStr">
        <is>
          <t>中 Medium</t>
        </is>
      </c>
      <c r="G6" s="13" t="n"/>
      <c r="H6" s="13" t="n"/>
      <c r="I6" s="13" t="n"/>
      <c r="J6" s="11" t="inlineStr">
        <is>
          <t>待答复 Open</t>
        </is>
      </c>
    </row>
    <row r="7" ht="58" customHeight="1">
      <c r="A7" s="10" t="inlineStr">
        <is>
          <t>Q05</t>
        </is>
      </c>
      <c r="B7" s="10" t="inlineStr">
        <is>
          <t>CMS 网关</t>
        </is>
      </c>
      <c r="C7" s="11" t="inlineStr">
        <is>
          <t>请提供 CMS 网关的访问地址、端口与协议（HTTP/HTTPS）。若为 HTTPS，证书由哪个 CA 签发（是否自签）？BI 的 ETL 服务器访问网关是否需要防火墙或白名单开通？</t>
        </is>
      </c>
      <c r="D7" s="10" t="inlineStr">
        <is>
          <t>Please provide the CMS gateway address, port and protocol (HTTP/HTTPS). If HTTPS, which CA issues the certificate (is it self-signed)? Does access from the BI ETL servers require firewall rules or whitelisting?</t>
        </is>
      </c>
      <c r="E7" s="11" t="inlineStr">
        <is>
          <t>联调与上线的前置条件。</t>
        </is>
      </c>
      <c r="F7" s="12" t="inlineStr">
        <is>
          <t>中 Medium</t>
        </is>
      </c>
      <c r="G7" s="13" t="n"/>
      <c r="H7" s="13" t="n"/>
      <c r="I7" s="13" t="n"/>
      <c r="J7" s="11" t="inlineStr">
        <is>
          <t>待答复 Open</t>
        </is>
      </c>
    </row>
    <row r="8" ht="44.5" customHeight="1">
      <c r="A8" s="10" t="inlineStr">
        <is>
          <t>Q06</t>
        </is>
      </c>
      <c r="B8" s="10" t="inlineStr">
        <is>
          <t>测试环境</t>
        </is>
      </c>
      <c r="C8" s="11" t="inlineStr">
        <is>
          <t>是否有可供联调的测试环境与测试账号？若没有，能否在生产平台上以只读账号联调？</t>
        </is>
      </c>
      <c r="D8" s="10" t="inlineStr">
        <is>
          <t>Is a test environment with a test account available for integration testing? If not, can integration be done against production with a read-only account?</t>
        </is>
      </c>
      <c r="E8" s="11" t="inlineStr">
        <is>
          <t>本方目前以按文档编写的模拟接口开发，下文多项行为须在真实环境中实测确认。</t>
        </is>
      </c>
      <c r="F8" s="12" t="inlineStr">
        <is>
          <t>中 Medium</t>
        </is>
      </c>
      <c r="G8" s="13" t="n"/>
      <c r="H8" s="13" t="n"/>
      <c r="I8" s="13" t="n"/>
      <c r="J8" s="11" t="inlineStr">
        <is>
          <t>待答复 Open</t>
        </is>
      </c>
    </row>
    <row r="9" ht="15" customHeight="1">
      <c r="A9" s="7" t="inlineStr">
        <is>
          <t>B 话单下载请求 / CDR download request</t>
        </is>
      </c>
      <c r="B9" s="8" t="n"/>
      <c r="C9" s="8" t="n"/>
      <c r="D9" s="8" t="n"/>
      <c r="E9" s="8" t="n"/>
      <c r="F9" s="8" t="n"/>
      <c r="G9" s="8" t="n"/>
      <c r="H9" s="8" t="n"/>
      <c r="I9" s="8" t="n"/>
      <c r="J9" s="9" t="n"/>
    </row>
    <row r="10" ht="31" customHeight="1">
      <c r="A10" s="10" t="inlineStr">
        <is>
          <t>Q07</t>
        </is>
      </c>
      <c r="B10" s="10" t="inlineStr">
        <is>
          <t>请求参数 startTime / endTime</t>
        </is>
      </c>
      <c r="C10" s="11" t="inlineStr">
        <is>
          <t>请求参数 startTime、endTime 按 UTC 还是本地时间（UTC+3）解释？</t>
        </is>
      </c>
      <c r="D10" s="10" t="inlineStr">
        <is>
          <t>Are the request parameters startTime and endTime interpreted as UTC or as local time (UTC+3)?</t>
        </is>
      </c>
      <c r="E10" s="11" t="inlineStr">
        <is>
          <t>若理解错，每个取数窗口错位 3 小时，数据会缺失或错位，且不会报错。</t>
        </is>
      </c>
      <c r="F10" s="12" t="inlineStr">
        <is>
          <t>高 High</t>
        </is>
      </c>
      <c r="G10" s="13" t="n"/>
      <c r="H10" s="13" t="n"/>
      <c r="I10" s="13" t="n"/>
      <c r="J10" s="11" t="inlineStr">
        <is>
          <t>待答复 Open</t>
        </is>
      </c>
    </row>
    <row r="11" ht="44.5" customHeight="1">
      <c r="A11" s="10" t="inlineStr">
        <is>
          <t>Q08</t>
        </is>
      </c>
      <c r="B11" s="10" t="inlineStr">
        <is>
          <t>返回的时间字段（Interface Reference p.903）</t>
        </is>
      </c>
      <c r="C11" s="11" t="inlineStr">
        <is>
          <t>文档写「接口返回的所有时间都是 UTC」，但字段本身不带时区标记。请确认所有返回的时间字段均为 UTC。</t>
        </is>
      </c>
      <c r="D11" s="10" t="inlineStr">
        <is>
          <t>The document states that all times returned are UTC, but the values carry no time-zone marker. Please confirm that every returned time field is UTC.</t>
        </is>
      </c>
      <c r="E11" s="11" t="inlineStr">
        <is>
          <t>若实为本地时间，全部按日统计的指标会错日。</t>
        </is>
      </c>
      <c r="F11" s="12" t="inlineStr">
        <is>
          <t>高 High</t>
        </is>
      </c>
      <c r="G11" s="13" t="n"/>
      <c r="H11" s="13" t="n"/>
      <c r="I11" s="13" t="n"/>
      <c r="J11" s="11" t="inlineStr">
        <is>
          <t>待答复 Open</t>
        </is>
      </c>
    </row>
    <row r="12" ht="44.5" customHeight="1">
      <c r="A12" s="10" t="inlineStr">
        <is>
          <t>Q09</t>
        </is>
      </c>
      <c r="B12" s="10" t="inlineStr">
        <is>
          <t>时间窗口边界</t>
        </is>
      </c>
      <c r="C12" s="11" t="inlineStr">
        <is>
          <t>时间窗口按哪个字段过滤（WAITBEGIN 还是其他字段）？边界是闭区间 [start, end]、半开区间 [start, end)，还是其他？</t>
        </is>
      </c>
      <c r="D12" s="10" t="inlineStr">
        <is>
          <t>Which field is the time window applied to (WAITBEGIN or another field)? Is the window closed [start, end], half-open [start, end), or otherwise?</t>
        </is>
      </c>
      <c r="E12" s="11" t="inlineStr">
        <is>
          <t>若两端都是开区间，恰好落在边界上的记录永远取不到；时间只精确到秒，同一秒内常有多条记录。</t>
        </is>
      </c>
      <c r="F12" s="12" t="inlineStr">
        <is>
          <t>高 High</t>
        </is>
      </c>
      <c r="G12" s="13" t="n"/>
      <c r="H12" s="13" t="n"/>
      <c r="I12" s="13" t="n"/>
      <c r="J12" s="11" t="inlineStr">
        <is>
          <t>待答复 Open</t>
        </is>
      </c>
    </row>
    <row r="13" ht="58" customHeight="1">
      <c r="A13" s="10" t="inlineStr">
        <is>
          <t>Q10</t>
        </is>
      </c>
      <c r="B13" s="10" t="inlineStr">
        <is>
          <t>单次返回行数</t>
        </is>
      </c>
      <c r="C13" s="11" t="inlineStr">
        <is>
          <t>接口没有分页参数。单次请求返回的行数是否有上限？超出上限时是报错，还是只返回部分数据且 retcode 仍为成功？</t>
        </is>
      </c>
      <c r="D13" s="10" t="inlineStr">
        <is>
          <t>The interface has no paging parameters. Is there a maximum number of rows per response? If exceeded, does it return an error, or silently return partial data with a success retcode?</t>
        </is>
      </c>
      <c r="E13" s="11" t="inlineStr">
        <is>
          <t>若静默截断，话务高峰时段会少数据而不报错。</t>
        </is>
      </c>
      <c r="F13" s="12" t="inlineStr">
        <is>
          <t>高 High</t>
        </is>
      </c>
      <c r="G13" s="13" t="n"/>
      <c r="H13" s="13" t="n"/>
      <c r="I13" s="13" t="n"/>
      <c r="J13" s="11" t="inlineStr">
        <is>
          <t>待答复 Open</t>
        </is>
      </c>
    </row>
    <row r="14" ht="44.5" customHeight="1">
      <c r="A14" s="10" t="inlineStr">
        <is>
          <t>Q11</t>
        </is>
      </c>
      <c r="B14" s="10" t="inlineStr">
        <is>
          <t>窗口长度</t>
        </is>
      </c>
      <c r="C14" s="11" t="inlineStr">
        <is>
          <t>窗口超过 24 小时或短于 5 秒时，接口如何处理：返回错误码（哪个），还是静默截取？</t>
        </is>
      </c>
      <c r="D14" s="10" t="inlineStr">
        <is>
          <t>When the window is longer than 24 hours or shorter than 5 seconds, how does the interface respond: with an error code (which one), or by silently clipping the window?</t>
        </is>
      </c>
      <c r="E14" s="11" t="inlineStr">
        <is>
          <t>若静默截取，历史补数会漏数据。</t>
        </is>
      </c>
      <c r="F14" s="12" t="inlineStr">
        <is>
          <t>中 Medium</t>
        </is>
      </c>
      <c r="G14" s="13" t="n"/>
      <c r="H14" s="13" t="n"/>
      <c r="I14" s="13" t="n"/>
      <c r="J14" s="11" t="inlineStr">
        <is>
          <t>待答复 Open</t>
        </is>
      </c>
    </row>
    <row r="15" ht="58" customHeight="1">
      <c r="A15" s="10" t="inlineStr">
        <is>
          <t>Q12</t>
        </is>
      </c>
      <c r="B15" s="10" t="inlineStr">
        <is>
          <t>并发下载（Interface Reference p.1019）</t>
        </is>
      </c>
      <c r="C15" s="11" t="inlineStr">
        <is>
          <t>文档说不支持并发下载。若同时发起第二个请求，平台的实际表现是什么：返回错误码（哪个）、排队、超时，还是返回不完整的数据？</t>
        </is>
      </c>
      <c r="D15" s="10" t="inlineStr">
        <is>
          <t>The document says concurrent downloads are not supported. If a second request is sent concurrently, what actually happens: an error code (which one), queuing, a timeout, or incomplete data?</t>
        </is>
      </c>
      <c r="E15" s="11" t="inlineStr">
        <is>
          <t>本方会保证并发度为 1，但需要知道误触发时能否识别出来。</t>
        </is>
      </c>
      <c r="F15" s="12" t="inlineStr">
        <is>
          <t>中 Medium</t>
        </is>
      </c>
      <c r="G15" s="13" t="n"/>
      <c r="H15" s="13" t="n"/>
      <c r="I15" s="13" t="n"/>
      <c r="J15" s="11" t="inlineStr">
        <is>
          <t>待答复 Open</t>
        </is>
      </c>
    </row>
    <row r="16" ht="44.5" customHeight="1">
      <c r="A16" s="10" t="inlineStr">
        <is>
          <t>Q13</t>
        </is>
      </c>
      <c r="B16" s="10" t="inlineStr">
        <is>
          <t>时间格式</t>
        </is>
      </c>
      <c r="C16" s="11" t="inlineStr">
        <is>
          <t>声明格式为 yyyy-MM-dd HH:mm:ss，示例却是 2018-1-1 00:00:00。请确认补零格式可用。</t>
        </is>
      </c>
      <c r="D16" s="10" t="inlineStr">
        <is>
          <t>The declared format is yyyy-MM-dd HH:mm:ss but the example shows 2018-1-1 00:00:00. Please confirm the zero-padded format is accepted.</t>
        </is>
      </c>
      <c r="E16" s="11" t="inlineStr">
        <is>
          <t>本方一律发送补零格式，确认即可。</t>
        </is>
      </c>
      <c r="F16" s="12" t="inlineStr">
        <is>
          <t>低 Low</t>
        </is>
      </c>
      <c r="G16" s="13" t="n"/>
      <c r="H16" s="13" t="n"/>
      <c r="I16" s="13" t="n"/>
      <c r="J16" s="11" t="inlineStr">
        <is>
          <t>待答复 Open</t>
        </is>
      </c>
    </row>
    <row r="17" ht="15" customHeight="1">
      <c r="A17" s="7" t="inlineStr">
        <is>
          <t>C 响应格式 / Response format</t>
        </is>
      </c>
      <c r="B17" s="8" t="n"/>
      <c r="C17" s="8" t="n"/>
      <c r="D17" s="8" t="n"/>
      <c r="E17" s="8" t="n"/>
      <c r="F17" s="8" t="n"/>
      <c r="G17" s="8" t="n"/>
      <c r="H17" s="8" t="n"/>
      <c r="I17" s="8" t="n"/>
      <c r="J17" s="9" t="n"/>
    </row>
    <row r="18" ht="44.5" customHeight="1">
      <c r="A18" s="10" t="inlineStr">
        <is>
          <t>Q14</t>
        </is>
      </c>
      <c r="B18" s="10" t="inlineStr">
        <is>
          <t>失败响应</t>
        </is>
      </c>
      <c r="C18" s="11" t="inlineStr">
        <is>
          <t>请求失败时的响应形态：HTTP 状态码是什么？retcode 在响应头 result 中、在正文中，还是两处都有？正文是什么结构？</t>
        </is>
      </c>
      <c r="D18" s="10" t="inlineStr">
        <is>
          <t>What does a failed response look like: which HTTP status code is returned? Is the retcode in the result response header, in the body, or both? What is the body structure?</t>
        </is>
      </c>
      <c r="E18" s="11" t="inlineStr">
        <is>
          <t>决定接入程序如何判定成功与失败。</t>
        </is>
      </c>
      <c r="F18" s="12" t="inlineStr">
        <is>
          <t>中 Medium</t>
        </is>
      </c>
      <c r="G18" s="13" t="n"/>
      <c r="H18" s="13" t="n"/>
      <c r="I18" s="13" t="n"/>
      <c r="J18" s="11" t="inlineStr">
        <is>
          <t>待答复 Open</t>
        </is>
      </c>
    </row>
    <row r="19" ht="44.5" customHeight="1">
      <c r="A19" s="10" t="inlineStr">
        <is>
          <t>Q15</t>
        </is>
      </c>
      <c r="B19" s="10" t="inlineStr">
        <is>
          <t>空结果</t>
        </is>
      </c>
      <c r="C19" s="11" t="inlineStr">
        <is>
          <t>时间窗口内没有任何呼叫时，返回什么：只有表头行的 CSV、空正文，还是不返回附件？</t>
        </is>
      </c>
      <c r="D19" s="10" t="inlineStr">
        <is>
          <t>When there are no calls in the window, what is returned: a CSV with the header row only, an empty body, or no attachment?</t>
        </is>
      </c>
      <c r="E19" s="11" t="inlineStr">
        <is>
          <t>「没有数据」与「请求失败」必须能区分。</t>
        </is>
      </c>
      <c r="F19" s="12" t="inlineStr">
        <is>
          <t>中 Medium</t>
        </is>
      </c>
      <c r="G19" s="13" t="n"/>
      <c r="H19" s="13" t="n"/>
      <c r="I19" s="13" t="n"/>
      <c r="J19" s="11" t="inlineStr">
        <is>
          <t>待答复 Open</t>
        </is>
      </c>
    </row>
    <row r="20" ht="98.5" customHeight="1">
      <c r="A20" s="10" t="inlineStr">
        <is>
          <t>Q16</t>
        </is>
      </c>
      <c r="B20" s="10" t="inlineStr">
        <is>
          <t>CSV 格式（Interface Reference p.1019）</t>
        </is>
      </c>
      <c r="C20" s="11" t="inlineStr">
        <is>
          <t>表头列出 18 列，但示例行只有 16 个值。请确认：一、实际列数与列顺序，是否固定；二、字段含逗号时是否加双引号（CALLERNO 可能是邮件或网页地址）；三、空值的写法；四、换行符（LF / CRLF）；五、字符编码，是否带 BOM。</t>
        </is>
      </c>
      <c r="D20" s="10" t="inlineStr">
        <is>
          <t>The header lists 18 columns but the example row has only 16 values. Please confirm: (1) the actual number and order of columns, and whether it is fixed; (2) whether fields containing commas are double-quoted (CALLERNO may be an e-mail or web address); (3) how empty values are written; (4) line endings (LF / CRLF); (5) character encoding and whether a BOM is present.</t>
        </is>
      </c>
      <c r="E20" s="11" t="inlineStr">
        <is>
          <t>列错位会把一列的值整列写进另一列。</t>
        </is>
      </c>
      <c r="F20" s="12" t="inlineStr">
        <is>
          <t>高 High</t>
        </is>
      </c>
      <c r="G20" s="13" t="n"/>
      <c r="H20" s="13" t="n"/>
      <c r="I20" s="13" t="n"/>
      <c r="J20" s="11" t="inlineStr">
        <is>
          <t>待答复 Open</t>
        </is>
      </c>
    </row>
    <row r="21" ht="44.5" customHeight="1">
      <c r="A21" s="10" t="inlineStr">
        <is>
          <t>Q17</t>
        </is>
      </c>
      <c r="B21" s="10" t="inlineStr">
        <is>
          <t>返回顺序</t>
        </is>
      </c>
      <c r="C21" s="11" t="inlineStr">
        <is>
          <t>文档写按「CALLEDN」降序，是否为 CALLEND 的笔误？CALLEND 为空的记录排在哪里？</t>
        </is>
      </c>
      <c r="D21" s="10" t="inlineStr">
        <is>
          <t>The document says rows are sorted descending by "CALLEDN" — is this a typo for CALLEND? Where do rows with an empty CALLEND appear?</t>
        </is>
      </c>
      <c r="E21" s="11" t="inlineStr">
        <is>
          <t>本方不依赖顺序，仅为核对文档。</t>
        </is>
      </c>
      <c r="F21" s="12" t="inlineStr">
        <is>
          <t>低 Low</t>
        </is>
      </c>
      <c r="G21" s="13" t="n"/>
      <c r="H21" s="13" t="n"/>
      <c r="I21" s="13" t="n"/>
      <c r="J21" s="11" t="inlineStr">
        <is>
          <t>待答复 Open</t>
        </is>
      </c>
    </row>
    <row r="22" ht="15" customHeight="1">
      <c r="A22" s="7" t="inlineStr">
        <is>
          <t>D 话单内容与语义 / CDR content &amp; semantics</t>
        </is>
      </c>
      <c r="B22" s="8" t="n"/>
      <c r="C22" s="8" t="n"/>
      <c r="D22" s="8" t="n"/>
      <c r="E22" s="8" t="n"/>
      <c r="F22" s="8" t="n"/>
      <c r="G22" s="8" t="n"/>
      <c r="H22" s="8" t="n"/>
      <c r="I22" s="8" t="n"/>
      <c r="J22" s="9" t="n"/>
    </row>
    <row r="23" ht="58" customHeight="1">
      <c r="A23" s="10" t="inlineStr">
        <is>
          <t>Q18</t>
        </is>
      </c>
      <c r="B23" s="10" t="inlineStr">
        <is>
          <t>话单出现的时刻</t>
        </is>
      </c>
      <c r="C23" s="11" t="inlineStr">
        <is>
          <t>一条话单记录（一段通话）在什么时刻可以从接口取到：通话结束后才出现，还是进入设备时就出现、WAITEND、CALLEND 等字段随后补全？已返回过的记录之后会不会被修改？</t>
        </is>
      </c>
      <c r="D23" s="10" t="inlineStr">
        <is>
          <t>At what point can a CDR record (one call leg) be retrieved: only after the call ends, or as soon as the leg enters a device, with WAITEND, CALLEND etc. filled in later? Can a record already returned be modified afterwards?</t>
        </is>
      </c>
      <c r="E23" s="11" t="inlineStr">
        <is>
          <t>决定同一条话单会被取到几次、取到时是否完整。</t>
        </is>
      </c>
      <c r="F23" s="12" t="inlineStr">
        <is>
          <t>高 High</t>
        </is>
      </c>
      <c r="G23" s="13" t="n"/>
      <c r="H23" s="13" t="n"/>
      <c r="I23" s="13" t="n"/>
      <c r="J23" s="11" t="inlineStr">
        <is>
          <t>待答复 Open</t>
        </is>
      </c>
    </row>
    <row r="24" ht="58" customHeight="1">
      <c r="A24" s="10" t="inlineStr">
        <is>
          <t>Q19</t>
        </is>
      </c>
      <c r="B24" s="10" t="inlineStr">
        <is>
          <t>话单入库延迟</t>
        </is>
      </c>
      <c r="C24" s="11" t="inlineStr">
        <is>
          <t>通话结束后，最晚多久话单一定能从接口取到？是否存在延迟写入或事后补写的情况（如平台故障恢复后）？</t>
        </is>
      </c>
      <c r="D24" s="10" t="inlineStr">
        <is>
          <t>After a call ends, what is the maximum delay before its CDR is guaranteed to be retrievable? Are CDRs ever written late or back-filled (e.g. after a platform failure recovery)?</t>
        </is>
      </c>
      <c r="E24" s="11" t="inlineStr">
        <is>
          <t>决定每次取数的回看长度；超过回看长度的延迟只能靠每日回扫补齐。</t>
        </is>
      </c>
      <c r="F24" s="12" t="inlineStr">
        <is>
          <t>高 High</t>
        </is>
      </c>
      <c r="G24" s="13" t="n"/>
      <c r="H24" s="13" t="n"/>
      <c r="I24" s="13" t="n"/>
      <c r="J24" s="11" t="inlineStr">
        <is>
          <t>待答复 Open</t>
        </is>
      </c>
    </row>
    <row r="25" ht="44.5" customHeight="1">
      <c r="A25" s="10" t="inlineStr">
        <is>
          <t>Q20</t>
        </is>
      </c>
      <c r="B25" s="10" t="inlineStr">
        <is>
          <t>CALLID</t>
        </is>
      </c>
      <c r="C25" s="11" t="inlineStr">
        <is>
          <t>CALLID 的格式（示例 1533893930-10）与唯一范围：跨天、平台重启或主备切换后是否可能重复？</t>
        </is>
      </c>
      <c r="D25" s="10" t="inlineStr">
        <is>
          <t>What is the format of CALLID (example 1533893930-10), and in what scope is it unique? Can it repeat across days, after a platform restart or after a failover?</t>
        </is>
      </c>
      <c r="E25" s="11" t="inlineStr">
        <is>
          <t>若会重复，不同的通话可能被误当作同一通话合并。</t>
        </is>
      </c>
      <c r="F25" s="12" t="inlineStr">
        <is>
          <t>高 High</t>
        </is>
      </c>
      <c r="G25" s="13" t="n"/>
      <c r="H25" s="13" t="n"/>
      <c r="I25" s="13" t="n"/>
      <c r="J25" s="11" t="inlineStr">
        <is>
          <t>待答复 Open</t>
        </is>
      </c>
    </row>
    <row r="26" ht="44.5" customHeight="1">
      <c r="A26" s="10" t="inlineStr">
        <is>
          <t>Q21</t>
        </is>
      </c>
      <c r="B26" s="10" t="inlineStr">
        <is>
          <t>CALLIDNUM</t>
        </is>
      </c>
      <c r="C26" s="11" t="inlineStr">
        <is>
          <t>CALLIDNUM 的编号规律：转接、会议时序号是否连续？-1 是否只出现一次且一定是最后一段？</t>
        </is>
      </c>
      <c r="D26" s="10" t="inlineStr">
        <is>
          <t>How is CALLIDNUM numbered: are sequence numbers contiguous during transfers and conferences? Does -1 appear exactly once and always as the last leg?</t>
        </is>
      </c>
      <c r="E26" s="11" t="inlineStr">
        <is>
          <t>用于判断一通呼叫是否已结束。</t>
        </is>
      </c>
      <c r="F26" s="12" t="inlineStr">
        <is>
          <t>中 Medium</t>
        </is>
      </c>
      <c r="G26" s="13" t="n"/>
      <c r="H26" s="13" t="n"/>
      <c r="I26" s="13" t="n"/>
      <c r="J26" s="11" t="inlineStr">
        <is>
          <t>待答复 Open</t>
        </is>
      </c>
    </row>
    <row r="27" ht="31" customHeight="1">
      <c r="A27" s="10" t="inlineStr">
        <is>
          <t>Q22</t>
        </is>
      </c>
      <c r="B27" s="10" t="inlineStr">
        <is>
          <t>WAITBEGIN</t>
        </is>
      </c>
      <c r="C27" s="11" t="inlineStr">
        <is>
          <t>WAITBEGIN 是否可能为空？若可能，这类记录在按时间窗口取数时会不会被返回？</t>
        </is>
      </c>
      <c r="D27" s="10" t="inlineStr">
        <is>
          <t>Can WAITBEGIN be empty? If so, are such records returned by the time-window query at all?</t>
        </is>
      </c>
      <c r="E27" s="11" t="inlineStr">
        <is>
          <t>影响数据完整性校验规则。</t>
        </is>
      </c>
      <c r="F27" s="12" t="inlineStr">
        <is>
          <t>中 Medium</t>
        </is>
      </c>
      <c r="G27" s="13" t="n"/>
      <c r="H27" s="13" t="n"/>
      <c r="I27" s="13" t="n"/>
      <c r="J27" s="11" t="inlineStr">
        <is>
          <t>待答复 Open</t>
        </is>
      </c>
    </row>
    <row r="28" ht="44.5" customHeight="1">
      <c r="A28" s="10" t="inlineStr">
        <is>
          <t>Q23</t>
        </is>
      </c>
      <c r="B28" s="10" t="inlineStr">
        <is>
          <t>RELEASECAUSE</t>
        </is>
      </c>
      <c r="C28" s="11" t="inlineStr">
        <is>
          <t>文档写 RELEASECAUSE 仅当 CALLIDNUM = -1 时有意义。非最后一段的记录中，该字段填什么值？</t>
        </is>
      </c>
      <c r="D28" s="10" t="inlineStr">
        <is>
          <t>The document says RELEASECAUSE is meaningful only when CALLIDNUM = -1. What value does the field hold on non-final legs?</t>
        </is>
      </c>
      <c r="E28" s="11" t="inlineStr">
        <is>
          <t>用于确定统计时的过滤规则。</t>
        </is>
      </c>
      <c r="F28" s="12" t="inlineStr">
        <is>
          <t>低 Low</t>
        </is>
      </c>
      <c r="G28" s="13" t="n"/>
      <c r="H28" s="13" t="n"/>
      <c r="I28" s="13" t="n"/>
      <c r="J28" s="11" t="inlineStr">
        <is>
          <t>待答复 Open</t>
        </is>
      </c>
    </row>
    <row r="29" ht="44.5" customHeight="1">
      <c r="A29" s="10" t="inlineStr">
        <is>
          <t>Q24</t>
        </is>
      </c>
      <c r="B29" s="10" t="inlineStr">
        <is>
          <t>CALLERNO</t>
        </is>
      </c>
      <c r="C29" s="11" t="inlineStr">
        <is>
          <t>话单中的主叫号码是否按隐私策略做过掩码或匿名化？若是，规则是什么（例如保留哪几位）？</t>
        </is>
      </c>
      <c r="D29" s="10" t="inlineStr">
        <is>
          <t>Is the caller number in the CDR masked or anonymised under a privacy policy? If so, what is the rule (e.g. which digits are kept)?</t>
        </is>
      </c>
      <c r="E29" s="11" t="inlineStr">
        <is>
          <t>「同一主叫重复呼叫」类统计以主叫号码为分组键，掩码后无法统计。</t>
        </is>
      </c>
      <c r="F29" s="12" t="inlineStr">
        <is>
          <t>高 High</t>
        </is>
      </c>
      <c r="G29" s="13" t="n"/>
      <c r="H29" s="13" t="n"/>
      <c r="I29" s="13" t="n"/>
      <c r="J29" s="11" t="inlineStr">
        <is>
          <t>待答复 Open</t>
        </is>
      </c>
    </row>
    <row r="30" ht="44.5" customHeight="1">
      <c r="A30" s="10" t="inlineStr">
        <is>
          <t>Q25</t>
        </is>
      </c>
      <c r="B30" s="10" t="inlineStr">
        <is>
          <t>骚扰 / 恶意呼叫标记</t>
        </is>
      </c>
      <c r="C30" s="11" t="inlineStr">
        <is>
          <t>骚扰或恶意呼叫的标记由谁产生、存在哪里（话务平台还是 CAD）？ICP 的任何接口能否取到该标记？</t>
        </is>
      </c>
      <c r="D30" s="10" t="inlineStr">
        <is>
          <t>Who marks a call as nuisance / malicious, and where is the mark stored (the contact-centre platform or CAD)? Can it be retrieved through any ICP interface?</t>
        </is>
      </c>
      <c r="E30" s="11" t="inlineStr">
        <is>
          <t>骚扰呼叫数是需求中的指标，没有来源则无法发布。</t>
        </is>
      </c>
      <c r="F30" s="12" t="inlineStr">
        <is>
          <t>高 High</t>
        </is>
      </c>
      <c r="G30" s="13" t="n"/>
      <c r="H30" s="13" t="n"/>
      <c r="I30" s="13" t="n"/>
      <c r="J30" s="11" t="inlineStr">
        <is>
          <t>待答复 Open</t>
        </is>
      </c>
    </row>
    <row r="31" ht="31" customHeight="1">
      <c r="A31" s="10" t="inlineStr">
        <is>
          <t>Q26</t>
        </is>
      </c>
      <c r="B31" s="10" t="inlineStr">
        <is>
          <t>样例数据</t>
        </is>
      </c>
      <c r="C31" s="11" t="inlineStr">
        <is>
          <t>能否提供一天的真实话单样例（可脱敏）？</t>
        </is>
      </c>
      <c r="D31" s="10" t="inlineStr">
        <is>
          <t>Could you provide one day of real CDR samples (masked if necessary)?</t>
        </is>
      </c>
      <c r="E31" s="11" t="inlineStr">
        <is>
          <t>用于在联调前核对格式与上述各项。</t>
        </is>
      </c>
      <c r="F31" s="12" t="inlineStr">
        <is>
          <t>中 Medium</t>
        </is>
      </c>
      <c r="G31" s="13" t="n"/>
      <c r="H31" s="13" t="n"/>
      <c r="I31" s="13" t="n"/>
      <c r="J31" s="11" t="inlineStr">
        <is>
          <t>待答复 Open</t>
        </is>
      </c>
    </row>
    <row r="32" ht="15" customHeight="1">
      <c r="A32" s="7" t="inlineStr">
        <is>
          <t>E 历史指标与配置数据 / Historical indicators &amp; configuration</t>
        </is>
      </c>
      <c r="B32" s="8" t="n"/>
      <c r="C32" s="8" t="n"/>
      <c r="D32" s="8" t="n"/>
      <c r="E32" s="8" t="n"/>
      <c r="F32" s="8" t="n"/>
      <c r="G32" s="8" t="n"/>
      <c r="H32" s="8" t="n"/>
      <c r="I32" s="8" t="n"/>
      <c r="J32" s="9" t="n"/>
    </row>
    <row r="33" ht="58" customHeight="1">
      <c r="A33" s="10" t="inlineStr">
        <is>
          <t>Q27</t>
        </is>
      </c>
      <c r="B33" s="10" t="inlineStr">
        <is>
          <t>历史指标接口 · 报表批</t>
        </is>
      </c>
      <c r="C33" s="11" t="inlineStr">
        <is>
          <t>历史指标接口依赖平台的报表脚本先执行、话单先导入。报表批每天几点运行？「前一天」的坐席指标最早几点可以取到最终值？</t>
        </is>
      </c>
      <c r="D33" s="10" t="inlineStr">
        <is>
          <t>Historical indicator interfaces require the platform report script to have run and CDRs to be imported. At what time does the report batch run each day? From what time are the previous day's agent indicators final?</t>
        </is>
      </c>
      <c r="E33" s="11" t="inlineStr">
        <is>
          <t>决定日报的出数时间能否承诺。</t>
        </is>
      </c>
      <c r="F33" s="12" t="inlineStr">
        <is>
          <t>高 High</t>
        </is>
      </c>
      <c r="G33" s="13" t="n"/>
      <c r="H33" s="13" t="n"/>
      <c r="I33" s="13" t="n"/>
      <c r="J33" s="11" t="inlineStr">
        <is>
          <t>待答复 Open</t>
        </is>
      </c>
    </row>
    <row r="34" ht="44.5" customHeight="1">
      <c r="A34" s="10" t="inlineStr">
        <is>
          <t>Q28</t>
        </is>
      </c>
      <c r="B34" s="10" t="inlineStr">
        <is>
          <t>历史指标 · 重算</t>
        </is>
      </c>
      <c r="C34" s="11" t="inlineStr">
        <is>
          <t>平台是否会重算并改写已出的历史指标（如报表批重跑、延迟话单补入）？最多会改写到几天前？</t>
        </is>
      </c>
      <c r="D34" s="10" t="inlineStr">
        <is>
          <t>Can the platform recompute and overwrite historical indicators that have already been produced (e.g. report batch rerun, late CDRs)? How many days back can be overwritten?</t>
        </is>
      </c>
      <c r="E34" s="11" t="inlineStr">
        <is>
          <t>决定本方回补的天数（目前按 3 天设计）。</t>
        </is>
      </c>
      <c r="F34" s="12" t="inlineStr">
        <is>
          <t>中 Medium</t>
        </is>
      </c>
      <c r="G34" s="13" t="n"/>
      <c r="H34" s="13" t="n"/>
      <c r="I34" s="13" t="n"/>
      <c r="J34" s="11" t="inlineStr">
        <is>
          <t>待答复 Open</t>
        </is>
      </c>
    </row>
    <row r="35" ht="31" customHeight="1">
      <c r="A35" s="10" t="inlineStr">
        <is>
          <t>Q29</t>
        </is>
      </c>
      <c r="B35" s="10" t="inlineStr">
        <is>
          <t>坐席指标接口 · objectIds</t>
        </is>
      </c>
      <c r="C35" s="11" t="inlineStr">
        <is>
          <t>请确认单次请求的坐席工号数组上限为 2000。</t>
        </is>
      </c>
      <c r="D35" s="10" t="inlineStr">
        <is>
          <t>Please confirm that the maximum size of the agent-ID array per request is 2000.</t>
        </is>
      </c>
      <c r="E35" s="11" t="inlineStr">
        <is>
          <t>确认即可。</t>
        </is>
      </c>
      <c r="F35" s="12" t="inlineStr">
        <is>
          <t>低 Low</t>
        </is>
      </c>
      <c r="G35" s="13" t="n"/>
      <c r="H35" s="13" t="n"/>
      <c r="I35" s="13" t="n"/>
      <c r="J35" s="11" t="inlineStr">
        <is>
          <t>待答复 Open</t>
        </is>
      </c>
    </row>
    <row r="36" ht="44.5" customHeight="1">
      <c r="A36" s="10" t="inlineStr">
        <is>
          <t>Q30</t>
        </is>
      </c>
      <c r="B36" s="10" t="inlineStr">
        <is>
          <t>配置版本号 config_version</t>
        </is>
      </c>
      <c r="C36" s="11" t="inlineStr">
        <is>
          <t>config_version 是否单调递增？平台重启、升级或主备切换后是否会归零或回退？</t>
        </is>
      </c>
      <c r="D36" s="10" t="inlineStr">
        <is>
          <t>Is config_version strictly increasing? Can it reset to zero or go backwards after a platform restart, upgrade or failover?</t>
        </is>
      </c>
      <c r="E36" s="11" t="inlineStr">
        <is>
          <t>本方以它判断配置快照的新旧；若会归零，此后配置数据将无法更新。</t>
        </is>
      </c>
      <c r="F36" s="12" t="inlineStr">
        <is>
          <t>高 High</t>
        </is>
      </c>
      <c r="G36" s="13" t="n"/>
      <c r="H36" s="13" t="n"/>
      <c r="I36" s="13" t="n"/>
      <c r="J36" s="11" t="inlineStr">
        <is>
          <t>待答复 Open</t>
        </is>
      </c>
    </row>
    <row r="37" ht="44.5" customHeight="1">
      <c r="A37" s="10" t="inlineStr">
        <is>
          <t>Q31</t>
        </is>
      </c>
      <c r="B37" s="10" t="inlineStr">
        <is>
          <t>VDN</t>
        </is>
      </c>
      <c r="C37" s="11" t="inlineStr">
        <is>
          <t>请书面确认麦加 911 在 ICP 上是单一 VDN，不按号码、语种或部门切分为多个虚拟呼叫中心。</t>
        </is>
      </c>
      <c r="D37" s="10" t="inlineStr">
        <is>
          <t>Please confirm in writing that Makkah 911 is a single VDN on ICP, not divided into several virtual call centres by number, language or department.</t>
        </is>
      </c>
      <c r="E37" s="11" t="inlineStr">
        <is>
          <t>已在现场沟通中得到口头答复，需要书面确认；若为多个 VDN，报表与权限须按 VDN 切分。</t>
        </is>
      </c>
      <c r="F37" s="12" t="inlineStr">
        <is>
          <t>中 Medium</t>
        </is>
      </c>
      <c r="G37" s="13" t="n"/>
      <c r="H37" s="13" t="n"/>
      <c r="I37" s="13" t="n"/>
      <c r="J37" s="11" t="inlineStr">
        <is>
          <t>待答复 Open</t>
        </is>
      </c>
    </row>
    <row r="38" ht="58" customHeight="1">
      <c r="A38" s="10" t="inlineStr">
        <is>
          <t>Q32</t>
        </is>
      </c>
      <c r="B38" s="10" t="inlineStr">
        <is>
          <t>坐席工号</t>
        </is>
      </c>
      <c r="C38" s="11" t="inlineStr">
        <is>
          <t>请书面确认坐席工号与自然人一一对应，不在班次之间复用；人员离职后，其工号是否会分配给他人？</t>
        </is>
      </c>
      <c r="D38" s="10" t="inlineStr">
        <is>
          <t>Please confirm in writing that each agent ID belongs to exactly one person and is not shared across shifts. When someone leaves, can their agent ID be reassigned to another person?</t>
        </is>
      </c>
      <c r="E38" s="11" t="inlineStr">
        <is>
          <t>已在现场沟通中得到口头答复，需要书面确认；工号若被复用，接警员绩效会归错人。</t>
        </is>
      </c>
      <c r="F38" s="12" t="inlineStr">
        <is>
          <t>中 Medium</t>
        </is>
      </c>
      <c r="G38" s="13" t="n"/>
      <c r="H38" s="13" t="n"/>
      <c r="I38" s="13" t="n"/>
      <c r="J38" s="11" t="inlineStr">
        <is>
          <t>待答复 Open</t>
        </is>
      </c>
    </row>
  </sheetData>
  <autoFilter ref="A1:J38"/>
  <mergeCells count="5">
    <mergeCell ref="A32:J32"/>
    <mergeCell ref="A22:J22"/>
    <mergeCell ref="A17:J17"/>
    <mergeCell ref="A9:J9"/>
    <mergeCell ref="A2:J2"/>
  </mergeCells>
  <dataValidations count="1">
    <dataValidation sqref="J3:J38" showDropDown="0" showInputMessage="0" showErrorMessage="0" allowBlank="1" type="list">
      <formula1>"待答复 Open,已答复 Answered,需进一步讨论 Needs discussion"</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0" customWidth="1" min="1" max="1"/>
    <col width="18" customWidth="1" min="2" max="2"/>
    <col width="18" customWidth="1" min="3" max="3"/>
  </cols>
  <sheetData>
    <row r="1">
      <c r="A1" s="14" t="inlineStr">
        <is>
          <t>优先级 Priority</t>
        </is>
      </c>
      <c r="B1" s="14" t="inlineStr">
        <is>
          <t>问题数 Questions</t>
        </is>
      </c>
      <c r="C1" s="14" t="inlineStr">
        <is>
          <t>已答复 Answered</t>
        </is>
      </c>
    </row>
    <row r="2">
      <c r="A2" s="15" t="inlineStr">
        <is>
          <t>高 High</t>
        </is>
      </c>
      <c r="B2" s="15">
        <f>COUNTIF('问题单 Questions'!$F$2:$F$38,A2)</f>
        <v/>
      </c>
      <c r="C2" s="15">
        <f>COUNTIFS('问题单 Questions'!$F$2:$F$38,A2,'问题单 Questions'!$J$2:$J$38,"已答复 Answered")</f>
        <v/>
      </c>
    </row>
    <row r="3">
      <c r="A3" s="15" t="inlineStr">
        <is>
          <t>中 Medium</t>
        </is>
      </c>
      <c r="B3" s="15">
        <f>COUNTIF('问题单 Questions'!$F$2:$F$38,A3)</f>
        <v/>
      </c>
      <c r="C3" s="15">
        <f>COUNTIFS('问题单 Questions'!$F$2:$F$38,A3,'问题单 Questions'!$J$2:$J$38,"已答复 Answered")</f>
        <v/>
      </c>
    </row>
    <row r="4">
      <c r="A4" s="15" t="inlineStr">
        <is>
          <t>低 Low</t>
        </is>
      </c>
      <c r="B4" s="15">
        <f>COUNTIF('问题单 Questions'!$F$2:$F$38,A4)</f>
        <v/>
      </c>
      <c r="C4" s="15">
        <f>COUNTIFS('问题单 Questions'!$F$2:$F$38,A4,'问题单 Questions'!$J$2:$J$38,"已答复 Answered")</f>
        <v/>
      </c>
    </row>
    <row r="5">
      <c r="A5" s="16" t="inlineStr">
        <is>
          <t>合计 Total</t>
        </is>
      </c>
      <c r="B5" s="16">
        <f>SUM(B2:B4)</f>
        <v/>
      </c>
      <c r="C5" s="16">
        <f>SUM(C2:C4)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2026-10-14T04:52:21Z</dcterms:created>
  <dcterms:modified xmlns:dcterms="http://purl.org/dc/terms/" xmlns:xsi="http://www.w3.org/2001/XMLSchema-instance" xsi:type="dcterms:W3CDTF">2026-10-14T04:52:21Z</dcterms:modified>
</cp:coreProperties>
</file>