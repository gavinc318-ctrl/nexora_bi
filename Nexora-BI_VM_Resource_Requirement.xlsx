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Production VMs" sheetId="2" state="visible" r:id="rId2"/>
    <sheet xmlns:r="http://schemas.openxmlformats.org/officeDocument/2006/relationships" name="Placement &amp; Isolation" sheetId="3" state="visible" r:id="rId3"/>
    <sheet xmlns:r="http://schemas.openxmlformats.org/officeDocument/2006/relationships" name="Test &amp; Training VMs" sheetId="4" state="visible" r:id="rId4"/>
    <sheet xmlns:r="http://schemas.openxmlformats.org/officeDocument/2006/relationships" name="Dependencies &amp; Notes" sheetId="5" state="visible" r:id="rId5"/>
  </sheets>
  <definedNames>
    <definedName name="_xlnm.Print_Titles" localSheetId="1">'Production VMs'!$4:$4</definedName>
    <definedName name="_xlnm.Print_Titles" localSheetId="2">'Placement &amp; Isolation'!$4:$4</definedName>
    <definedName name="_xlnm.Print_Titles" localSheetId="3">'Test &amp; Training VMs'!$4:$4</definedName>
    <definedName name="_xlnm.Print_Titles" localSheetId="4">'Dependencies &amp; Notes'!$4:$4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5">
    <font>
      <name val="宋体"/>
      <charset val="1"/>
      <family val="2"/>
      <color theme="1"/>
      <sz val="11"/>
    </font>
    <font>
      <name val="Arial"/>
      <family val="0"/>
      <sz val="10"/>
    </font>
    <font>
      <name val="Arial"/>
      <family val="0"/>
      <sz val="10"/>
    </font>
    <font>
      <name val="Arial"/>
      <family val="0"/>
      <sz val="10"/>
    </font>
    <font>
      <name val="Arial"/>
      <charset val="1"/>
      <family val="0"/>
      <b val="1"/>
      <color rgb="FF1F3864"/>
      <sz val="14"/>
    </font>
    <font>
      <name val="Arial"/>
      <charset val="1"/>
      <family val="0"/>
      <color rgb="FF7F7F7F"/>
      <sz val="9"/>
    </font>
    <font>
      <name val="Arial"/>
      <charset val="1"/>
      <family val="0"/>
      <color theme="1"/>
      <sz val="11"/>
    </font>
    <font>
      <name val="Arial"/>
      <charset val="1"/>
      <family val="0"/>
      <b val="1"/>
      <color rgb="FFFFFFFF"/>
      <sz val="12"/>
    </font>
    <font>
      <name val="Arial"/>
      <charset val="1"/>
      <family val="0"/>
      <b val="1"/>
      <sz val="12"/>
    </font>
    <font>
      <name val="Arial"/>
      <charset val="1"/>
      <family val="0"/>
      <sz val="12"/>
    </font>
    <font>
      <name val="Arial"/>
      <charset val="1"/>
      <family val="0"/>
      <sz val="9"/>
    </font>
    <font>
      <name val="Arial"/>
      <charset val="1"/>
      <family val="0"/>
      <b val="1"/>
      <color rgb="FFFFFFFF"/>
      <sz val="9"/>
    </font>
    <font>
      <name val="Arial"/>
      <charset val="1"/>
      <family val="0"/>
      <b val="1"/>
      <sz val="9"/>
    </font>
    <font>
      <name val="Arial"/>
      <charset val="1"/>
      <family val="0"/>
      <i val="1"/>
      <color rgb="FF7F7F7F"/>
      <sz val="9"/>
    </font>
    <font>
      <name val="Arial"/>
      <charset val="1"/>
      <family val="0"/>
      <b val="1"/>
      <sz val="10"/>
    </font>
  </fonts>
  <fills count="4">
    <fill>
      <patternFill/>
    </fill>
    <fill>
      <patternFill patternType="gray125"/>
    </fill>
    <fill>
      <patternFill patternType="solid">
        <fgColor rgb="FF1F3864"/>
        <bgColor rgb="FF333333"/>
      </patternFill>
    </fill>
    <fill>
      <patternFill patternType="solid">
        <fgColor rgb="FFF4F6F9"/>
        <bgColor rgb="FFFFFFFF"/>
      </patternFill>
    </fill>
  </fills>
  <borders count="3">
    <border>
      <left/>
      <right/>
      <top/>
      <bottom/>
      <diagonal/>
    </border>
    <border>
      <left style="thin"/>
      <right style="thin"/>
      <top style="thin"/>
      <bottom style="thin"/>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0" borderId="1" applyAlignment="1" pivotButton="0" quotePrefix="0" xfId="0">
      <alignment horizontal="left" vertical="top"/>
    </xf>
    <xf numFmtId="0" fontId="9" fillId="0" borderId="1" applyAlignment="1" pivotButton="0" quotePrefix="0" xfId="0">
      <alignment horizontal="center" vertical="top"/>
    </xf>
    <xf numFmtId="164" fontId="9" fillId="0" borderId="1" applyAlignment="1" pivotButton="0" quotePrefix="0" xfId="0">
      <alignment horizontal="center" vertical="top"/>
    </xf>
    <xf numFmtId="0" fontId="9" fillId="0" borderId="1" applyAlignment="1" pivotButton="0" quotePrefix="0" xfId="0">
      <alignment horizontal="left" vertical="top" wrapText="1"/>
    </xf>
    <xf numFmtId="0" fontId="8" fillId="3" borderId="1" applyAlignment="1" pivotButton="0" quotePrefix="0" xfId="0">
      <alignment horizontal="left" vertical="top"/>
    </xf>
    <xf numFmtId="0" fontId="8" fillId="3" borderId="1" applyAlignment="1" pivotButton="0" quotePrefix="0" xfId="0">
      <alignment horizontal="center" vertical="top"/>
    </xf>
    <xf numFmtId="164" fontId="8" fillId="3" borderId="1" applyAlignment="1" pivotButton="0" quotePrefix="0" xfId="0">
      <alignment horizontal="center" vertical="top"/>
    </xf>
    <xf numFmtId="0" fontId="9" fillId="3" borderId="1" applyAlignment="1" pivotButton="0" quotePrefix="0" xfId="0">
      <alignment horizontal="left" vertical="top"/>
    </xf>
    <xf numFmtId="0" fontId="8" fillId="3" borderId="1" applyAlignment="1" pivotButton="0" quotePrefix="0" xfId="0">
      <alignment horizontal="left" vertical="top" wrapText="1"/>
    </xf>
    <xf numFmtId="0" fontId="8" fillId="0" borderId="0" applyAlignment="1" pivotButton="0" quotePrefix="0" xfId="0">
      <alignment horizontal="general" vertical="bottom"/>
    </xf>
    <xf numFmtId="0" fontId="7" fillId="0" borderId="0" applyAlignment="1" pivotButton="0" quotePrefix="0" xfId="0">
      <alignment horizontal="center" vertical="center" wrapText="1"/>
    </xf>
    <xf numFmtId="0" fontId="9" fillId="0" borderId="1" applyAlignment="1" pivotButton="0" quotePrefix="0" xfId="0">
      <alignment horizontal="left" vertical="top"/>
    </xf>
    <xf numFmtId="0" fontId="9" fillId="0" borderId="0" applyAlignment="1" pivotButton="0" quotePrefix="0" xfId="0">
      <alignment horizontal="left" vertical="top"/>
    </xf>
    <xf numFmtId="0" fontId="10" fillId="0" borderId="0" applyAlignment="1" pivotButton="0" quotePrefix="0" xfId="0">
      <alignment horizontal="general" vertical="top" wrapText="1"/>
    </xf>
    <xf numFmtId="0" fontId="11" fillId="2" borderId="1" applyAlignment="1" pivotButton="0" quotePrefix="0" xfId="0">
      <alignment horizontal="center" vertical="center" wrapText="1"/>
    </xf>
    <xf numFmtId="0" fontId="12" fillId="0" borderId="1" applyAlignment="1" pivotButton="0" quotePrefix="0" xfId="0">
      <alignment horizontal="left" vertical="top"/>
    </xf>
    <xf numFmtId="0" fontId="10" fillId="0" borderId="1" applyAlignment="1" pivotButton="0" quotePrefix="0" xfId="0">
      <alignment horizontal="center" vertical="top"/>
    </xf>
    <xf numFmtId="0" fontId="10" fillId="0" borderId="1" applyAlignment="1" pivotButton="0" quotePrefix="0" xfId="0">
      <alignment horizontal="left" vertical="top" wrapText="1"/>
    </xf>
    <xf numFmtId="0" fontId="12" fillId="3" borderId="1" applyAlignment="1" pivotButton="0" quotePrefix="0" xfId="0">
      <alignment horizontal="left" vertical="top"/>
    </xf>
    <xf numFmtId="0" fontId="10" fillId="3" borderId="1" applyAlignment="1" pivotButton="0" quotePrefix="0" xfId="0">
      <alignment horizontal="left" vertical="top"/>
    </xf>
    <xf numFmtId="0" fontId="12" fillId="3" borderId="1" applyAlignment="1" pivotButton="0" quotePrefix="0" xfId="0">
      <alignment horizontal="center" vertical="top"/>
    </xf>
    <xf numFmtId="0" fontId="13" fillId="0" borderId="0" applyAlignment="1" pivotButton="0" quotePrefix="0" xfId="0">
      <alignment horizontal="general" vertical="bottom"/>
    </xf>
    <xf numFmtId="0" fontId="11" fillId="2" borderId="2" applyAlignment="1" pivotButton="0" quotePrefix="0" xfId="0">
      <alignment horizontal="center" vertical="center" wrapText="1"/>
    </xf>
    <xf numFmtId="0" fontId="12" fillId="0" borderId="2" applyAlignment="1" pivotButton="0" quotePrefix="0" xfId="0">
      <alignment horizontal="left" vertical="top"/>
    </xf>
    <xf numFmtId="0" fontId="10" fillId="0" borderId="2" applyAlignment="1" pivotButton="0" quotePrefix="0" xfId="0">
      <alignment horizontal="left" vertical="top"/>
    </xf>
    <xf numFmtId="0" fontId="10" fillId="0" borderId="2" applyAlignment="1" pivotButton="0" quotePrefix="0" xfId="0">
      <alignment horizontal="center" vertical="top"/>
    </xf>
    <xf numFmtId="0" fontId="10" fillId="0" borderId="2" applyAlignment="1" pivotButton="0" quotePrefix="0" xfId="0">
      <alignment horizontal="left" vertical="top" wrapText="1"/>
    </xf>
    <xf numFmtId="0" fontId="12" fillId="3" borderId="2" applyAlignment="1" pivotButton="0" quotePrefix="0" xfId="0">
      <alignment horizontal="left" vertical="top"/>
    </xf>
    <xf numFmtId="0" fontId="10" fillId="3" borderId="2" applyAlignment="1" pivotButton="0" quotePrefix="0" xfId="0">
      <alignment horizontal="left" vertical="top"/>
    </xf>
    <xf numFmtId="0" fontId="10" fillId="3" borderId="2" applyAlignment="1" pivotButton="0" quotePrefix="0" xfId="0">
      <alignment horizontal="center" vertical="top"/>
    </xf>
    <xf numFmtId="0" fontId="10" fillId="3" borderId="2" applyAlignment="1" pivotButton="0" quotePrefix="0" xfId="0">
      <alignment horizontal="left" vertical="top" wrapText="1"/>
    </xf>
    <xf numFmtId="0" fontId="12" fillId="3" borderId="1" applyAlignment="1" pivotButton="0" quotePrefix="0" xfId="0">
      <alignment horizontal="left" vertical="top" wrapText="1"/>
    </xf>
    <xf numFmtId="0" fontId="1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2" borderId="1" applyAlignment="1" pivotButton="0" quotePrefix="0" xfId="0">
      <alignment horizontal="center" vertical="center" wrapText="1"/>
    </xf>
    <xf numFmtId="0" fontId="8" fillId="0" borderId="1" applyAlignment="1" pivotButton="0" quotePrefix="0" xfId="0">
      <alignment horizontal="left" vertical="top"/>
    </xf>
    <xf numFmtId="0" fontId="9" fillId="0" borderId="1" applyAlignment="1" pivotButton="0" quotePrefix="0" xfId="0">
      <alignment horizontal="center" vertical="top"/>
    </xf>
    <xf numFmtId="164" fontId="9" fillId="0" borderId="1" applyAlignment="1" pivotButton="0" quotePrefix="0" xfId="0">
      <alignment horizontal="center" vertical="top"/>
    </xf>
    <xf numFmtId="0" fontId="9" fillId="0" borderId="1" applyAlignment="1" pivotButton="0" quotePrefix="0" xfId="0">
      <alignment horizontal="left" vertical="top" wrapText="1"/>
    </xf>
    <xf numFmtId="0" fontId="8" fillId="3" borderId="1" applyAlignment="1" pivotButton="0" quotePrefix="0" xfId="0">
      <alignment horizontal="left" vertical="top"/>
    </xf>
    <xf numFmtId="0" fontId="8" fillId="3" borderId="1" applyAlignment="1" pivotButton="0" quotePrefix="0" xfId="0">
      <alignment horizontal="center" vertical="top"/>
    </xf>
    <xf numFmtId="164" fontId="8" fillId="3" borderId="1" applyAlignment="1" pivotButton="0" quotePrefix="0" xfId="0">
      <alignment horizontal="center" vertical="top"/>
    </xf>
    <xf numFmtId="0" fontId="9" fillId="3" borderId="1" applyAlignment="1" pivotButton="0" quotePrefix="0" xfId="0">
      <alignment horizontal="left" vertical="top"/>
    </xf>
    <xf numFmtId="0" fontId="8" fillId="3" borderId="1" applyAlignment="1" pivotButton="0" quotePrefix="0" xfId="0">
      <alignment horizontal="left" vertical="top" wrapText="1"/>
    </xf>
    <xf numFmtId="0" fontId="8" fillId="0" borderId="0" applyAlignment="1" pivotButton="0" quotePrefix="0" xfId="0">
      <alignment horizontal="general" vertical="bottom"/>
    </xf>
    <xf numFmtId="0" fontId="7" fillId="0" borderId="0" applyAlignment="1" pivotButton="0" quotePrefix="0" xfId="0">
      <alignment horizontal="center" vertical="center" wrapText="1"/>
    </xf>
    <xf numFmtId="0" fontId="9" fillId="0" borderId="1" applyAlignment="1" pivotButton="0" quotePrefix="0" xfId="0">
      <alignment horizontal="left" vertical="top"/>
    </xf>
    <xf numFmtId="0" fontId="9" fillId="0" borderId="0" applyAlignment="1" pivotButton="0" quotePrefix="0" xfId="0">
      <alignment horizontal="left" vertical="top"/>
    </xf>
    <xf numFmtId="0" fontId="10" fillId="0" borderId="0" applyAlignment="1" pivotButton="0" quotePrefix="0" xfId="0">
      <alignment horizontal="general" vertical="top" wrapText="1"/>
    </xf>
    <xf numFmtId="0" fontId="11" fillId="2" borderId="1" applyAlignment="1" pivotButton="0" quotePrefix="0" xfId="0">
      <alignment horizontal="center" vertical="center" wrapText="1"/>
    </xf>
    <xf numFmtId="0" fontId="12" fillId="0" borderId="1" applyAlignment="1" pivotButton="0" quotePrefix="0" xfId="0">
      <alignment horizontal="left" vertical="top"/>
    </xf>
    <xf numFmtId="0" fontId="10" fillId="0" borderId="1" applyAlignment="1" pivotButton="0" quotePrefix="0" xfId="0">
      <alignment horizontal="center" vertical="top"/>
    </xf>
    <xf numFmtId="0" fontId="10" fillId="0" borderId="1" applyAlignment="1" pivotButton="0" quotePrefix="0" xfId="0">
      <alignment horizontal="left" vertical="top" wrapText="1"/>
    </xf>
    <xf numFmtId="0" fontId="12" fillId="3" borderId="1" applyAlignment="1" pivotButton="0" quotePrefix="0" xfId="0">
      <alignment horizontal="left" vertical="top"/>
    </xf>
    <xf numFmtId="0" fontId="10" fillId="3" borderId="1" applyAlignment="1" pivotButton="0" quotePrefix="0" xfId="0">
      <alignment horizontal="left" vertical="top"/>
    </xf>
    <xf numFmtId="0" fontId="12" fillId="3" borderId="1" applyAlignment="1" pivotButton="0" quotePrefix="0" xfId="0">
      <alignment horizontal="center" vertical="top"/>
    </xf>
    <xf numFmtId="0" fontId="13" fillId="0" borderId="0" applyAlignment="1" pivotButton="0" quotePrefix="0" xfId="0">
      <alignment horizontal="general" vertical="bottom"/>
    </xf>
    <xf numFmtId="0" fontId="11" fillId="2" borderId="2" applyAlignment="1" pivotButton="0" quotePrefix="0" xfId="0">
      <alignment horizontal="center" vertical="center" wrapText="1"/>
    </xf>
    <xf numFmtId="0" fontId="12" fillId="0" borderId="2" applyAlignment="1" pivotButton="0" quotePrefix="0" xfId="0">
      <alignment horizontal="left" vertical="top"/>
    </xf>
    <xf numFmtId="0" fontId="10" fillId="0" borderId="2" applyAlignment="1" pivotButton="0" quotePrefix="0" xfId="0">
      <alignment horizontal="left" vertical="top"/>
    </xf>
    <xf numFmtId="0" fontId="10" fillId="0" borderId="2" applyAlignment="1" pivotButton="0" quotePrefix="0" xfId="0">
      <alignment horizontal="center" vertical="top"/>
    </xf>
    <xf numFmtId="0" fontId="10" fillId="0" borderId="2" applyAlignment="1" pivotButton="0" quotePrefix="0" xfId="0">
      <alignment horizontal="left" vertical="top" wrapText="1"/>
    </xf>
    <xf numFmtId="0" fontId="12" fillId="3" borderId="2" applyAlignment="1" pivotButton="0" quotePrefix="0" xfId="0">
      <alignment horizontal="left" vertical="top"/>
    </xf>
    <xf numFmtId="0" fontId="10" fillId="3" borderId="2" applyAlignment="1" pivotButton="0" quotePrefix="0" xfId="0">
      <alignment horizontal="left" vertical="top"/>
    </xf>
    <xf numFmtId="0" fontId="10" fillId="3" borderId="2" applyAlignment="1" pivotButton="0" quotePrefix="0" xfId="0">
      <alignment horizontal="center" vertical="top"/>
    </xf>
    <xf numFmtId="0" fontId="10" fillId="3" borderId="2" applyAlignment="1" pivotButton="0" quotePrefix="0" xfId="0">
      <alignment horizontal="left" vertical="top" wrapText="1"/>
    </xf>
    <xf numFmtId="0" fontId="12" fillId="3" borderId="1" applyAlignment="1" pivotButton="0" quotePrefix="0" xfId="0">
      <alignment horizontal="left" vertical="top" wrapText="1"/>
    </xf>
    <xf numFmtId="0" fontId="1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4F6F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G22"/>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34" customWidth="1" style="39" min="1" max="1"/>
    <col width="16" customWidth="1" style="39" min="2" max="2"/>
    <col width="14" customWidth="1" style="39" min="3" max="3"/>
    <col width="20" customWidth="1" style="39" min="4" max="4"/>
    <col width="28" customWidth="1" style="39" min="5" max="5"/>
    <col width="56" customWidth="1" style="39" min="6" max="6"/>
    <col width="52" customWidth="1" style="39" min="7" max="7"/>
  </cols>
  <sheetData>
    <row r="1" ht="16.5" customHeight="1" s="40">
      <c r="A1" s="41" t="inlineStr">
        <is>
          <t>Nexora-BI — Virtual Machine Resource Requirement</t>
        </is>
      </c>
    </row>
    <row r="2" ht="15" customHeight="1" s="40">
      <c r="A2" s="42" t="inlineStr">
        <is>
          <t>OSS911 Makkah 911 Operations Centre · Business Intelligence and Data Warehouse subsystem · issued to the Main Contractor for infrastructure provisioning · Rev B, 5 October 2026</t>
        </is>
      </c>
    </row>
    <row r="3" ht="15" customHeight="1" s="40">
      <c r="A3" s="43" t="n"/>
      <c r="B3" s="43" t="n"/>
      <c r="C3" s="43" t="n"/>
      <c r="D3" s="43" t="n"/>
      <c r="E3" s="43" t="n"/>
      <c r="F3" s="43" t="n"/>
      <c r="G3" s="43" t="n"/>
    </row>
    <row r="4" ht="33.75" customHeight="1" s="40">
      <c r="A4" s="44" t="inlineStr">
        <is>
          <t>Environment</t>
        </is>
      </c>
      <c r="B4" s="44" t="inlineStr">
        <is>
          <t>VMs</t>
        </is>
      </c>
      <c r="C4" s="44" t="inlineStr">
        <is>
          <t>vCPU</t>
        </is>
      </c>
      <c r="D4" s="44" t="inlineStr">
        <is>
          <t>RAM (GB)</t>
        </is>
      </c>
      <c r="E4" s="44" t="inlineStr">
        <is>
          <t>Storage (TB)</t>
        </is>
      </c>
      <c r="F4" s="44" t="inlineStr">
        <is>
          <t>Availability</t>
        </is>
      </c>
      <c r="G4" s="44" t="inlineStr">
        <is>
          <t>Notes</t>
        </is>
      </c>
    </row>
    <row r="5" ht="31.5" customHeight="1" s="40">
      <c r="A5" s="45" t="inlineStr">
        <is>
          <t>Production</t>
        </is>
      </c>
      <c r="B5" s="46">
        <f>SUM('Production VMs'!C5:C17)</f>
        <v/>
      </c>
      <c r="C5" s="46">
        <f>SUMPRODUCT('Production VMs'!$C$5:$C$17,'Production VMs'!D5:D17)</f>
        <v/>
      </c>
      <c r="D5" s="46">
        <f>SUMPRODUCT('Production VMs'!$C$5:$C$17,'Production VMs'!E5:E17)</f>
        <v/>
      </c>
      <c r="E5" s="47">
        <f>SUMPRODUCT('Production VMs'!$C$5:$C$17,'Production VMs'!F5:F17+'Production VMs'!G5:G17)/1024</f>
        <v/>
      </c>
      <c r="F5" s="48" t="inlineStr">
        <is>
          <t>Full HA, no single point of failure. At least four physical hosts are required; the floor follows from PL-01, PL-02 and PL-04</t>
        </is>
      </c>
      <c r="G5" s="48" t="inlineStr">
        <is>
          <t>Carries the Clause 1.5.2.9 service levels. 22 VMs in the internal zone and 2 in the DMZ</t>
        </is>
      </c>
    </row>
    <row r="6" ht="18" customHeight="1" s="40">
      <c r="A6" s="45" t="inlineStr">
        <is>
          <t>Test / Integration</t>
        </is>
      </c>
      <c r="B6" s="46">
        <f>SUM('Test &amp; Training VMs'!C5:C7)</f>
        <v/>
      </c>
      <c r="C6" s="46">
        <f>SUMPRODUCT('Test &amp; Training VMs'!$C$5:$C$7,'Test &amp; Training VMs'!D5:D7)</f>
        <v/>
      </c>
      <c r="D6" s="46">
        <f>SUMPRODUCT('Test &amp; Training VMs'!$C$5:$C$7,'Test &amp; Training VMs'!E5:E7)</f>
        <v/>
      </c>
      <c r="E6" s="47">
        <f>SUMPRODUCT('Test &amp; Training VMs'!$C$5:$C$7,'Test &amp; Training VMs'!F5:F7)/1024</f>
        <v/>
      </c>
      <c r="F6" s="48" t="inlineStr">
        <is>
          <t>No HA required</t>
        </is>
      </c>
      <c r="G6" s="48" t="inlineStr">
        <is>
          <t>Used for SIT, UAT and release verification</t>
        </is>
      </c>
    </row>
    <row r="7" ht="18" customHeight="1" s="40">
      <c r="A7" s="45" t="inlineStr">
        <is>
          <t>Training</t>
        </is>
      </c>
      <c r="B7" s="46">
        <f>SUM('Test &amp; Training VMs'!C8:C9)</f>
        <v/>
      </c>
      <c r="C7" s="46">
        <f>SUMPRODUCT('Test &amp; Training VMs'!$C$8:$C$9,'Test &amp; Training VMs'!D8:D9)</f>
        <v/>
      </c>
      <c r="D7" s="46">
        <f>SUMPRODUCT('Test &amp; Training VMs'!$C$8:$C$9,'Test &amp; Training VMs'!E8:E9)</f>
        <v/>
      </c>
      <c r="E7" s="47">
        <f>SUMPRODUCT('Test &amp; Training VMs'!$C$8:$C$9,'Test &amp; Training VMs'!F8:F9)/1024</f>
        <v/>
      </c>
      <c r="F7" s="48" t="inlineStr">
        <is>
          <t>No HA required</t>
        </is>
      </c>
      <c r="G7" s="48" t="inlineStr">
        <is>
          <t>Role-based training per Clause 1.7</t>
        </is>
      </c>
    </row>
    <row r="8" ht="31.5" customHeight="1" s="40">
      <c r="A8" s="49" t="inlineStr">
        <is>
          <t>TOTAL</t>
        </is>
      </c>
      <c r="B8" s="50">
        <f>SUM(B5:B7)</f>
        <v/>
      </c>
      <c r="C8" s="50">
        <f>SUM(C5:C7)</f>
        <v/>
      </c>
      <c r="D8" s="50">
        <f>SUM(D5:D7)</f>
        <v/>
      </c>
      <c r="E8" s="51">
        <f>SUM(E5:E7)</f>
        <v/>
      </c>
      <c r="F8" s="52" t="n"/>
      <c r="G8" s="53" t="inlineStr">
        <is>
          <t>Storage excludes the object-store growth allowance below. 1 TB = 1024 GB throughout</t>
        </is>
      </c>
    </row>
    <row r="9" ht="15" customHeight="1" s="40">
      <c r="A9" s="43" t="n"/>
      <c r="B9" s="43" t="n"/>
      <c r="C9" s="43" t="n"/>
      <c r="D9" s="43" t="n"/>
      <c r="E9" s="43" t="n"/>
      <c r="F9" s="43" t="n"/>
      <c r="G9" s="43" t="n"/>
    </row>
    <row r="10" ht="15" customHeight="1" s="40">
      <c r="A10" s="54" t="inlineStr">
        <is>
          <t>Network zones</t>
        </is>
      </c>
      <c r="B10" s="43" t="n"/>
      <c r="C10" s="43" t="n"/>
      <c r="D10" s="43" t="n"/>
      <c r="E10" s="43" t="n"/>
      <c r="F10" s="43" t="n"/>
      <c r="G10" s="43" t="n"/>
    </row>
    <row r="11" ht="33.75" customHeight="1" s="40">
      <c r="A11" s="44" t="inlineStr">
        <is>
          <t>Zone</t>
        </is>
      </c>
      <c r="B11" s="44" t="inlineStr">
        <is>
          <t>VMs</t>
        </is>
      </c>
      <c r="C11" s="44" t="inlineStr">
        <is>
          <t>vCPU</t>
        </is>
      </c>
      <c r="D11" s="44" t="inlineStr">
        <is>
          <t>RAM (GB)</t>
        </is>
      </c>
      <c r="E11" s="44" t="inlineStr">
        <is>
          <t>Storage (TB)</t>
        </is>
      </c>
      <c r="F11" s="44" t="inlineStr">
        <is>
          <t>Scope boundary</t>
        </is>
      </c>
      <c r="G11" s="44" t="inlineStr">
        <is>
          <t>Business data at rest</t>
        </is>
      </c>
    </row>
    <row r="12" ht="48" customHeight="1" s="40">
      <c r="A12" s="45" t="inlineStr">
        <is>
          <t>Internal</t>
        </is>
      </c>
      <c r="B12" s="46">
        <f>SUM('Production VMs'!C5:C16)</f>
        <v/>
      </c>
      <c r="C12" s="46">
        <f>SUMPRODUCT('Production VMs'!$C$5:$C$16,'Production VMs'!D5:D16)</f>
        <v/>
      </c>
      <c r="D12" s="46">
        <f>SUMPRODUCT('Production VMs'!$C$5:$C$16,'Production VMs'!E5:E16)</f>
        <v/>
      </c>
      <c r="E12" s="47">
        <f>SUMPRODUCT('Production VMs'!$C$5:$C$16,'Production VMs'!F5:F16+'Production VMs'!G5:G16)/1024</f>
        <v/>
      </c>
      <c r="F12" s="48" t="inlineStr">
        <is>
          <t>Database, application, real-time, ETL, IAM, monitoring, object store and backup. All data processing and all controlled data delivery take place here</t>
        </is>
      </c>
      <c r="G12" s="46" t="inlineStr">
        <is>
          <t>Yes</t>
        </is>
      </c>
    </row>
    <row r="13" ht="61.5" customHeight="1" s="40">
      <c r="A13" s="45" t="inlineStr">
        <is>
          <t>DMZ (internet access)</t>
        </is>
      </c>
      <c r="B13" s="46">
        <f>'Production VMs'!C17</f>
        <v/>
      </c>
      <c r="C13" s="46">
        <f>'Production VMs'!C17*'Production VMs'!D17</f>
        <v/>
      </c>
      <c r="D13" s="46">
        <f>'Production VMs'!C17*'Production VMs'!E17</f>
        <v/>
      </c>
      <c r="E13" s="47">
        <f>'Production VMs'!C17*('Production VMs'!F17+'Production VMs'!G17)/1024</f>
        <v/>
      </c>
      <c r="F13" s="48" t="inlineStr">
        <is>
          <t>Internet access proxy for mobile clients only. The zone, the WAF, DDoS protection, public DNS, TLS certificates and the SMS and e-mail gateways are provided and operated by the Main Contractor; these two VMs are the only components this subsystem places in the zone. Mobile application management (MDM, app distribution, device compliance) is carried by the existing MOI platform and is outside the scope of this subsystem.</t>
        </is>
      </c>
      <c r="G13" s="46" t="inlineStr">
        <is>
          <t>None</t>
        </is>
      </c>
    </row>
    <row r="14" ht="15" customHeight="1" s="40">
      <c r="A14" s="43" t="n"/>
      <c r="B14" s="43" t="n"/>
      <c r="C14" s="43" t="n"/>
      <c r="D14" s="43" t="n"/>
      <c r="E14" s="43" t="n"/>
      <c r="F14" s="43" t="n"/>
      <c r="G14" s="43" t="n"/>
    </row>
    <row r="15" ht="15" customHeight="1" s="40">
      <c r="A15" s="54" t="inlineStr">
        <is>
          <t>Object storage sizing — to be confirmed</t>
        </is>
      </c>
      <c r="B15" s="43" t="n"/>
      <c r="C15" s="43" t="n"/>
      <c r="D15" s="43" t="n"/>
      <c r="E15" s="43" t="n"/>
      <c r="F15" s="43" t="n"/>
      <c r="G15" s="43" t="n"/>
    </row>
    <row r="16" ht="19.5" customHeight="1" s="40">
      <c r="A16" s="44" t="inlineStr">
        <is>
          <t>Scenario</t>
        </is>
      </c>
      <c r="B16" s="44" t="inlineStr">
        <is>
          <t>Media per year</t>
        </is>
      </c>
      <c r="C16" s="44" t="inlineStr">
        <is>
          <t>8-year raw</t>
        </is>
      </c>
      <c r="D16" s="44" t="inlineStr">
        <is>
          <t>With 1.5x protection</t>
        </is>
      </c>
      <c r="E16" s="44" t="inlineStr">
        <is>
          <t>Recommended initial provision</t>
        </is>
      </c>
      <c r="F16" s="55" t="n"/>
      <c r="G16" s="55" t="n"/>
    </row>
    <row r="17" ht="18" customHeight="1" s="40">
      <c r="A17" s="45" t="inlineStr">
        <is>
          <t>Low  (10% of incidents, 3 photos, 2 MB)</t>
        </is>
      </c>
      <c r="B17" s="46" t="inlineStr">
        <is>
          <t>0.84 TB</t>
        </is>
      </c>
      <c r="C17" s="46" t="inlineStr">
        <is>
          <t>6.7 TB</t>
        </is>
      </c>
      <c r="D17" s="46" t="inlineStr">
        <is>
          <t>10.0 TB</t>
        </is>
      </c>
      <c r="E17" s="56" t="inlineStr">
        <is>
          <t>12 TB usable, expandable</t>
        </is>
      </c>
      <c r="F17" s="57" t="n"/>
      <c r="G17" s="57" t="n"/>
    </row>
    <row r="18" ht="18" customHeight="1" s="40">
      <c r="A18" s="45" t="inlineStr">
        <is>
          <t>High (30% of incidents, 5 photos, 2 MB)</t>
        </is>
      </c>
      <c r="B18" s="46" t="inlineStr">
        <is>
          <t>4.18 TB</t>
        </is>
      </c>
      <c r="C18" s="46" t="inlineStr">
        <is>
          <t>33.4 TB</t>
        </is>
      </c>
      <c r="D18" s="46" t="inlineStr">
        <is>
          <t>50.1 TB</t>
        </is>
      </c>
      <c r="E18" s="56" t="inlineStr">
        <is>
          <t>50 TB usable, expandable</t>
        </is>
      </c>
      <c r="F18" s="57" t="n"/>
      <c r="G18" s="57" t="n"/>
    </row>
    <row r="19" ht="15" customHeight="1" s="40">
      <c r="A19" s="43" t="n"/>
      <c r="B19" s="43" t="n"/>
      <c r="C19" s="43" t="n"/>
      <c r="D19" s="43" t="n"/>
      <c r="E19" s="43" t="n"/>
      <c r="F19" s="43" t="n"/>
      <c r="G19" s="43" t="n"/>
    </row>
    <row r="20" ht="60" customHeight="1" s="40">
      <c r="A20" s="58" t="inlineStr">
        <is>
          <t>The two scenarios differ by a factor of five. The figure in the VM sheet (OBJ-1..3 at 8192 GB each, 24 TB raw, about 16 TB usable at 1.5x protection) reflects the low scenario and carries headroom above the 12 TB recommendation. Confirmation of the field-media volume from the MDS and E-Assist channels is required before the object-store capacity can be fixed (item D-01); the design allows nodes to be added without service interruption. Procuring for the low scenario where the high scenario applies is not a matter of adding disks alone: expanding a three-node object store means re-planning placement and the backup strategy, so the figure should be settled before procurement rather than during implementation.</t>
        </is>
      </c>
    </row>
    <row r="21" ht="15" customHeight="1" s="40"/>
    <row r="22" ht="15" customHeight="1" s="40"/>
  </sheetData>
  <mergeCells count="3">
    <mergeCell ref="A2:G2"/>
    <mergeCell ref="A1:G1"/>
    <mergeCell ref="A20:G22"/>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Nexora-BI VM Resource Requirement · Rev B&amp;R&amp;8 &amp;P / &amp;N</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A1:J1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13" customWidth="1" style="39" min="1" max="1"/>
    <col width="9" customWidth="1" style="39" min="2" max="2"/>
    <col width="6" customWidth="1" style="39" min="3" max="3"/>
    <col width="7" customWidth="1" style="39" min="4" max="4"/>
    <col width="10" customWidth="1" style="39" min="5" max="5"/>
    <col width="12" customWidth="1" style="39" min="6" max="6"/>
    <col width="13" customWidth="1" style="39" min="7" max="8"/>
    <col width="17" customWidth="1" style="39" min="9" max="9"/>
    <col width="62" customWidth="1" style="39" min="10" max="10"/>
  </cols>
  <sheetData>
    <row r="1" ht="16.5" customHeight="1" s="40">
      <c r="A1" s="41" t="inlineStr">
        <is>
          <t>Production Environment — Virtual Machine Inventory</t>
        </is>
      </c>
    </row>
    <row r="2" ht="15" customHeight="1" s="40">
      <c r="A2" s="42" t="inlineStr">
        <is>
          <t>All figures are per-VM. Totals are calculated. Placement, isolation and platform requirements are defined in the "Placement &amp; Isolation" sheet and form part of this specification.</t>
        </is>
      </c>
    </row>
    <row r="3" ht="15" customHeight="1" s="40">
      <c r="A3" s="43" t="n"/>
      <c r="B3" s="43" t="n"/>
      <c r="C3" s="43" t="n"/>
      <c r="D3" s="43" t="n"/>
      <c r="E3" s="43" t="n"/>
      <c r="F3" s="43" t="n"/>
      <c r="G3" s="43" t="n"/>
      <c r="H3" s="43" t="n"/>
      <c r="I3" s="43" t="n"/>
      <c r="J3" s="43" t="n"/>
    </row>
    <row r="4" ht="15" customHeight="1" s="40">
      <c r="A4" s="59" t="inlineStr">
        <is>
          <t>ID</t>
        </is>
      </c>
      <c r="B4" s="59" t="inlineStr">
        <is>
          <t>Zone</t>
        </is>
      </c>
      <c r="C4" s="59" t="inlineStr">
        <is>
          <t>Qty</t>
        </is>
      </c>
      <c r="D4" s="59" t="inlineStr">
        <is>
          <t>vCPU</t>
        </is>
      </c>
      <c r="E4" s="59" t="inlineStr">
        <is>
          <t>RAM (GB)</t>
        </is>
      </c>
      <c r="F4" s="59" t="inlineStr">
        <is>
          <t>OS disk (GB)</t>
        </is>
      </c>
      <c r="G4" s="59" t="inlineStr">
        <is>
          <t>Data disk (GB)</t>
        </is>
      </c>
      <c r="H4" s="59" t="inlineStr">
        <is>
          <t>Disk class</t>
        </is>
      </c>
      <c r="I4" s="59" t="inlineStr">
        <is>
          <t>CPU/RAM reservation</t>
        </is>
      </c>
      <c r="J4" s="59" t="inlineStr">
        <is>
          <t>Notes</t>
        </is>
      </c>
    </row>
    <row r="5" ht="13.5" customHeight="1" s="40">
      <c r="A5" s="60" t="inlineStr">
        <is>
          <t>PG-PRIMARY</t>
        </is>
      </c>
      <c r="B5" s="61" t="inlineStr">
        <is>
          <t>Internal</t>
        </is>
      </c>
      <c r="C5" s="61" t="n">
        <v>1</v>
      </c>
      <c r="D5" s="61" t="n">
        <v>16</v>
      </c>
      <c r="E5" s="61" t="n">
        <v>64</v>
      </c>
      <c r="F5" s="61" t="n">
        <v>100</v>
      </c>
      <c r="G5" s="61" t="n">
        <v>4096</v>
      </c>
      <c r="H5" s="61" t="inlineStr">
        <is>
          <t>SSD / NVMe</t>
        </is>
      </c>
      <c r="I5" s="61" t="inlineStr">
        <is>
          <t>100% reserved</t>
        </is>
      </c>
      <c r="J5" s="62" t="inlineStr">
        <is>
          <t>Write path. Sub-second response required by Clause 1.6.7.5</t>
        </is>
      </c>
    </row>
    <row r="6" ht="13.5" customHeight="1" s="40">
      <c r="A6" s="60" t="inlineStr">
        <is>
          <t>PG-STANDBY</t>
        </is>
      </c>
      <c r="B6" s="61" t="inlineStr">
        <is>
          <t>Internal</t>
        </is>
      </c>
      <c r="C6" s="61" t="n">
        <v>1</v>
      </c>
      <c r="D6" s="61" t="n">
        <v>16</v>
      </c>
      <c r="E6" s="61" t="n">
        <v>64</v>
      </c>
      <c r="F6" s="61" t="n">
        <v>100</v>
      </c>
      <c r="G6" s="61" t="n">
        <v>4096</v>
      </c>
      <c r="H6" s="61" t="inlineStr">
        <is>
          <t>SSD / NVMe</t>
        </is>
      </c>
      <c r="I6" s="61" t="inlineStr">
        <is>
          <t>100% reserved</t>
        </is>
      </c>
      <c r="J6" s="62" t="inlineStr">
        <is>
          <t>Zero-data-loss failover target. Sized identically to primary</t>
        </is>
      </c>
    </row>
    <row r="7" ht="13.5" customHeight="1" s="40">
      <c r="A7" s="60" t="inlineStr">
        <is>
          <t>PG-REPLICA</t>
        </is>
      </c>
      <c r="B7" s="61" t="inlineStr">
        <is>
          <t>Internal</t>
        </is>
      </c>
      <c r="C7" s="61" t="n">
        <v>1</v>
      </c>
      <c r="D7" s="61" t="n">
        <v>16</v>
      </c>
      <c r="E7" s="61" t="n">
        <v>96</v>
      </c>
      <c r="F7" s="61" t="n">
        <v>100</v>
      </c>
      <c r="G7" s="61" t="n">
        <v>4096</v>
      </c>
      <c r="H7" s="61" t="inlineStr">
        <is>
          <t>SSD / NVMe</t>
        </is>
      </c>
      <c r="I7" s="61" t="inlineStr">
        <is>
          <t>100% reserved</t>
        </is>
      </c>
      <c r="J7" s="62" t="inlineStr">
        <is>
          <t>Serves all reporting and dashboard queries; larger cache</t>
        </is>
      </c>
    </row>
    <row r="8" ht="13.5" customHeight="1" s="40">
      <c r="A8" s="60" t="inlineStr">
        <is>
          <t>ETCD-1..3</t>
        </is>
      </c>
      <c r="B8" s="61" t="inlineStr">
        <is>
          <t>Internal</t>
        </is>
      </c>
      <c r="C8" s="61" t="n">
        <v>3</v>
      </c>
      <c r="D8" s="61" t="n">
        <v>2</v>
      </c>
      <c r="E8" s="61" t="n">
        <v>4</v>
      </c>
      <c r="F8" s="61" t="n">
        <v>60</v>
      </c>
      <c r="G8" s="61" t="n">
        <v>0</v>
      </c>
      <c r="H8" s="61" t="inlineStr">
        <is>
          <t>SSD</t>
        </is>
      </c>
      <c r="I8" s="61" t="inlineStr">
        <is>
          <t>100% reserved</t>
        </is>
      </c>
      <c r="J8" s="62" t="inlineStr">
        <is>
          <t>Quorum member. Loss of quorum disables automatic failover</t>
        </is>
      </c>
    </row>
    <row r="9" ht="13.5" customHeight="1" s="40">
      <c r="A9" s="60" t="inlineStr">
        <is>
          <t>LB-1..2</t>
        </is>
      </c>
      <c r="B9" s="61" t="inlineStr">
        <is>
          <t>Internal</t>
        </is>
      </c>
      <c r="C9" s="61" t="n">
        <v>2</v>
      </c>
      <c r="D9" s="61" t="n">
        <v>4</v>
      </c>
      <c r="E9" s="61" t="n">
        <v>8</v>
      </c>
      <c r="F9" s="61" t="n">
        <v>60</v>
      </c>
      <c r="G9" s="61" t="n">
        <v>0</v>
      </c>
      <c r="H9" s="61" t="inlineStr">
        <is>
          <t>SSD</t>
        </is>
      </c>
      <c r="I9" s="61" t="inlineStr">
        <is>
          <t>Standard</t>
        </is>
      </c>
      <c r="J9" s="62" t="inlineStr">
        <is>
          <t>Read/write split and connection pooling</t>
        </is>
      </c>
    </row>
    <row r="10" ht="13.5" customHeight="1" s="40">
      <c r="A10" s="60" t="inlineStr">
        <is>
          <t>APP-1..2</t>
        </is>
      </c>
      <c r="B10" s="61" t="inlineStr">
        <is>
          <t>Internal</t>
        </is>
      </c>
      <c r="C10" s="61" t="n">
        <v>2</v>
      </c>
      <c r="D10" s="61" t="n">
        <v>8</v>
      </c>
      <c r="E10" s="61" t="n">
        <v>32</v>
      </c>
      <c r="F10" s="61" t="n">
        <v>80</v>
      </c>
      <c r="G10" s="61" t="n">
        <v>200</v>
      </c>
      <c r="H10" s="61" t="inlineStr">
        <is>
          <t>SSD</t>
        </is>
      </c>
      <c r="I10" s="61" t="inlineStr">
        <is>
          <t>Standard</t>
        </is>
      </c>
      <c r="J10" s="62" t="inlineStr">
        <is>
          <t>Browser BI, outbound APIs, PDF/Word generation</t>
        </is>
      </c>
    </row>
    <row r="11" ht="13.5" customHeight="1" s="40">
      <c r="A11" s="60" t="inlineStr">
        <is>
          <t>RT-1..2</t>
        </is>
      </c>
      <c r="B11" s="61" t="inlineStr">
        <is>
          <t>Internal</t>
        </is>
      </c>
      <c r="C11" s="61" t="n">
        <v>2</v>
      </c>
      <c r="D11" s="61" t="n">
        <v>4</v>
      </c>
      <c r="E11" s="61" t="n">
        <v>16</v>
      </c>
      <c r="F11" s="61" t="n">
        <v>60</v>
      </c>
      <c r="G11" s="61" t="n">
        <v>0</v>
      </c>
      <c r="H11" s="61" t="inlineStr">
        <is>
          <t>SSD</t>
        </is>
      </c>
      <c r="I11" s="61" t="inlineStr">
        <is>
          <t>Standard</t>
        </is>
      </c>
      <c r="J11" s="62" t="inlineStr">
        <is>
          <t>Polls CAD presentation DB and telephony API; pushes to wall and mobile</t>
        </is>
      </c>
    </row>
    <row r="12" ht="13.5" customHeight="1" s="40">
      <c r="A12" s="60" t="inlineStr">
        <is>
          <t>ETL-1..2</t>
        </is>
      </c>
      <c r="B12" s="61" t="inlineStr">
        <is>
          <t>Internal</t>
        </is>
      </c>
      <c r="C12" s="61" t="n">
        <v>2</v>
      </c>
      <c r="D12" s="61" t="n">
        <v>8</v>
      </c>
      <c r="E12" s="61" t="n">
        <v>32</v>
      </c>
      <c r="F12" s="61" t="n">
        <v>80</v>
      </c>
      <c r="G12" s="61" t="n">
        <v>200</v>
      </c>
      <c r="H12" s="61" t="inlineStr">
        <is>
          <t>SSD</t>
        </is>
      </c>
      <c r="I12" s="61" t="inlineStr">
        <is>
          <t>Standard</t>
        </is>
      </c>
      <c r="J12" s="62" t="inlineStr">
        <is>
          <t>Apache Airflow (api-server, scheduler, dag-processor, triggerer; LocalExecutor; active-active on both VMs), dbt model builds, data ingestion jobs</t>
        </is>
      </c>
    </row>
    <row r="13" ht="13.5" customHeight="1" s="40">
      <c r="A13" s="60" t="inlineStr">
        <is>
          <t>OBJ-1..3</t>
        </is>
      </c>
      <c r="B13" s="61" t="inlineStr">
        <is>
          <t>Internal</t>
        </is>
      </c>
      <c r="C13" s="61" t="n">
        <v>3</v>
      </c>
      <c r="D13" s="61" t="n">
        <v>8</v>
      </c>
      <c r="E13" s="61" t="n">
        <v>32</v>
      </c>
      <c r="F13" s="61" t="n">
        <v>80</v>
      </c>
      <c r="G13" s="61" t="n">
        <v>8192</v>
      </c>
      <c r="H13" s="61" t="inlineStr">
        <is>
          <t>HDD / hybrid</t>
        </is>
      </c>
      <c r="I13" s="61" t="inlineStr">
        <is>
          <t>Standard</t>
        </is>
      </c>
      <c r="J13" s="62" t="inlineStr">
        <is>
          <t>Field media, E-Assist uploads, AI training exports. See sizing note</t>
        </is>
      </c>
    </row>
    <row r="14" ht="13.5" customHeight="1" s="40">
      <c r="A14" s="60" t="inlineStr">
        <is>
          <t>IAM-1..2</t>
        </is>
      </c>
      <c r="B14" s="61" t="inlineStr">
        <is>
          <t>Internal</t>
        </is>
      </c>
      <c r="C14" s="61" t="n">
        <v>2</v>
      </c>
      <c r="D14" s="61" t="n">
        <v>4</v>
      </c>
      <c r="E14" s="61" t="n">
        <v>8</v>
      </c>
      <c r="F14" s="61" t="n">
        <v>60</v>
      </c>
      <c r="G14" s="61" t="n">
        <v>0</v>
      </c>
      <c r="H14" s="61" t="inlineStr">
        <is>
          <t>SSD</t>
        </is>
      </c>
      <c r="I14" s="61" t="inlineStr">
        <is>
          <t>Standard</t>
        </is>
      </c>
      <c r="J14" s="62" t="inlineStr">
        <is>
          <t>Federates the MOI AD/LDAP directory</t>
        </is>
      </c>
    </row>
    <row r="15" ht="13.5" customHeight="1" s="40">
      <c r="A15" s="60" t="inlineStr">
        <is>
          <t>MON-1..2</t>
        </is>
      </c>
      <c r="B15" s="61" t="inlineStr">
        <is>
          <t>Internal</t>
        </is>
      </c>
      <c r="C15" s="61" t="n">
        <v>2</v>
      </c>
      <c r="D15" s="61" t="n">
        <v>4</v>
      </c>
      <c r="E15" s="61" t="n">
        <v>16</v>
      </c>
      <c r="F15" s="61" t="n">
        <v>80</v>
      </c>
      <c r="G15" s="61" t="n">
        <v>500</v>
      </c>
      <c r="H15" s="61" t="inlineStr">
        <is>
          <t>SSD</t>
        </is>
      </c>
      <c r="I15" s="61" t="inlineStr">
        <is>
          <t>Standard</t>
        </is>
      </c>
      <c r="J15" s="62" t="inlineStr">
        <is>
          <t>Availability and replication-lag metrics feeding the Clause 1.5.2.8 report</t>
        </is>
      </c>
    </row>
    <row r="16" ht="13.5" customHeight="1" s="40">
      <c r="A16" s="60" t="inlineStr">
        <is>
          <t>BKP-1</t>
        </is>
      </c>
      <c r="B16" s="61" t="inlineStr">
        <is>
          <t>Internal</t>
        </is>
      </c>
      <c r="C16" s="61" t="n">
        <v>1</v>
      </c>
      <c r="D16" s="61" t="n">
        <v>4</v>
      </c>
      <c r="E16" s="61" t="n">
        <v>16</v>
      </c>
      <c r="F16" s="61" t="n">
        <v>80</v>
      </c>
      <c r="G16" s="61" t="n">
        <v>8192</v>
      </c>
      <c r="H16" s="61" t="inlineStr">
        <is>
          <t>HDD / hybrid</t>
        </is>
      </c>
      <c r="I16" s="61" t="inlineStr">
        <is>
          <t>Standard</t>
        </is>
      </c>
      <c r="J16" s="62" t="inlineStr">
        <is>
          <t>Full, incremental and WAL archive. Storage independent of the DB tier</t>
        </is>
      </c>
    </row>
    <row r="17" ht="54.75" customHeight="1" s="40">
      <c r="A17" s="60" t="inlineStr">
        <is>
          <t>PROXY-1..2</t>
        </is>
      </c>
      <c r="B17" s="61" t="inlineStr">
        <is>
          <t>DMZ</t>
        </is>
      </c>
      <c r="C17" s="61" t="n">
        <v>2</v>
      </c>
      <c r="D17" s="61" t="n">
        <v>4</v>
      </c>
      <c r="E17" s="61" t="n">
        <v>8</v>
      </c>
      <c r="F17" s="61" t="n">
        <v>100</v>
      </c>
      <c r="G17" s="61" t="n">
        <v>0</v>
      </c>
      <c r="H17" s="61" t="inlineStr">
        <is>
          <t>SSD</t>
        </is>
      </c>
      <c r="I17" s="61" t="inlineStr">
        <is>
          <t>Standard</t>
        </is>
      </c>
      <c r="J17" s="62" t="inlineStr">
        <is>
          <t>Internet access proxy for mobile clients only: TLS termination and reverse proxy to the internal load balancers. The DMZ zone itself — together with the WAF, DDoS protection, public DNS, TLS certificates and the SMS and e-mail gateways — is provided and operated by the Main Contractor; these two VMs are the only Nexora-BI components hosted in that zone. No business data and no credential store at rest; responses are not cached to disk. Access logs are shipped to MON in real time and retained locally only for the rotation window. See "Placement &amp; Isolation", NW-04.</t>
        </is>
      </c>
    </row>
    <row r="18" ht="19.5" customHeight="1" s="40">
      <c r="A18" s="63" t="inlineStr">
        <is>
          <t>TOTAL</t>
        </is>
      </c>
      <c r="B18" s="64" t="n"/>
      <c r="C18" s="65">
        <f>SUM(C5:C17)</f>
        <v/>
      </c>
      <c r="D18" s="65">
        <f>SUMPRODUCT($C$5:$C$17,D5:D17)</f>
        <v/>
      </c>
      <c r="E18" s="65">
        <f>SUMPRODUCT($C$5:$C$17,E5:E17)</f>
        <v/>
      </c>
      <c r="F18" s="64" t="n"/>
      <c r="G18" s="64" t="n"/>
      <c r="H18" s="64" t="n"/>
      <c r="I18" s="64" t="n"/>
      <c r="J18" s="63">
        <f>"Total raw storage "&amp;TEXT(SUMPRODUCT($C$5:$C$17,F5:F17+G5:G17)/1024,"0.0")&amp;" TB, at 1 TB = 1024 GB"</f>
        <v/>
      </c>
    </row>
  </sheetData>
  <mergeCells count="2">
    <mergeCell ref="A1:J1"/>
    <mergeCell ref="A2:J2"/>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Nexora-BI VM Resource Requirement · Rev B&amp;R&amp;8 &amp;P / &amp;N</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1"/>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9" customWidth="1" style="39" min="1" max="1"/>
    <col width="10" customWidth="1" style="39" min="2" max="2"/>
    <col width="96" customWidth="1" style="39" min="3" max="3"/>
    <col width="34" customWidth="1" style="39" min="4" max="4"/>
  </cols>
  <sheetData>
    <row r="1" ht="16.5" customHeight="1" s="40">
      <c r="A1" s="41" t="inlineStr">
        <is>
          <t>Placement, Isolation and Platform Requirements</t>
        </is>
      </c>
    </row>
    <row r="2" ht="21.75" customHeight="1" s="40">
      <c r="A2" s="42" t="inlineStr">
        <is>
          <t>Virtual-machine sizing on its own does not produce availability; host and storage isolation decide whether the Clause 1.5.2.9 service levels can be met. Each item below requires a written answer on whether it can be satisfied. Where one cannot, the corresponding service-level commitment has to be re-examined — a design change cannot compensate for missing physical isolation.</t>
        </is>
      </c>
    </row>
    <row r="3" ht="15" customHeight="1" s="40">
      <c r="A3" s="43" t="n"/>
      <c r="B3" s="43" t="n"/>
      <c r="C3" s="43" t="n"/>
      <c r="D3" s="43" t="n"/>
    </row>
    <row r="4" ht="15" customHeight="1" s="40">
      <c r="A4" s="59" t="inlineStr">
        <is>
          <t>Ref</t>
        </is>
      </c>
      <c r="B4" s="59" t="inlineStr">
        <is>
          <t>Level</t>
        </is>
      </c>
      <c r="C4" s="59" t="inlineStr">
        <is>
          <t>Requirement</t>
        </is>
      </c>
      <c r="D4" s="59" t="inlineStr">
        <is>
          <t>Applies to</t>
        </is>
      </c>
    </row>
    <row r="5" ht="13.5" customHeight="1" s="40">
      <c r="A5" s="60" t="inlineStr">
        <is>
          <t>PL-01</t>
        </is>
      </c>
      <c r="B5" s="61" t="inlineStr">
        <is>
          <t>Critical</t>
        </is>
      </c>
      <c r="C5" s="62" t="inlineStr">
        <is>
          <t>The three PostgreSQL VMs reside on three different physical hosts. No two may share a host at any time.</t>
        </is>
      </c>
      <c r="D5" s="62" t="inlineStr">
        <is>
          <t>PG-PRIMARY, PG-STANDBY, PG-REPLICA</t>
        </is>
      </c>
    </row>
    <row r="6" ht="13.5" customHeight="1" s="40">
      <c r="A6" s="60" t="inlineStr">
        <is>
          <t>PL-02</t>
        </is>
      </c>
      <c r="B6" s="61" t="inlineStr">
        <is>
          <t>Critical</t>
        </is>
      </c>
      <c r="C6" s="62" t="inlineStr">
        <is>
          <t>The three etcd members reside on three different physical hosts. Loss of quorum disables automatic failover.</t>
        </is>
      </c>
      <c r="D6" s="62" t="inlineStr">
        <is>
          <t>ETCD-1..3</t>
        </is>
      </c>
    </row>
    <row r="7" ht="13.5" customHeight="1" s="40">
      <c r="A7" s="60" t="inlineStr">
        <is>
          <t>PL-03</t>
        </is>
      </c>
      <c r="B7" s="61" t="inlineStr">
        <is>
          <t>Critical</t>
        </is>
      </c>
      <c r="C7" s="62" t="inlineStr">
        <is>
          <t>Each high-availability pair is spread across at least two physical hosts.</t>
        </is>
      </c>
      <c r="D7" s="62" t="inlineStr">
        <is>
          <t>LB, APP, RT, ETL, IAM, MON, PROXY</t>
        </is>
      </c>
    </row>
    <row r="8" ht="13.5" customHeight="1" s="40">
      <c r="A8" s="60" t="inlineStr">
        <is>
          <t>PL-04</t>
        </is>
      </c>
      <c r="B8" s="61" t="inlineStr">
        <is>
          <t>High</t>
        </is>
      </c>
      <c r="C8" s="62" t="inlineStr">
        <is>
          <t>The three object-storage nodes reside on three different physical hosts.</t>
        </is>
      </c>
      <c r="D8" s="62" t="inlineStr">
        <is>
          <t>OBJ-1..3</t>
        </is>
      </c>
    </row>
    <row r="9" ht="13.5" customHeight="1" s="40">
      <c r="A9" s="60" t="inlineStr">
        <is>
          <t>PL-05</t>
        </is>
      </c>
      <c r="B9" s="61" t="inlineStr">
        <is>
          <t>High</t>
        </is>
      </c>
      <c r="C9" s="62" t="inlineStr">
        <is>
          <t>The groups above span at least two racks, each with independent power and an independent access switch.</t>
        </is>
      </c>
      <c r="D9" s="62" t="inlineStr">
        <is>
          <t>All production VMs</t>
        </is>
      </c>
    </row>
    <row r="10" ht="43.5" customHeight="1" s="40">
      <c r="A10" s="60" t="inlineStr">
        <is>
          <t>ST-01</t>
        </is>
      </c>
      <c r="B10" s="61" t="inlineStr">
        <is>
          <t>Critical</t>
        </is>
      </c>
      <c r="C10" s="62" t="inlineStr">
        <is>
          <t>The data volumes of the primary and the synchronous standby reside on different physical storage: at minimum different controllers and different LUNs. Host anti-affinity alone is not sufficient — if both volumes are carved from one LUN, a storage failure stops the service completely, because the primary waits for an acknowledgement that will never arrive. Acceptance is against the actual LUN and controller mapping, not against an anti-affinity rule.</t>
        </is>
      </c>
      <c r="D10" s="62" t="inlineStr">
        <is>
          <t>PG-PRIMARY, PG-STANDBY</t>
        </is>
      </c>
    </row>
    <row r="11" ht="13.5" customHeight="1" s="40">
      <c r="A11" s="60" t="inlineStr">
        <is>
          <t>ST-02</t>
        </is>
      </c>
      <c r="B11" s="61" t="inlineStr">
        <is>
          <t>Critical</t>
        </is>
      </c>
      <c r="C11" s="62" t="inlineStr">
        <is>
          <t>The backup repository resides on media independent of the database data storage.</t>
        </is>
      </c>
      <c r="D11" s="62" t="inlineStr">
        <is>
          <t>BKP-1</t>
        </is>
      </c>
    </row>
    <row r="12" ht="13.5" customHeight="1" s="40">
      <c r="A12" s="60" t="inlineStr">
        <is>
          <t>ST-03</t>
        </is>
      </c>
      <c r="B12" s="61" t="inlineStr">
        <is>
          <t>Critical</t>
        </is>
      </c>
      <c r="C12" s="62" t="inlineStr">
        <is>
          <t>Database data volumes are thick-provisioned with guaranteed IOPS; 99th-percentile write latency does not exceed 2 ms.</t>
        </is>
      </c>
      <c r="D12" s="62" t="inlineStr">
        <is>
          <t>PG-PRIMARY, PG-STANDBY, PG-REPLICA</t>
        </is>
      </c>
    </row>
    <row r="13" ht="13.5" customHeight="1" s="40">
      <c r="A13" s="60" t="inlineStr">
        <is>
          <t>RS-01</t>
        </is>
      </c>
      <c r="B13" s="61" t="inlineStr">
        <is>
          <t>Critical</t>
        </is>
      </c>
      <c r="C13" s="62" t="inlineStr">
        <is>
          <t>Hosts carrying the database and etcd VMs do not over-commit CPU or memory. Memory is 100% reserved; ballooning and swapping are disabled.</t>
        </is>
      </c>
      <c r="D13" s="62" t="inlineStr">
        <is>
          <t>PG, ETCD hosts</t>
        </is>
      </c>
    </row>
    <row r="14" ht="13.5" customHeight="1" s="40">
      <c r="A14" s="60" t="inlineStr">
        <is>
          <t>RS-02</t>
        </is>
      </c>
      <c r="B14" s="61" t="inlineStr">
        <is>
          <t>High</t>
        </is>
      </c>
      <c r="C14" s="62" t="inlineStr">
        <is>
          <t>CPU ready time on those hosts stays below 5%.</t>
        </is>
      </c>
      <c r="D14" s="62" t="inlineStr">
        <is>
          <t>PG, ETCD hosts</t>
        </is>
      </c>
    </row>
    <row r="15" ht="13.5" customHeight="1" s="40">
      <c r="A15" s="60" t="inlineStr">
        <is>
          <t>OP-01</t>
        </is>
      </c>
      <c r="B15" s="61" t="inlineStr">
        <is>
          <t>Critical</t>
        </is>
      </c>
      <c r="C15" s="62" t="inlineStr">
        <is>
          <t>Automatic live migration of the database VMs is disabled. Migration is performed as a planned manual operation.</t>
        </is>
      </c>
      <c r="D15" s="62" t="inlineStr">
        <is>
          <t>PG VMs</t>
        </is>
      </c>
    </row>
    <row r="16" ht="13.5" customHeight="1" s="40">
      <c r="A16" s="60" t="inlineStr">
        <is>
          <t>OP-02</t>
        </is>
      </c>
      <c r="B16" s="61" t="inlineStr">
        <is>
          <t>High</t>
        </is>
      </c>
      <c r="C16" s="62" t="inlineStr">
        <is>
          <t>No platform-level periodic snapshots of the database VMs. A platform snapshot is not a valid database backup.</t>
        </is>
      </c>
      <c r="D16" s="62" t="inlineStr">
        <is>
          <t>PG VMs</t>
        </is>
      </c>
    </row>
    <row r="17" ht="13.5" customHeight="1" s="40">
      <c r="A17" s="60" t="inlineStr">
        <is>
          <t>OP-03</t>
        </is>
      </c>
      <c r="B17" s="61" t="inlineStr">
        <is>
          <t>Critical</t>
        </is>
      </c>
      <c r="C17" s="62" t="inlineStr">
        <is>
          <t>Platform high-availability restart mechanisms must not compete with Patroni. Patroni is the single authority for role changes.</t>
        </is>
      </c>
      <c r="D17" s="62" t="inlineStr">
        <is>
          <t>PG VMs</t>
        </is>
      </c>
    </row>
    <row r="18" ht="13.5" customHeight="1" s="40">
      <c r="A18" s="60" t="inlineStr">
        <is>
          <t>OP-04</t>
        </is>
      </c>
      <c r="B18" s="61" t="inlineStr">
        <is>
          <t>Critical</t>
        </is>
      </c>
      <c r="C18" s="62" t="inlineStr">
        <is>
          <t>All VMs share one clock source with the CAD and telephony platforms; drift does not exceed 50 ms.</t>
        </is>
      </c>
      <c r="D18" s="62" t="inlineStr">
        <is>
          <t>All VMs</t>
        </is>
      </c>
    </row>
    <row r="19" ht="13.5" customHeight="1" s="40">
      <c r="A19" s="60" t="inlineStr">
        <is>
          <t>NW-01</t>
        </is>
      </c>
      <c r="B19" s="61" t="inlineStr">
        <is>
          <t>High</t>
        </is>
      </c>
      <c r="C19" s="62" t="inlineStr">
        <is>
          <t>Replication, application and management traffic use separate network segments.</t>
        </is>
      </c>
      <c r="D19" s="62" t="inlineStr">
        <is>
          <t>All production VMs</t>
        </is>
      </c>
    </row>
    <row r="20" ht="13.5" customHeight="1" s="40">
      <c r="A20" s="60" t="inlineStr">
        <is>
          <t>NW-02</t>
        </is>
      </c>
      <c r="B20" s="61" t="inlineStr">
        <is>
          <t>Critical</t>
        </is>
      </c>
      <c r="C20" s="62" t="inlineStr">
        <is>
          <t>Round-trip latency between the primary and the synchronous standby does not exceed 1 ms.</t>
        </is>
      </c>
      <c r="D20" s="62" t="inlineStr">
        <is>
          <t>PG-PRIMARY, PG-STANDBY</t>
        </is>
      </c>
    </row>
    <row r="21" ht="13.5" customHeight="1" s="40">
      <c r="A21" s="60" t="inlineStr">
        <is>
          <t>NW-03</t>
        </is>
      </c>
      <c r="B21" s="61" t="inlineStr">
        <is>
          <t>High</t>
        </is>
      </c>
      <c r="C21" s="62" t="inlineStr">
        <is>
          <t>No VM has outbound internet access, including the DMZ proxies. Patches are distributed from internal mirror sources.</t>
        </is>
      </c>
      <c r="D21" s="62" t="inlineStr">
        <is>
          <t>All VMs</t>
        </is>
      </c>
    </row>
    <row r="22" ht="33" customHeight="1" s="40">
      <c r="A22" s="60" t="inlineStr">
        <is>
          <t>NW-04</t>
        </is>
      </c>
      <c r="B22" s="61" t="inlineStr">
        <is>
          <t>Critical</t>
        </is>
      </c>
      <c r="C22" s="62" t="inlineStr">
        <is>
          <t>The DMZ proxies accept inbound traffic only as forwarded by the platform WAF, and open connections towards the internal zone only on the designated ports. The internal zone does not initiate connections towards the DMZ. WAF, DDoS protection, public DNS and TLS certificates are provided by the platform.</t>
        </is>
      </c>
      <c r="D22" s="62" t="inlineStr">
        <is>
          <t>PROXY-1..2</t>
        </is>
      </c>
    </row>
  </sheetData>
  <mergeCells count="2">
    <mergeCell ref="A1:D1"/>
    <mergeCell ref="A2:D2"/>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Nexora-BI VM Resource Requirement · Rev B&amp;R&amp;8 &amp;P / &amp;N</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1"/>
  </sheetPr>
  <dimension ref="A1:G10"/>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C3" activeCellId="0" sqref="C3"/>
    </sheetView>
  </sheetViews>
  <sheetFormatPr baseColWidth="8" defaultColWidth="8.83203125" defaultRowHeight="13.5" zeroHeight="0" outlineLevelRow="0"/>
  <cols>
    <col width="18" customWidth="1" style="39" min="1" max="1"/>
    <col width="12" customWidth="1" style="39" min="2" max="2"/>
    <col width="6" customWidth="1" style="39" min="3" max="3"/>
    <col width="7" customWidth="1" style="39" min="4" max="4"/>
    <col width="10" customWidth="1" style="39" min="5" max="5"/>
    <col width="12" customWidth="1" style="39" min="6" max="6"/>
    <col width="44" customWidth="1" style="39" min="7" max="7"/>
  </cols>
  <sheetData>
    <row r="1" ht="16.5" customHeight="1" s="40">
      <c r="A1" s="41" t="inlineStr">
        <is>
          <t>Test / Integration and Training Environments</t>
        </is>
      </c>
    </row>
    <row r="2" ht="13.5" customHeight="1" s="40">
      <c r="A2" s="66" t="inlineStr">
        <is>
          <t>Required by Clause 1.6.9. No high-availability requirement; placement rules do not apply. Both environments sit in the internal zone.</t>
        </is>
      </c>
    </row>
    <row r="3" ht="13.5" customHeight="1" s="40">
      <c r="A3" s="43" t="n"/>
      <c r="B3" s="43" t="n"/>
      <c r="C3" s="43" t="n"/>
      <c r="D3" s="43" t="n"/>
      <c r="E3" s="43" t="n"/>
      <c r="F3" s="43" t="n"/>
      <c r="G3" s="43" t="n"/>
    </row>
    <row r="4" ht="13.5" customHeight="1" s="40">
      <c r="A4" s="67" t="inlineStr">
        <is>
          <t>Environment</t>
        </is>
      </c>
      <c r="B4" s="67" t="inlineStr">
        <is>
          <t>ID</t>
        </is>
      </c>
      <c r="C4" s="67" t="inlineStr">
        <is>
          <t>Qty</t>
        </is>
      </c>
      <c r="D4" s="67" t="inlineStr">
        <is>
          <t>vCPU</t>
        </is>
      </c>
      <c r="E4" s="67" t="inlineStr">
        <is>
          <t>RAM (GB)</t>
        </is>
      </c>
      <c r="F4" s="67" t="inlineStr">
        <is>
          <t>Storage (GB)</t>
        </is>
      </c>
      <c r="G4" s="67" t="inlineStr">
        <is>
          <t>Notes</t>
        </is>
      </c>
    </row>
    <row r="5" ht="27.75" customHeight="1" s="40">
      <c r="A5" s="68" t="inlineStr">
        <is>
          <t>Test / Integration</t>
        </is>
      </c>
      <c r="B5" s="69" t="inlineStr">
        <is>
          <t>PG-T</t>
        </is>
      </c>
      <c r="C5" s="70" t="n">
        <v>1</v>
      </c>
      <c r="D5" s="70" t="n">
        <v>8</v>
      </c>
      <c r="E5" s="70" t="n">
        <v>32</v>
      </c>
      <c r="F5" s="70" t="n">
        <v>1124</v>
      </c>
      <c r="G5" s="71" t="inlineStr">
        <is>
          <t>Subset of production data, masked per the data classification policy</t>
        </is>
      </c>
    </row>
    <row r="6" ht="27.75" customHeight="1" s="40">
      <c r="A6" s="72" t="inlineStr">
        <is>
          <t>Test / Integration</t>
        </is>
      </c>
      <c r="B6" s="73" t="inlineStr">
        <is>
          <t>APP-T</t>
        </is>
      </c>
      <c r="C6" s="74" t="n">
        <v>1</v>
      </c>
      <c r="D6" s="74" t="n">
        <v>8</v>
      </c>
      <c r="E6" s="74" t="n">
        <v>32</v>
      </c>
      <c r="F6" s="74" t="n">
        <v>380</v>
      </c>
      <c r="G6" s="75" t="inlineStr">
        <is>
          <t>Single node; used for SIT, performance rehearsal and release verification</t>
        </is>
      </c>
    </row>
    <row r="7" ht="13.5" customHeight="1" s="40">
      <c r="A7" s="68" t="inlineStr">
        <is>
          <t>Test / Integration</t>
        </is>
      </c>
      <c r="B7" s="69" t="inlineStr">
        <is>
          <t>OBJ-T</t>
        </is>
      </c>
      <c r="C7" s="70" t="n">
        <v>1</v>
      </c>
      <c r="D7" s="70" t="n">
        <v>4</v>
      </c>
      <c r="E7" s="70" t="n">
        <v>16</v>
      </c>
      <c r="F7" s="70" t="n">
        <v>2128</v>
      </c>
      <c r="G7" s="71" t="inlineStr">
        <is>
          <t>Media pipeline verification</t>
        </is>
      </c>
    </row>
    <row r="8" ht="13.5" customHeight="1" s="40">
      <c r="A8" s="72" t="inlineStr">
        <is>
          <t>Training</t>
        </is>
      </c>
      <c r="B8" s="73" t="inlineStr">
        <is>
          <t>PG-R</t>
        </is>
      </c>
      <c r="C8" s="74" t="n">
        <v>1</v>
      </c>
      <c r="D8" s="74" t="n">
        <v>8</v>
      </c>
      <c r="E8" s="74" t="n">
        <v>32</v>
      </c>
      <c r="F8" s="74" t="n">
        <v>612</v>
      </c>
      <c r="G8" s="75" t="inlineStr">
        <is>
          <t>Anonymised training dataset</t>
        </is>
      </c>
    </row>
    <row r="9" ht="13.5" customHeight="1" s="40">
      <c r="A9" s="68" t="inlineStr">
        <is>
          <t>Training</t>
        </is>
      </c>
      <c r="B9" s="69" t="inlineStr">
        <is>
          <t>APP-R</t>
        </is>
      </c>
      <c r="C9" s="70" t="n">
        <v>1</v>
      </c>
      <c r="D9" s="70" t="n">
        <v>8</v>
      </c>
      <c r="E9" s="70" t="n">
        <v>32</v>
      </c>
      <c r="F9" s="70" t="n">
        <v>280</v>
      </c>
      <c r="G9" s="71" t="inlineStr">
        <is>
          <t>Role-based training per Clause 1.7</t>
        </is>
      </c>
    </row>
    <row r="10" ht="13.5" customHeight="1" s="40">
      <c r="A10" s="63" t="inlineStr">
        <is>
          <t>TOTAL</t>
        </is>
      </c>
      <c r="B10" s="64" t="n"/>
      <c r="C10" s="65">
        <f>SUM(C5:C9)</f>
        <v/>
      </c>
      <c r="D10" s="65">
        <f>SUMPRODUCT($C$5:$C$9,D5:D9)</f>
        <v/>
      </c>
      <c r="E10" s="65">
        <f>SUMPRODUCT($C$5:$C$9,E5:E9)</f>
        <v/>
      </c>
      <c r="F10" s="65">
        <f>SUMPRODUCT($C$5:$C$9,F5:F9)</f>
        <v/>
      </c>
      <c r="G10" s="76">
        <f>"Total raw storage "&amp;TEXT(SUMPRODUCT($C$5:$C$9,F5:F9)/1024,"0.0")&amp;" TB"</f>
        <v/>
      </c>
    </row>
  </sheetData>
  <mergeCells count="2">
    <mergeCell ref="A2:G2"/>
    <mergeCell ref="A1:G1"/>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Nexora-BI VM Resource Requirement · Rev B&amp;R&amp;8 &amp;P / &amp;N</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1"/>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9" customWidth="1" style="39" min="1" max="1"/>
    <col width="58" customWidth="1" style="39" min="2" max="3"/>
    <col width="24" customWidth="1" style="39" min="4" max="4"/>
  </cols>
  <sheetData>
    <row r="1" ht="16.5" customHeight="1" s="40">
      <c r="A1" s="41" t="inlineStr">
        <is>
          <t>Dependencies, Assumptions and Open Items</t>
        </is>
      </c>
    </row>
    <row r="2" ht="15" customHeight="1" s="40">
      <c r="A2" s="42" t="inlineStr">
        <is>
          <t>Items requiring confirmation by the Main Contractor, the MOI or another supplier before the specification can be fixed.</t>
        </is>
      </c>
    </row>
    <row r="3" ht="15" customHeight="1" s="40">
      <c r="A3" s="43" t="n"/>
      <c r="B3" s="43" t="n"/>
      <c r="C3" s="43" t="n"/>
      <c r="D3" s="43" t="n"/>
    </row>
    <row r="4" ht="33.75" customHeight="1" s="40">
      <c r="A4" s="59" t="inlineStr">
        <is>
          <t>Ref</t>
        </is>
      </c>
      <c r="B4" s="59" t="inlineStr">
        <is>
          <t>Item</t>
        </is>
      </c>
      <c r="C4" s="59" t="inlineStr">
        <is>
          <t>Impact if unresolved</t>
        </is>
      </c>
      <c r="D4" s="59" t="inlineStr">
        <is>
          <t>Owner</t>
        </is>
      </c>
    </row>
    <row r="5" ht="27.75" customHeight="1" s="40">
      <c r="A5" s="60" t="inlineStr">
        <is>
          <t>D-01</t>
        </is>
      </c>
      <c r="B5" s="62" t="inlineStr">
        <is>
          <t>Field media volume from the MDS and E-Assist channels — proportion of incidents carrying media, average file count and size, and whether video is included.</t>
        </is>
      </c>
      <c r="C5" s="62" t="inlineStr">
        <is>
          <t>Object storage capacity varies by a factor of five between the two scenarios in the Summary sheet. Capacity cannot be fixed without this figure.</t>
        </is>
      </c>
      <c r="D5" s="62" t="inlineStr">
        <is>
          <t>MOI / field systems supplier</t>
        </is>
      </c>
    </row>
    <row r="6" ht="33" customHeight="1" s="40">
      <c r="A6" s="60" t="inlineStr">
        <is>
          <t>D-02</t>
        </is>
      </c>
      <c r="B6" s="62" t="inlineStr">
        <is>
          <t>Confirmation that the placement and isolation requirements can be met by the provided virtualisation platform.</t>
        </is>
      </c>
      <c r="C6" s="62" t="inlineStr">
        <is>
          <t>The service levels of Clause 1.5.2.9 are achievable only if these requirements are met. Any that cannot be met should be raised now so that the design can be adjusted while it is still inexpensive to do so.</t>
        </is>
      </c>
      <c r="D6" s="62" t="inlineStr">
        <is>
          <t>Main Contractor / infrastructure supplier</t>
        </is>
      </c>
    </row>
    <row r="7" ht="27.75" customHeight="1" s="40">
      <c r="A7" s="60" t="inlineStr">
        <is>
          <t>D-03</t>
        </is>
      </c>
      <c r="B7" s="62" t="inlineStr">
        <is>
          <t>Storage class and guaranteed performance available for the database tier.</t>
        </is>
      </c>
      <c r="C7" s="62" t="inlineStr">
        <is>
          <t>If guaranteed IOPS and sub-2 ms write latency are not available, the sizing and possibly the replication mode must be revisited.</t>
        </is>
      </c>
      <c r="D7" s="62" t="inlineStr">
        <is>
          <t>Infrastructure supplier</t>
        </is>
      </c>
    </row>
    <row r="8" ht="27.75" customHeight="1" s="40">
      <c r="A8" s="60" t="inlineStr">
        <is>
          <t>D-04</t>
        </is>
      </c>
      <c r="B8" s="62" t="inlineStr">
        <is>
          <t>Rack, power and switch topology of the data centre.</t>
        </is>
      </c>
      <c r="C8" s="62" t="inlineStr">
        <is>
          <t>Determines whether PL-05 can be satisfied and therefore the level of protection against rack-level failure.</t>
        </is>
      </c>
      <c r="D8" s="62" t="inlineStr">
        <is>
          <t>Infrastructure supplier</t>
        </is>
      </c>
    </row>
    <row r="9" ht="27.75" customHeight="1" s="40">
      <c r="A9" s="60" t="inlineStr">
        <is>
          <t>D-05</t>
        </is>
      </c>
      <c r="B9" s="62" t="inlineStr">
        <is>
          <t>NTP source shared with the CAD and telephony platforms.</t>
        </is>
      </c>
      <c r="C9" s="62" t="inlineStr">
        <is>
          <t>Without a common clock, event chronology and service-level measurement cannot be reconciled across systems.</t>
        </is>
      </c>
      <c r="D9" s="62" t="inlineStr">
        <is>
          <t>Main Contractor</t>
        </is>
      </c>
    </row>
    <row r="10" ht="27.75" customHeight="1" s="40">
      <c r="A10" s="60" t="inlineStr">
        <is>
          <t>D-06</t>
        </is>
      </c>
      <c r="B10" s="62" t="inlineStr">
        <is>
          <t>Growth allowance and the procedure for adding capacity during the contract.</t>
        </is>
      </c>
      <c r="C10" s="62" t="inlineStr">
        <is>
          <t>Structured data grows predictably; media does not. A defined expansion path avoids emergency procurement.</t>
        </is>
      </c>
      <c r="D10" s="62" t="inlineStr">
        <is>
          <t>Main Contractor</t>
        </is>
      </c>
    </row>
    <row r="11" ht="33" customHeight="1" s="40">
      <c r="A11" s="60" t="inlineStr">
        <is>
          <t>D-07</t>
        </is>
      </c>
      <c r="B11" s="62" t="inlineStr">
        <is>
          <t>Mobile client population — registered users, peak concurrent sessions, and whether large attachments are downloaded over the mobile path.</t>
        </is>
      </c>
      <c r="C11" s="62" t="inlineStr">
        <is>
          <t>The two DMZ proxies are sized for TLS termination on the assumption of a moderate concurrent mobile population. The figure determines whether the pair is sufficient; it does not affect any other VM.</t>
        </is>
      </c>
      <c r="D11" s="62" t="inlineStr">
        <is>
          <t>MOI / Main Contractor</t>
        </is>
      </c>
    </row>
    <row r="12" ht="55.5" customHeight="1" s="40">
      <c r="A12" s="60" t="inlineStr">
        <is>
          <t>D-08</t>
        </is>
      </c>
      <c r="B12" s="62" t="inlineStr">
        <is>
          <t>Platform provision of WAF, DDoS protection, public DNS and TLS certificates for the mobile access path.</t>
        </is>
      </c>
      <c r="C12" s="62" t="inlineStr">
        <is>
          <t>These are assumed to be platform-provided and are not included in this specification. If they are expected from this subsystem, both the VM count and the scope have to be revised. The two proxy VMs sit in a zone operated by the Main Contractor, so any later expansion is a request to that party rather than something this subsystem can resolve on its own.</t>
        </is>
      </c>
      <c r="D12" s="62" t="inlineStr">
        <is>
          <t>Main Contractor</t>
        </is>
      </c>
    </row>
    <row r="13" ht="15" customHeight="1" s="40">
      <c r="A13" s="43" t="n"/>
      <c r="B13" s="43" t="n"/>
      <c r="C13" s="43" t="n"/>
      <c r="D13" s="43" t="n"/>
    </row>
    <row r="14" ht="15" customHeight="1" s="40">
      <c r="A14" s="77" t="inlineStr">
        <is>
          <t>Scope boundary</t>
        </is>
      </c>
      <c r="B14" s="43" t="n"/>
      <c r="C14" s="43" t="n"/>
      <c r="D14" s="43" t="n"/>
    </row>
    <row r="15" ht="48" customHeight="1" s="40">
      <c r="A15" s="58" t="inlineStr">
        <is>
          <t>Three boundaries apply to this specification. First, the DMZ zone is provided and operated by the Main Contractor, including the WAF, DDoS protection, public DNS, TLS certificates and the SMS and e-mail gateways; this subsystem places only the two access proxies in that zone and requires them to be provisioned there. Second, mobile application management — MDM, application distribution and device compliance — is carried by the existing MOI platform and is outside the scope of this subsystem. Third, the DMZ hosts store no business data and no credential store: credentials are verified by the internal IAM service and the proxies forward requests only.</t>
        </is>
      </c>
    </row>
    <row r="16" ht="15" customHeight="1" s="40"/>
    <row r="17" ht="15" customHeight="1" s="40"/>
    <row r="18" ht="15" customHeight="1" s="40">
      <c r="A18" s="43" t="n"/>
      <c r="B18" s="43" t="n"/>
      <c r="C18" s="43" t="n"/>
      <c r="D18" s="43" t="n"/>
    </row>
    <row r="19" ht="15" customHeight="1" s="40">
      <c r="A19" s="77" t="inlineStr">
        <is>
          <t>Note on service-level dependency</t>
        </is>
      </c>
      <c r="B19" s="43" t="n"/>
      <c r="C19" s="43" t="n"/>
      <c r="D19" s="43" t="n"/>
    </row>
    <row r="20" ht="39.75" customHeight="1" s="40">
      <c r="A20" s="58" t="inlineStr">
        <is>
          <t>The availability and performance commitments made for the business intelligence, reporting and dashboard components assume that the infrastructure is provisioned, operated and maintained in accordance with this specification. Deviations should be agreed in writing so that the corresponding service-level expectations can be adjusted at the same time.</t>
        </is>
      </c>
    </row>
    <row r="21" ht="15" customHeight="1" s="40"/>
    <row r="22" ht="15" customHeight="1" s="40"/>
  </sheetData>
  <mergeCells count="4">
    <mergeCell ref="A1:D1"/>
    <mergeCell ref="A20:D22"/>
    <mergeCell ref="A2:D2"/>
    <mergeCell ref="A15:D17"/>
  </mergeCells>
  <printOptions horizontalCentered="0" verticalCentered="0" headings="0" gridLines="0" gridLinesSet="1"/>
  <pageMargins left="0.4" right="0.4" top="0.5" bottom="0.5" header="0.511811023622047" footer="0.511805555555556"/>
  <pageSetup orientation="landscape" paperSize="9" scale="100" fitToHeight="0" fitToWidth="1" pageOrder="downThenOver" blackAndWhite="0" draft="0" horizontalDpi="300" verticalDpi="300" copies="1"/>
  <headerFooter differentOddEven="0" differentFirst="0">
    <oddHeader/>
    <oddFooter>&amp;L&amp;8 Nexora-BI VM Resource Requirement · Rev B&amp;R&amp;8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2026-09-02T11:11:31Z</dcterms:created>
  <dcterms:modified xmlns:dcterms="http://purl.org/dc/terms/" xmlns:xsi="http://www.w3.org/2001/XMLSchema-instance" xsi:type="dcterms:W3CDTF">2026-10-13T18:25:49Z</dcterms:modified>
  <cp:lastModifiedBy>Gavin</cp:lastModifiedBy>
  <cp:revision>0</cp:revision>
</cp:coreProperties>
</file>