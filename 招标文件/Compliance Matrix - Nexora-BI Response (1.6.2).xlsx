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Compliance Matrix" sheetId="1" state="visible" r:id="rId1"/>
    <sheet xmlns:r="http://schemas.openxmlformats.org/officeDocument/2006/relationships" name="Summary" sheetId="2" state="visible" r:id="rId2"/>
  </sheets>
  <definedNames>
    <definedName name="_xlnm._FilterDatabase" localSheetId="0" hidden="1">'Compliance Matrix'!$A$3:$O$2256</definedName>
  </definedNames>
  <calcPr calcId="191029" fullCalcOnLoad="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2"/>
      <b val="1"/>
      <sz val="10"/>
    </font>
    <font>
      <name val="Arial"/>
      <family val="2"/>
      <b val="1"/>
      <color rgb="FFFFFFFF"/>
      <sz val="9"/>
    </font>
    <font>
      <name val="Arial"/>
      <family val="2"/>
      <sz val="9"/>
    </font>
    <font>
      <name val="Arial"/>
      <family val="2"/>
      <b val="1"/>
      <color rgb="FF1F3864"/>
      <sz val="13"/>
    </font>
    <font>
      <name val="Arial"/>
      <family val="2"/>
      <b val="1"/>
      <sz val="9"/>
    </font>
    <font>
      <name val="Arial"/>
      <family val="2"/>
      <i val="1"/>
      <sz val="9"/>
    </font>
    <font>
      <b val="1"/>
      <sz val="10"/>
    </font>
    <font>
      <sz val="9"/>
    </font>
    <font>
      <i val="1"/>
      <color rgb="007F7F7F"/>
      <sz val="9"/>
    </font>
  </fonts>
  <fills count="9">
    <fill>
      <patternFill/>
    </fill>
    <fill>
      <patternFill patternType="gray125"/>
    </fill>
    <fill>
      <patternFill patternType="solid">
        <fgColor rgb="FF1F3864"/>
        <bgColor rgb="FF333333"/>
      </patternFill>
    </fill>
    <fill>
      <patternFill patternType="solid">
        <fgColor rgb="FFFFF2CC"/>
        <bgColor rgb="FFF2F2F2"/>
      </patternFill>
    </fill>
    <fill>
      <patternFill patternType="solid">
        <fgColor rgb="FFD9E2F3"/>
        <bgColor rgb="FFE2EFDA"/>
      </patternFill>
    </fill>
    <fill>
      <patternFill patternType="solid">
        <fgColor rgb="FFE2EFDA"/>
        <bgColor rgb="FFF2F2F2"/>
      </patternFill>
    </fill>
    <fill>
      <patternFill patternType="solid">
        <fgColor rgb="FFF2F2F2"/>
        <bgColor rgb="FFE2EFDA"/>
      </patternFill>
    </fill>
    <fill>
      <patternFill patternType="solid">
        <fgColor rgb="FFC6E0B4"/>
        <bgColor rgb="FFE2EFDA"/>
      </patternFill>
    </fill>
    <fill>
      <patternFill patternType="solid">
        <fgColor rgb="00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0" borderId="0" applyAlignment="1" pivotButton="0" quotePrefix="0" xfId="0">
      <alignment horizontal="right"/>
    </xf>
    <xf numFmtId="0" fontId="4" fillId="0" borderId="0" pivotButton="0" quotePrefix="0" xfId="0"/>
    <xf numFmtId="0" fontId="3" fillId="0" borderId="1" applyAlignment="1" pivotButton="0" quotePrefix="0" xfId="0">
      <alignment horizontal="center"/>
    </xf>
    <xf numFmtId="164" fontId="3" fillId="0" borderId="1" applyAlignment="1" pivotButton="0" quotePrefix="0" xfId="0">
      <alignment horizontal="center"/>
    </xf>
    <xf numFmtId="4" fontId="3" fillId="0" borderId="1" applyAlignment="1" pivotButton="0" quotePrefix="0" xfId="0">
      <alignment horizontal="center"/>
    </xf>
    <xf numFmtId="0" fontId="1" fillId="4" borderId="1" pivotButton="0" quotePrefix="0" xfId="0"/>
    <xf numFmtId="0" fontId="1" fillId="4" borderId="1" applyAlignment="1" pivotButton="0" quotePrefix="0" xfId="0">
      <alignment horizontal="center"/>
    </xf>
    <xf numFmtId="164" fontId="1" fillId="4" borderId="1" pivotButton="0" quotePrefix="0" xfId="0"/>
    <xf numFmtId="4" fontId="1" fillId="4" borderId="1" pivotButton="0" quotePrefix="0" xfId="0"/>
    <xf numFmtId="0" fontId="6" fillId="0" borderId="0" pivotButton="0" quotePrefix="0" xfId="0"/>
    <xf numFmtId="0" fontId="1" fillId="0" borderId="0" pivotButton="0" quotePrefix="0" xfId="0"/>
    <xf numFmtId="0" fontId="0" fillId="3" borderId="0" pivotButton="0" quotePrefix="0" xfId="0"/>
    <xf numFmtId="0" fontId="2" fillId="2" borderId="1" applyAlignment="1" pivotButton="0" quotePrefix="0" xfId="0">
      <alignment horizontal="center" vertical="center"/>
    </xf>
    <xf numFmtId="0" fontId="3" fillId="0" borderId="1" applyAlignment="1" pivotButton="0" quotePrefix="0" xfId="0">
      <alignment horizontal="center" vertical="top"/>
    </xf>
    <xf numFmtId="0" fontId="5" fillId="0" borderId="1" applyAlignment="1" pivotButton="0" quotePrefix="0" xfId="0">
      <alignment horizontal="center" vertical="top"/>
    </xf>
    <xf numFmtId="0" fontId="3" fillId="0" borderId="1" applyAlignment="1" pivotButton="0" quotePrefix="0" xfId="0">
      <alignment vertical="top"/>
    </xf>
    <xf numFmtId="0" fontId="3" fillId="3" borderId="1" applyAlignment="1" pivotButton="0" quotePrefix="0" xfId="0">
      <alignment horizontal="center" vertical="top"/>
    </xf>
    <xf numFmtId="0" fontId="3" fillId="3" borderId="1" applyAlignment="1" pivotButton="0" quotePrefix="0" xfId="0">
      <alignment vertical="top"/>
    </xf>
    <xf numFmtId="4" fontId="3" fillId="3" borderId="1" applyAlignment="1" pivotButton="0" quotePrefix="0" xfId="0">
      <alignment horizontal="center" vertical="top"/>
    </xf>
    <xf numFmtId="4" fontId="3" fillId="5" borderId="1" applyAlignment="1" pivotButton="0" quotePrefix="0" xfId="0">
      <alignment horizontal="center" vertical="top"/>
    </xf>
    <xf numFmtId="0" fontId="3" fillId="6" borderId="1" applyAlignment="1" pivotButton="0" quotePrefix="0" xfId="0">
      <alignment horizontal="center" vertical="top"/>
    </xf>
    <xf numFmtId="0" fontId="5" fillId="6" borderId="1" applyAlignment="1" pivotButton="0" quotePrefix="0" xfId="0">
      <alignment horizontal="center" vertical="top"/>
    </xf>
    <xf numFmtId="0" fontId="3" fillId="6" borderId="1" applyAlignment="1" pivotButton="0" quotePrefix="0" xfId="0">
      <alignment vertical="top"/>
    </xf>
    <xf numFmtId="4" fontId="1" fillId="7" borderId="1" pivotButton="0" quotePrefix="0" xfId="0"/>
    <xf numFmtId="0" fontId="4" fillId="4" borderId="0" applyAlignment="1" pivotButton="0" quotePrefix="0" xfId="0">
      <alignment vertical="center"/>
    </xf>
    <xf numFmtId="0" fontId="0" fillId="3" borderId="0" pivotButton="0" quotePrefix="0" xfId="0"/>
    <xf numFmtId="0" fontId="9" fillId="3" borderId="0" pivotButton="0" quotePrefix="0" xfId="0"/>
    <xf numFmtId="0" fontId="7" fillId="8" borderId="1" applyAlignment="1" pivotButton="0" quotePrefix="0" xfId="0">
      <alignment horizontal="center" vertical="center"/>
    </xf>
    <xf numFmtId="0" fontId="8" fillId="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6E0B4"/>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57"/>
  <sheetViews>
    <sheetView tabSelected="1" zoomScale="66" zoomScaleNormal="66" workbookViewId="0">
      <pane xSplit="6" ySplit="3" topLeftCell="G22" activePane="bottomRight" state="frozen"/>
      <selection pane="topRight" activeCell="G1" sqref="G1"/>
      <selection pane="bottomLeft" activeCell="A4" sqref="A4"/>
      <selection pane="bottomRight" activeCell="D48" sqref="D48"/>
    </sheetView>
  </sheetViews>
  <sheetFormatPr baseColWidth="8" defaultColWidth="8.7109375" defaultRowHeight="15"/>
  <cols>
    <col width="6" customWidth="1" min="1" max="1"/>
    <col width="12" customWidth="1" min="2" max="2"/>
    <col width="24" customWidth="1" min="3" max="3"/>
    <col width="30" customWidth="1" min="4" max="5"/>
    <col width="79.5703125" customWidth="1" min="6" max="6"/>
    <col width="14" customWidth="1" min="7" max="7"/>
    <col width="20" customWidth="1" min="8" max="8"/>
    <col width="28" customWidth="1" min="9" max="9"/>
    <col width="8" customWidth="1" min="10" max="10"/>
    <col width="14" customWidth="1" min="11" max="12"/>
    <col width="11" customWidth="1" min="13" max="13"/>
    <col width="18" customWidth="1" min="14" max="14"/>
    <col width="40" customWidth="1" min="15" max="15"/>
  </cols>
  <sheetData>
    <row r="1" ht="24" customHeight="1">
      <c r="A1" s="27" t="inlineStr">
        <is>
          <t>OSS911 (MOI) RFP – VENDOR COMPLIANCE &amp; PRICING MATRIX</t>
        </is>
      </c>
    </row>
    <row r="2" ht="18" customHeight="1">
      <c r="A2" s="13" t="inlineStr">
        <is>
          <t>Vendor / Bidder name:</t>
        </is>
      </c>
      <c r="B2" s="28" t="inlineStr">
        <is>
          <t>AI Innovation Solutions Co. (AIIS)</t>
        </is>
      </c>
      <c r="F2" s="13" t="inlineStr">
        <is>
          <t>Date:</t>
        </is>
      </c>
      <c r="G2" s="29" t="inlineStr">
        <is>
          <t>Scope of this response: Part 1, Clause 1.6.2 — OSS911 Solution Business Intelligence, Database Repository, Dashboards and Reports. Pricing not included in this revision.</t>
        </is>
      </c>
    </row>
    <row r="3" ht="42" customHeight="1">
      <c r="A3" s="15" t="inlineStr">
        <is>
          <t>S/N</t>
        </is>
      </c>
      <c r="B3" s="15" t="inlineStr">
        <is>
          <t>Clause No.</t>
        </is>
      </c>
      <c r="C3" s="15" t="inlineStr">
        <is>
          <t>Part</t>
        </is>
      </c>
      <c r="D3" s="15" t="inlineStr">
        <is>
          <t>Section</t>
        </is>
      </c>
      <c r="E3" s="15" t="inlineStr">
        <is>
          <t>Sub-Section</t>
        </is>
      </c>
      <c r="F3" s="15" t="inlineStr">
        <is>
          <t>Requirement Description (as per RFP)</t>
        </is>
      </c>
      <c r="G3" s="15" t="inlineStr">
        <is>
          <t>Compliance
(C / PC / NC / N/A)</t>
        </is>
      </c>
      <c r="H3" s="15" t="inlineStr">
        <is>
          <t>Proposed OEM / Vendor</t>
        </is>
      </c>
      <c r="I3" s="15" t="inlineStr">
        <is>
          <t>Proposed Product / Model / Part No.</t>
        </is>
      </c>
      <c r="J3" s="15" t="inlineStr">
        <is>
          <t>Qty</t>
        </is>
      </c>
      <c r="K3" s="15" t="inlineStr">
        <is>
          <t>Unit Price (SAR)</t>
        </is>
      </c>
      <c r="L3" s="15" t="inlineStr">
        <is>
          <t>Total Price (SAR)</t>
        </is>
      </c>
      <c r="M3" s="15" t="inlineStr">
        <is>
          <t>Lead Time (Weeks)</t>
        </is>
      </c>
      <c r="N3" s="15" t="inlineStr">
        <is>
          <t>Proposal Reference (Doc / Page)</t>
        </is>
      </c>
      <c r="O3" s="15" t="inlineStr">
        <is>
          <t>Vendor Remarks / Deviations</t>
        </is>
      </c>
    </row>
    <row r="4">
      <c r="A4" s="16" t="n">
        <v>1</v>
      </c>
      <c r="B4" s="17" t="inlineStr">
        <is>
          <t>1.2.1.1</t>
        </is>
      </c>
      <c r="C4" s="18" t="inlineStr">
        <is>
          <t>Part 1 – General &amp; Programme</t>
        </is>
      </c>
      <c r="D4" s="18" t="inlineStr">
        <is>
          <t>1.2 THE OSS911 PROJECT</t>
        </is>
      </c>
      <c r="E4" s="18" t="inlineStr">
        <is>
          <t>1.2.1 SYNOPSIS OF REQUIREMENTS</t>
        </is>
      </c>
      <c r="F4" s="18" t="inlineStr">
        <is>
          <t>The BIDDER shall note that this RFP is non-prescriptive regarding vendor and vendor technologies, and is vendor agnostic.</t>
        </is>
      </c>
      <c r="G4" s="19" t="n"/>
      <c r="H4" s="20" t="n"/>
      <c r="I4" s="20" t="n"/>
      <c r="J4" s="19" t="n"/>
      <c r="K4" s="21" t="n"/>
      <c r="L4" s="22">
        <f>IF(OR(J4="",K4=""),"",J4*K4)</f>
        <v/>
      </c>
      <c r="M4" s="19" t="n"/>
      <c r="N4" s="20" t="n"/>
      <c r="O4" s="20" t="n"/>
    </row>
    <row r="5">
      <c r="A5" s="23" t="n">
        <v>2</v>
      </c>
      <c r="B5" s="24" t="inlineStr">
        <is>
          <t>1.2.1.2</t>
        </is>
      </c>
      <c r="C5" s="25" t="inlineStr">
        <is>
          <t>Part 1 – General &amp; Programme</t>
        </is>
      </c>
      <c r="D5" s="25" t="inlineStr">
        <is>
          <t>1.2 THE OSS911 PROJECT</t>
        </is>
      </c>
      <c r="E5" s="25" t="inlineStr">
        <is>
          <t>1.2.1 SYNOPSIS OF REQUIREMENTS</t>
        </is>
      </c>
      <c r="F5" s="25" t="inlineStr">
        <is>
          <t>The BIDDER shall propose their solutions that help them to deliver all the requirements of the RFP while complying to industry best practices.</t>
        </is>
      </c>
      <c r="G5" s="19" t="n"/>
      <c r="H5" s="20" t="n"/>
      <c r="I5" s="20" t="n"/>
      <c r="J5" s="19" t="n"/>
      <c r="K5" s="21" t="n"/>
      <c r="L5" s="22">
        <f>IF(OR(J5="",K5=""),"",J5*K5)</f>
        <v/>
      </c>
      <c r="M5" s="19" t="n"/>
      <c r="N5" s="20" t="n"/>
      <c r="O5" s="20" t="n"/>
    </row>
    <row r="6">
      <c r="A6" s="16" t="n">
        <v>3</v>
      </c>
      <c r="B6" s="17" t="inlineStr">
        <is>
          <t>1.2.1.3</t>
        </is>
      </c>
      <c r="C6" s="18" t="inlineStr">
        <is>
          <t>Part 1 – General &amp; Programme</t>
        </is>
      </c>
      <c r="D6" s="18" t="inlineStr">
        <is>
          <t>1.2 THE OSS911 PROJECT</t>
        </is>
      </c>
      <c r="E6" s="18" t="inlineStr">
        <is>
          <t>1.2.1 SYNOPSIS OF REQUIREMENTS</t>
        </is>
      </c>
      <c r="F6" s="18" t="inlineStr">
        <is>
          <t>The BIDDER shall note that the design and construction of any of the OSS911 facilities is not part of this RFP.</t>
        </is>
      </c>
      <c r="G6" s="19" t="n"/>
      <c r="H6" s="20" t="n"/>
      <c r="I6" s="20" t="n"/>
      <c r="J6" s="19" t="n"/>
      <c r="K6" s="21" t="n"/>
      <c r="L6" s="22">
        <f>IF(OR(J6="",K6=""),"",J6*K6)</f>
        <v/>
      </c>
      <c r="M6" s="19" t="n"/>
      <c r="N6" s="20" t="n"/>
      <c r="O6" s="20" t="n"/>
    </row>
    <row r="7">
      <c r="A7" s="23" t="n">
        <v>4</v>
      </c>
      <c r="B7" s="24" t="inlineStr">
        <is>
          <t>1.2.1.4</t>
        </is>
      </c>
      <c r="C7" s="25" t="inlineStr">
        <is>
          <t>Part 1 – General &amp; Programme</t>
        </is>
      </c>
      <c r="D7" s="25" t="inlineStr">
        <is>
          <t>1.2 THE OSS911 PROJECT</t>
        </is>
      </c>
      <c r="E7" s="25" t="inlineStr">
        <is>
          <t>1.2.1 SYNOPSIS OF REQUIREMENTS</t>
        </is>
      </c>
      <c r="F7" s="25" t="inlineStr">
        <is>
          <t>The BIDDER shall note that each OSS911 Center will be linked to all other OSS911 Centers via an-MOI provided wide area network backbone dark fiber (MiFON).</t>
        </is>
      </c>
      <c r="G7" s="19" t="n"/>
      <c r="H7" s="20" t="n"/>
      <c r="I7" s="20" t="n"/>
      <c r="J7" s="19" t="n"/>
      <c r="K7" s="21" t="n"/>
      <c r="L7" s="22">
        <f>IF(OR(J7="",K7=""),"",J7*K7)</f>
        <v/>
      </c>
      <c r="M7" s="19" t="n"/>
      <c r="N7" s="20" t="n"/>
      <c r="O7" s="20" t="n"/>
    </row>
    <row r="8">
      <c r="A8" s="16" t="n">
        <v>5</v>
      </c>
      <c r="B8" s="17" t="inlineStr">
        <is>
          <t>1.2.1.5</t>
        </is>
      </c>
      <c r="C8" s="18" t="inlineStr">
        <is>
          <t>Part 1 – General &amp; Programme</t>
        </is>
      </c>
      <c r="D8" s="18" t="inlineStr">
        <is>
          <t>1.2 THE OSS911 PROJECT</t>
        </is>
      </c>
      <c r="E8" s="18" t="inlineStr">
        <is>
          <t>1.2.1 SYNOPSIS OF REQUIREMENTS</t>
        </is>
      </c>
      <c r="F8" s="18" t="inlineStr">
        <is>
          <t>The BIDDER shall calculate the bandwidth of the network connectivity required with other OSS911 centers in order to meet this RFP requirements for its concept of operations, functionality, performance and availability, and shall include those in the network edge devices that they will be using for connectivity to the MiFON backbone for various OSS911 solution needs.</t>
        </is>
      </c>
      <c r="G8" s="19" t="n"/>
      <c r="H8" s="20" t="n"/>
      <c r="I8" s="20" t="n"/>
      <c r="J8" s="19" t="n"/>
      <c r="K8" s="21" t="n"/>
      <c r="L8" s="22">
        <f>IF(OR(J8="",K8=""),"",J8*K8)</f>
        <v/>
      </c>
      <c r="M8" s="19" t="n"/>
      <c r="N8" s="20" t="n"/>
      <c r="O8" s="20" t="n"/>
    </row>
    <row r="9">
      <c r="A9" s="23" t="n">
        <v>6</v>
      </c>
      <c r="B9" s="24" t="inlineStr">
        <is>
          <t>1.2.1.6</t>
        </is>
      </c>
      <c r="C9" s="25" t="inlineStr">
        <is>
          <t>Part 1 – General &amp; Programme</t>
        </is>
      </c>
      <c r="D9" s="25" t="inlineStr">
        <is>
          <t>1.2 THE OSS911 PROJECT</t>
        </is>
      </c>
      <c r="E9" s="25" t="inlineStr">
        <is>
          <t>1.2.1 SYNOPSIS OF REQUIREMENTS</t>
        </is>
      </c>
      <c r="F9" s="25" t="inlineStr">
        <is>
          <t>The BIDDER shall note that the MOI have the right to involve their technical specialists during the project contract duration to work closely with the contractor and the subcontractor technical teams for continual knowhow and knowledge absorption.</t>
        </is>
      </c>
      <c r="G9" s="19" t="n"/>
      <c r="H9" s="20" t="n"/>
      <c r="I9" s="20" t="n"/>
      <c r="J9" s="19" t="n"/>
      <c r="K9" s="21" t="n"/>
      <c r="L9" s="22">
        <f>IF(OR(J9="",K9=""),"",J9*K9)</f>
        <v/>
      </c>
      <c r="M9" s="19" t="n"/>
      <c r="N9" s="20" t="n"/>
      <c r="O9" s="20" t="n"/>
    </row>
    <row r="10">
      <c r="A10" s="16" t="n">
        <v>7</v>
      </c>
      <c r="B10" s="17" t="inlineStr">
        <is>
          <t>1.2.1.7</t>
        </is>
      </c>
      <c r="C10" s="18" t="inlineStr">
        <is>
          <t>Part 1 – General &amp; Programme</t>
        </is>
      </c>
      <c r="D10" s="18" t="inlineStr">
        <is>
          <t>1.2 THE OSS911 PROJECT</t>
        </is>
      </c>
      <c r="E10" s="18" t="inlineStr">
        <is>
          <t>1.2.1 SYNOPSIS OF REQUIREMENTS</t>
        </is>
      </c>
      <c r="F10" s="18" t="inlineStr">
        <is>
          <t>The BIDDER proposal shall follow the format and bid structure and content instructions that have been provided in the Arabic section of this RFP.</t>
        </is>
      </c>
      <c r="G10" s="19" t="n"/>
      <c r="H10" s="20" t="n"/>
      <c r="I10" s="20" t="n"/>
      <c r="J10" s="19" t="n"/>
      <c r="K10" s="21" t="n"/>
      <c r="L10" s="22">
        <f>IF(OR(J10="",K10=""),"",J10*K10)</f>
        <v/>
      </c>
      <c r="M10" s="19" t="n"/>
      <c r="N10" s="20" t="n"/>
      <c r="O10" s="20" t="n"/>
    </row>
    <row r="11">
      <c r="A11" s="23" t="n">
        <v>8</v>
      </c>
      <c r="B11" s="24" t="inlineStr">
        <is>
          <t>1.2.1.8</t>
        </is>
      </c>
      <c r="C11" s="25" t="inlineStr">
        <is>
          <t>Part 1 – General &amp; Programme</t>
        </is>
      </c>
      <c r="D11" s="25" t="inlineStr">
        <is>
          <t>1.2 THE OSS911 PROJECT</t>
        </is>
      </c>
      <c r="E11" s="25" t="inlineStr">
        <is>
          <t>1.2.1 SYNOPSIS OF REQUIREMENTS</t>
        </is>
      </c>
      <c r="F11" s="25" t="inlineStr">
        <is>
          <t>The BIDDER shall provide a complete and integrated high-level design of their OSS911 system solution in their proposal along with a high-level narrative describing each functional elements of the design along with example use-cases of the function and the workflows.</t>
        </is>
      </c>
      <c r="G11" s="19" t="n"/>
      <c r="H11" s="20" t="n"/>
      <c r="I11" s="20" t="n"/>
      <c r="J11" s="19" t="n"/>
      <c r="K11" s="21" t="n"/>
      <c r="L11" s="22">
        <f>IF(OR(J11="",K11=""),"",J11*K11)</f>
        <v/>
      </c>
      <c r="M11" s="19" t="n"/>
      <c r="N11" s="20" t="n"/>
      <c r="O11" s="20" t="n"/>
    </row>
    <row r="12">
      <c r="A12" s="16" t="n">
        <v>9</v>
      </c>
      <c r="B12" s="17" t="inlineStr">
        <is>
          <t>1.2.1.9</t>
        </is>
      </c>
      <c r="C12" s="18" t="inlineStr">
        <is>
          <t>Part 1 – General &amp; Programme</t>
        </is>
      </c>
      <c r="D12" s="18" t="inlineStr">
        <is>
          <t>1.2 THE OSS911 PROJECT</t>
        </is>
      </c>
      <c r="E12" s="18" t="inlineStr">
        <is>
          <t>1.2.1 SYNOPSIS OF REQUIREMENTS</t>
        </is>
      </c>
      <c r="F12" s="18" t="inlineStr">
        <is>
          <t>The BIDDER shall ratify any and all of their assumptions as part of the bid Q&amp;A process.</t>
        </is>
      </c>
      <c r="G12" s="19" t="n"/>
      <c r="H12" s="20" t="n"/>
      <c r="I12" s="20" t="n"/>
      <c r="J12" s="19" t="n"/>
      <c r="K12" s="21" t="n"/>
      <c r="L12" s="22">
        <f>IF(OR(J12="",K12=""),"",J12*K12)</f>
        <v/>
      </c>
      <c r="M12" s="19" t="n"/>
      <c r="N12" s="20" t="n"/>
      <c r="O12" s="20" t="n"/>
    </row>
    <row r="13">
      <c r="A13" s="23" t="n">
        <v>10</v>
      </c>
      <c r="B13" s="24" t="inlineStr">
        <is>
          <t>1.2.1.10</t>
        </is>
      </c>
      <c r="C13" s="25" t="inlineStr">
        <is>
          <t>Part 1 – General &amp; Programme</t>
        </is>
      </c>
      <c r="D13" s="25" t="inlineStr">
        <is>
          <t>1.2 THE OSS911 PROJECT</t>
        </is>
      </c>
      <c r="E13" s="25" t="inlineStr">
        <is>
          <t>1.2.1 SYNOPSIS OF REQUIREMENTS</t>
        </is>
      </c>
      <c r="F13" s="25" t="inlineStr">
        <is>
          <t>The BIDDER shall note that when BIDDER confirms compliance to any and all clauses within this RFP, it implies that the BIDDER is fully compliant with the MOI requirements without any conditions, assumptions, constraints, exclusions and exceptions – stated and/or implied.</t>
        </is>
      </c>
      <c r="G13" s="19" t="n"/>
      <c r="H13" s="20" t="n"/>
      <c r="I13" s="20" t="n"/>
      <c r="J13" s="19" t="n"/>
      <c r="K13" s="21" t="n"/>
      <c r="L13" s="22">
        <f>IF(OR(J13="",K13=""),"",J13*K13)</f>
        <v/>
      </c>
      <c r="M13" s="19" t="n"/>
      <c r="N13" s="20" t="n"/>
      <c r="O13" s="20" t="n"/>
    </row>
    <row r="14">
      <c r="A14" s="16" t="n">
        <v>11</v>
      </c>
      <c r="B14" s="17" t="inlineStr">
        <is>
          <t>1.2.1.11</t>
        </is>
      </c>
      <c r="C14" s="18" t="inlineStr">
        <is>
          <t>Part 1 – General &amp; Programme</t>
        </is>
      </c>
      <c r="D14" s="18" t="inlineStr">
        <is>
          <t>1.2 THE OSS911 PROJECT</t>
        </is>
      </c>
      <c r="E14" s="18" t="inlineStr">
        <is>
          <t>1.2.1 SYNOPSIS OF REQUIREMENTS</t>
        </is>
      </c>
      <c r="F14" s="18" t="inlineStr">
        <is>
          <t>The BIDDER shall note that further to the confirmation of their compliance to any clause, any notes within in their proposal that imply an assumption or condition or constraint or exclusion or exception implicitly or explicitly, shall not be considered as part of the BIDDER proposal. Further, such conditional content in the proposal will negatively impact the evaluation of the proposal compliance with the MOI requirements.</t>
        </is>
      </c>
      <c r="G14" s="19" t="n"/>
      <c r="H14" s="20" t="n"/>
      <c r="I14" s="20" t="n"/>
      <c r="J14" s="19" t="n"/>
      <c r="K14" s="21" t="n"/>
      <c r="L14" s="22">
        <f>IF(OR(J14="",K14=""),"",J14*K14)</f>
        <v/>
      </c>
      <c r="M14" s="19" t="n"/>
      <c r="N14" s="20" t="n"/>
      <c r="O14" s="20" t="n"/>
    </row>
    <row r="15">
      <c r="A15" s="23" t="n">
        <v>12</v>
      </c>
      <c r="B15" s="24" t="inlineStr">
        <is>
          <t>1.2.1.12</t>
        </is>
      </c>
      <c r="C15" s="25" t="inlineStr">
        <is>
          <t>Part 1 – General &amp; Programme</t>
        </is>
      </c>
      <c r="D15" s="25" t="inlineStr">
        <is>
          <t>1.2 THE OSS911 PROJECT</t>
        </is>
      </c>
      <c r="E15" s="25" t="inlineStr">
        <is>
          <t>1.2.1 SYNOPSIS OF REQUIREMENTS</t>
        </is>
      </c>
      <c r="F15" s="25" t="inlineStr">
        <is>
          <t>The BIDDER response shall include the planning, design, supply, installation, configuration, testing, training, commissioning, management and assurance of all components.</t>
        </is>
      </c>
      <c r="G15" s="19" t="n"/>
      <c r="H15" s="20" t="n"/>
      <c r="I15" s="20" t="n"/>
      <c r="J15" s="19" t="n"/>
      <c r="K15" s="21" t="n"/>
      <c r="L15" s="22">
        <f>IF(OR(J15="",K15=""),"",J15*K15)</f>
        <v/>
      </c>
      <c r="M15" s="19" t="n"/>
      <c r="N15" s="20" t="n"/>
      <c r="O15" s="20" t="n"/>
    </row>
    <row r="16">
      <c r="A16" s="16" t="n">
        <v>13</v>
      </c>
      <c r="B16" s="17" t="inlineStr">
        <is>
          <t>1.2.1.13</t>
        </is>
      </c>
      <c r="C16" s="18" t="inlineStr">
        <is>
          <t>Part 1 – General &amp; Programme</t>
        </is>
      </c>
      <c r="D16" s="18" t="inlineStr">
        <is>
          <t>1.2 THE OSS911 PROJECT</t>
        </is>
      </c>
      <c r="E16" s="18" t="inlineStr">
        <is>
          <t>1.2.1 SYNOPSIS OF REQUIREMENTS</t>
        </is>
      </c>
      <c r="F16" s="18" t="inlineStr">
        <is>
          <t>The BIDDER shall provide documentation including the proposed technical architecture and systems design for the solutions showing where and how the necessary interfaces and integration between the various systems will take place.</t>
        </is>
      </c>
      <c r="G16" s="19" t="n"/>
      <c r="H16" s="20" t="n"/>
      <c r="I16" s="20" t="n"/>
      <c r="J16" s="19" t="n"/>
      <c r="K16" s="21" t="n"/>
      <c r="L16" s="22">
        <f>IF(OR(J16="",K16=""),"",J16*K16)</f>
        <v/>
      </c>
      <c r="M16" s="19" t="n"/>
      <c r="N16" s="20" t="n"/>
      <c r="O16" s="20" t="n"/>
    </row>
    <row r="17">
      <c r="A17" s="23" t="n">
        <v>14</v>
      </c>
      <c r="B17" s="24" t="inlineStr">
        <is>
          <t>1.2.1.14</t>
        </is>
      </c>
      <c r="C17" s="25" t="inlineStr">
        <is>
          <t>Part 1 – General &amp; Programme</t>
        </is>
      </c>
      <c r="D17" s="25" t="inlineStr">
        <is>
          <t>1.2 THE OSS911 PROJECT</t>
        </is>
      </c>
      <c r="E17" s="25" t="inlineStr">
        <is>
          <t>1.2.1 SYNOPSIS OF REQUIREMENTS</t>
        </is>
      </c>
      <c r="F17" s="25" t="inlineStr">
        <is>
          <t>The BIDDER shall show in their high-level systems design, any phasing or incremental implementation of the various components, and a comprehensive structured description of how the various systems are to be deployed and integrated.</t>
        </is>
      </c>
      <c r="G17" s="19" t="n"/>
      <c r="H17" s="20" t="n"/>
      <c r="I17" s="20" t="n"/>
      <c r="J17" s="19" t="n"/>
      <c r="K17" s="21" t="n"/>
      <c r="L17" s="22">
        <f>IF(OR(J17="",K17=""),"",J17*K17)</f>
        <v/>
      </c>
      <c r="M17" s="19" t="n"/>
      <c r="N17" s="20" t="n"/>
      <c r="O17" s="20" t="n"/>
    </row>
    <row r="18">
      <c r="A18" s="16" t="n">
        <v>15</v>
      </c>
      <c r="B18" s="17" t="inlineStr">
        <is>
          <t>1.2.1.15</t>
        </is>
      </c>
      <c r="C18" s="18" t="inlineStr">
        <is>
          <t>Part 1 – General &amp; Programme</t>
        </is>
      </c>
      <c r="D18" s="18" t="inlineStr">
        <is>
          <t>1.2 THE OSS911 PROJECT</t>
        </is>
      </c>
      <c r="E18" s="18" t="inlineStr">
        <is>
          <t>1.2.1 SYNOPSIS OF REQUIREMENTS</t>
        </is>
      </c>
      <c r="F18" s="18" t="inlineStr">
        <is>
          <t>The BIDDER shall undertake the required site surveys as per the instruction outlined in the bidding documents and validate the various datacenters, technical and operational rooms for sufficiency for their solutions to be deployed and operated.</t>
        </is>
      </c>
      <c r="G18" s="19" t="n"/>
      <c r="H18" s="20" t="n"/>
      <c r="I18" s="20" t="n"/>
      <c r="J18" s="19" t="n"/>
      <c r="K18" s="21" t="n"/>
      <c r="L18" s="22">
        <f>IF(OR(J18="",K18=""),"",J18*K18)</f>
        <v/>
      </c>
      <c r="M18" s="19" t="n"/>
      <c r="N18" s="20" t="n"/>
      <c r="O18" s="20" t="n"/>
    </row>
    <row r="19">
      <c r="A19" s="23" t="n">
        <v>16</v>
      </c>
      <c r="B19" s="24" t="inlineStr">
        <is>
          <t>1.2.1.16</t>
        </is>
      </c>
      <c r="C19" s="25" t="inlineStr">
        <is>
          <t>Part 1 – General &amp; Programme</t>
        </is>
      </c>
      <c r="D19" s="25" t="inlineStr">
        <is>
          <t>1.2 THE OSS911 PROJECT</t>
        </is>
      </c>
      <c r="E19" s="25" t="inlineStr">
        <is>
          <t>1.2.1 SYNOPSIS OF REQUIREMENTS</t>
        </is>
      </c>
      <c r="F19" s="25" t="inlineStr">
        <is>
          <t>The BIDDER shall submit a project implementation schedule based on the project delivery outline that is detailed to level 3 (task level) and which delivers the implementation schedule requirements outlined in this RFP.</t>
        </is>
      </c>
      <c r="G19" s="19" t="n"/>
      <c r="H19" s="20" t="n"/>
      <c r="I19" s="20" t="n"/>
      <c r="J19" s="19" t="n"/>
      <c r="K19" s="21" t="n"/>
      <c r="L19" s="22">
        <f>IF(OR(J19="",K19=""),"",J19*K19)</f>
        <v/>
      </c>
      <c r="M19" s="19" t="n"/>
      <c r="N19" s="20" t="n"/>
      <c r="O19" s="20" t="n"/>
    </row>
    <row r="20">
      <c r="A20" s="16" t="n">
        <v>17</v>
      </c>
      <c r="B20" s="17" t="inlineStr">
        <is>
          <t>1.2.1.17</t>
        </is>
      </c>
      <c r="C20" s="18" t="inlineStr">
        <is>
          <t>Part 1 – General &amp; Programme</t>
        </is>
      </c>
      <c r="D20" s="18" t="inlineStr">
        <is>
          <t>1.2 THE OSS911 PROJECT</t>
        </is>
      </c>
      <c r="E20" s="18" t="inlineStr">
        <is>
          <t>1.2.1 SYNOPSIS OF REQUIREMENTS</t>
        </is>
      </c>
      <c r="F20" s="18" t="inlineStr">
        <is>
          <t>In their proposal, the BIDDER shall confirm the delivery of the project as per the timeline stated in this RFP.</t>
        </is>
      </c>
      <c r="G20" s="19" t="n"/>
      <c r="H20" s="20" t="n"/>
      <c r="I20" s="20" t="n"/>
      <c r="J20" s="19" t="n"/>
      <c r="K20" s="21" t="n"/>
      <c r="L20" s="22">
        <f>IF(OR(J20="",K20=""),"",J20*K20)</f>
        <v/>
      </c>
      <c r="M20" s="19" t="n"/>
      <c r="N20" s="20" t="n"/>
      <c r="O20" s="20" t="n"/>
    </row>
    <row r="21">
      <c r="A21" s="23" t="n">
        <v>18</v>
      </c>
      <c r="B21" s="24" t="inlineStr">
        <is>
          <t>1.2.1.18</t>
        </is>
      </c>
      <c r="C21" s="25" t="inlineStr">
        <is>
          <t>Part 1 – General &amp; Programme</t>
        </is>
      </c>
      <c r="D21" s="25" t="inlineStr">
        <is>
          <t>1.2 THE OSS911 PROJECT</t>
        </is>
      </c>
      <c r="E21" s="25" t="inlineStr">
        <is>
          <t>1.2.1 SYNOPSIS OF REQUIREMENTS</t>
        </is>
      </c>
      <c r="F21" s="25" t="inlineStr">
        <is>
          <t>The BIDDER shall confirm that the BIDDER and all of their proposed subcontractors have resolved any and all mutual interdependencies in their proposed solution</t>
        </is>
      </c>
      <c r="G21" s="19" t="n"/>
      <c r="H21" s="20" t="n"/>
      <c r="I21" s="20" t="n"/>
      <c r="J21" s="19" t="n"/>
      <c r="K21" s="21" t="n"/>
      <c r="L21" s="22">
        <f>IF(OR(J21="",K21=""),"",J21*K21)</f>
        <v/>
      </c>
      <c r="M21" s="19" t="n"/>
      <c r="N21" s="20" t="n"/>
      <c r="O21" s="20" t="n"/>
    </row>
    <row r="22">
      <c r="A22" s="16" t="n">
        <v>19</v>
      </c>
      <c r="B22" s="17" t="inlineStr">
        <is>
          <t>1.2.1.19</t>
        </is>
      </c>
      <c r="C22" s="18" t="inlineStr">
        <is>
          <t>Part 1 – General &amp; Programme</t>
        </is>
      </c>
      <c r="D22" s="18" t="inlineStr">
        <is>
          <t>1.2 THE OSS911 PROJECT</t>
        </is>
      </c>
      <c r="E22" s="18" t="inlineStr">
        <is>
          <t>1.2.1 SYNOPSIS OF REQUIREMENTS</t>
        </is>
      </c>
      <c r="F22" s="18" t="inlineStr">
        <is>
          <t>The BIDDER shall confirm that their proposed solution is holistic without any implicit or explicit interdependencies.</t>
        </is>
      </c>
      <c r="G22" s="19" t="n"/>
      <c r="H22" s="20" t="n"/>
      <c r="I22" s="20" t="n"/>
      <c r="J22" s="19" t="n"/>
      <c r="K22" s="21" t="n"/>
      <c r="L22" s="22">
        <f>IF(OR(J22="",K22=""),"",J22*K22)</f>
        <v/>
      </c>
      <c r="M22" s="19" t="n"/>
      <c r="N22" s="20" t="n"/>
      <c r="O22" s="20" t="n"/>
    </row>
    <row r="23">
      <c r="A23" s="23" t="n">
        <v>20</v>
      </c>
      <c r="B23" s="24" t="inlineStr">
        <is>
          <t>1.2.1.20</t>
        </is>
      </c>
      <c r="C23" s="25" t="inlineStr">
        <is>
          <t>Part 1 – General &amp; Programme</t>
        </is>
      </c>
      <c r="D23" s="25" t="inlineStr">
        <is>
          <t>1.2 THE OSS911 PROJECT</t>
        </is>
      </c>
      <c r="E23" s="25" t="inlineStr">
        <is>
          <t>1.2.1 SYNOPSIS OF REQUIREMENTS</t>
        </is>
      </c>
      <c r="F23" s="25" t="inlineStr">
        <is>
          <t>The BIDDER shall note that MOI does not allow remote deployment of any solutions.</t>
        </is>
      </c>
      <c r="G23" s="19" t="n"/>
      <c r="H23" s="20" t="n"/>
      <c r="I23" s="20" t="n"/>
      <c r="J23" s="19" t="n"/>
      <c r="K23" s="21" t="n"/>
      <c r="L23" s="22">
        <f>IF(OR(J23="",K23=""),"",J23*K23)</f>
        <v/>
      </c>
      <c r="M23" s="19" t="n"/>
      <c r="N23" s="20" t="n"/>
      <c r="O23" s="20" t="n"/>
    </row>
    <row r="24">
      <c r="A24" s="16" t="n">
        <v>21</v>
      </c>
      <c r="B24" s="17" t="inlineStr">
        <is>
          <t>1.2.1.21</t>
        </is>
      </c>
      <c r="C24" s="18" t="inlineStr">
        <is>
          <t>Part 1 – General &amp; Programme</t>
        </is>
      </c>
      <c r="D24" s="18" t="inlineStr">
        <is>
          <t>1.2 THE OSS911 PROJECT</t>
        </is>
      </c>
      <c r="E24" s="18" t="inlineStr">
        <is>
          <t>1.2.1 SYNOPSIS OF REQUIREMENTS</t>
        </is>
      </c>
      <c r="F24" s="18" t="inlineStr">
        <is>
          <t>The BIDDER shall finalize the teaming agreement(s) / partnership(s) / subcontracting relationship(s) prior to bid submission and shall provide associated proofs as part of their proposals with the certified affirmation from each of the vendors / subcontractors / partners / distributors / suppliers that each one of them shall be fully operational for the contract (having covered off all the necessary administrative, legal, contractual, finance parts with between them and the CONTRACTOR) as part of a single team with the CONTRACTOR immediately after the completion of the mobilization period as indicated in this document and its appendices. The BIDDER shall note that any noncompliance to this requirement shall impact the bid evaluation.</t>
        </is>
      </c>
      <c r="G24" s="19" t="n"/>
      <c r="H24" s="20" t="n"/>
      <c r="I24" s="20" t="n"/>
      <c r="J24" s="19" t="n"/>
      <c r="K24" s="21" t="n"/>
      <c r="L24" s="22">
        <f>IF(OR(J24="",K24=""),"",J24*K24)</f>
        <v/>
      </c>
      <c r="M24" s="19" t="n"/>
      <c r="N24" s="20" t="n"/>
      <c r="O24" s="20" t="n"/>
    </row>
    <row r="25">
      <c r="A25" s="23" t="n">
        <v>22</v>
      </c>
      <c r="B25" s="24" t="inlineStr">
        <is>
          <t>1.2.1.22</t>
        </is>
      </c>
      <c r="C25" s="25" t="inlineStr">
        <is>
          <t>Part 1 – General &amp; Programme</t>
        </is>
      </c>
      <c r="D25" s="25" t="inlineStr">
        <is>
          <t>1.2 THE OSS911 PROJECT</t>
        </is>
      </c>
      <c r="E25" s="25" t="inlineStr">
        <is>
          <t>1.2.1 SYNOPSIS OF REQUIREMENTS</t>
        </is>
      </c>
      <c r="F25" s="25" t="inlineStr">
        <is>
          <t>The CONTRACTOR shall own the single, turnkey responsibility of the OSS911 services at the center in scope and as per the requirements of this RFP.</t>
        </is>
      </c>
      <c r="G25" s="19" t="n"/>
      <c r="H25" s="20" t="n"/>
      <c r="I25" s="20" t="n"/>
      <c r="J25" s="19" t="n"/>
      <c r="K25" s="21" t="n"/>
      <c r="L25" s="22">
        <f>IF(OR(J25="",K25=""),"",J25*K25)</f>
        <v/>
      </c>
      <c r="M25" s="19" t="n"/>
      <c r="N25" s="20" t="n"/>
      <c r="O25" s="20" t="n"/>
    </row>
    <row r="26">
      <c r="A26" s="16" t="n">
        <v>23</v>
      </c>
      <c r="B26" s="17" t="inlineStr">
        <is>
          <t>1.2.1.23</t>
        </is>
      </c>
      <c r="C26" s="18" t="inlineStr">
        <is>
          <t>Part 1 – General &amp; Programme</t>
        </is>
      </c>
      <c r="D26" s="18" t="inlineStr">
        <is>
          <t>1.2 THE OSS911 PROJECT</t>
        </is>
      </c>
      <c r="E26" s="18" t="inlineStr">
        <is>
          <t>1.2.1 SYNOPSIS OF REQUIREMENTS</t>
        </is>
      </c>
      <c r="F26" s="18" t="inlineStr">
        <is>
          <t>Based on the turnkey responsibility for the contract, the CONTRACTOR shall be responsible to supply any and all components and works that are required to ensure that all the OSS911 requirements are delivered as acceptable to the MOI according to the MOI requirements within this document.</t>
        </is>
      </c>
      <c r="G26" s="19" t="n"/>
      <c r="H26" s="20" t="n"/>
      <c r="I26" s="20" t="n"/>
      <c r="J26" s="19" t="n"/>
      <c r="K26" s="21" t="n"/>
      <c r="L26" s="22">
        <f>IF(OR(J26="",K26=""),"",J26*K26)</f>
        <v/>
      </c>
      <c r="M26" s="19" t="n"/>
      <c r="N26" s="20" t="n"/>
      <c r="O26" s="20" t="n"/>
    </row>
    <row r="27">
      <c r="A27" s="23" t="n">
        <v>24</v>
      </c>
      <c r="B27" s="24" t="inlineStr">
        <is>
          <t>1.2.1.24</t>
        </is>
      </c>
      <c r="C27" s="25" t="inlineStr">
        <is>
          <t>Part 1 – General &amp; Programme</t>
        </is>
      </c>
      <c r="D27" s="25" t="inlineStr">
        <is>
          <t>1.2 THE OSS911 PROJECT</t>
        </is>
      </c>
      <c r="E27" s="25" t="inlineStr">
        <is>
          <t>1.2.1 SYNOPSIS OF REQUIREMENTS</t>
        </is>
      </c>
      <c r="F27" s="25" t="inlineStr">
        <is>
          <t>As part of the CONTRACTOR’s turnkey responsibility, the CONTRACTOR shall be fully and absolutely responsible for any stated /unstated interdependency between the BIDDER and any of their subcontractors, and between the subcontractors.</t>
        </is>
      </c>
      <c r="G27" s="19" t="n"/>
      <c r="H27" s="20" t="n"/>
      <c r="I27" s="20" t="n"/>
      <c r="J27" s="19" t="n"/>
      <c r="K27" s="21" t="n"/>
      <c r="L27" s="22">
        <f>IF(OR(J27="",K27=""),"",J27*K27)</f>
        <v/>
      </c>
      <c r="M27" s="19" t="n"/>
      <c r="N27" s="20" t="n"/>
      <c r="O27" s="20" t="n"/>
    </row>
    <row r="28">
      <c r="A28" s="16" t="n">
        <v>25</v>
      </c>
      <c r="B28" s="17" t="inlineStr">
        <is>
          <t>1.2.1.25</t>
        </is>
      </c>
      <c r="C28" s="18" t="inlineStr">
        <is>
          <t>Part 1 – General &amp; Programme</t>
        </is>
      </c>
      <c r="D28" s="18" t="inlineStr">
        <is>
          <t>1.2 THE OSS911 PROJECT</t>
        </is>
      </c>
      <c r="E28" s="18" t="inlineStr">
        <is>
          <t>1.2.1 SYNOPSIS OF REQUIREMENTS</t>
        </is>
      </c>
      <c r="F28" s="18" t="inlineStr">
        <is>
          <t>From the completion of the allowed mobilization period and for the duration of the contract, the CONTRACTOR shall deliver all the resources mobilized as per the work plan indicated in the Arabic section of this RFP.</t>
        </is>
      </c>
      <c r="G28" s="19" t="n"/>
      <c r="H28" s="20" t="n"/>
      <c r="I28" s="20" t="n"/>
      <c r="J28" s="19" t="n"/>
      <c r="K28" s="21" t="n"/>
      <c r="L28" s="22">
        <f>IF(OR(J28="",K28=""),"",J28*K28)</f>
        <v/>
      </c>
      <c r="M28" s="19" t="n"/>
      <c r="N28" s="20" t="n"/>
      <c r="O28" s="20" t="n"/>
    </row>
    <row r="29">
      <c r="A29" s="23" t="n">
        <v>26</v>
      </c>
      <c r="B29" s="24" t="inlineStr">
        <is>
          <t>1.2.1.26</t>
        </is>
      </c>
      <c r="C29" s="25" t="inlineStr">
        <is>
          <t>Part 1 – General &amp; Programme</t>
        </is>
      </c>
      <c r="D29" s="25" t="inlineStr">
        <is>
          <t>1.2 THE OSS911 PROJECT</t>
        </is>
      </c>
      <c r="E29" s="25" t="inlineStr">
        <is>
          <t>1.2.1 SYNOPSIS OF REQUIREMENTS</t>
        </is>
      </c>
      <c r="F29" s="25" t="inlineStr">
        <is>
          <t>The CONTRACTOR shall note that any delay in resource and team mobilization as per the requirements indicated in this document and its appendices shall result in associated penalties as per the contractual general terms and conditions.</t>
        </is>
      </c>
      <c r="G29" s="19" t="n"/>
      <c r="H29" s="20" t="n"/>
      <c r="I29" s="20" t="n"/>
      <c r="J29" s="19" t="n"/>
      <c r="K29" s="21" t="n"/>
      <c r="L29" s="22">
        <f>IF(OR(J29="",K29=""),"",J29*K29)</f>
        <v/>
      </c>
      <c r="M29" s="19" t="n"/>
      <c r="N29" s="20" t="n"/>
      <c r="O29" s="20" t="n"/>
    </row>
    <row r="30">
      <c r="A30" s="16" t="n">
        <v>27</v>
      </c>
      <c r="B30" s="17" t="inlineStr">
        <is>
          <t>1.2.1.27</t>
        </is>
      </c>
      <c r="C30" s="18" t="inlineStr">
        <is>
          <t>Part 1 – General &amp; Programme</t>
        </is>
      </c>
      <c r="D30" s="18" t="inlineStr">
        <is>
          <t>1.2 THE OSS911 PROJECT</t>
        </is>
      </c>
      <c r="E30" s="18" t="inlineStr">
        <is>
          <t>1.2.1 SYNOPSIS OF REQUIREMENTS</t>
        </is>
      </c>
      <c r="F30" s="18" t="inlineStr">
        <is>
          <t>The CONTRACTOR shall deliver the analysis, design, development, integration, testing, implementation, training, governance, operations, management and assurance of the OSS911 functional, human capital, processes, interfaces, procedures, services, operations, systems and technical infrastructure for the OSS911.</t>
        </is>
      </c>
      <c r="G30" s="19" t="n"/>
      <c r="H30" s="20" t="n"/>
      <c r="I30" s="20" t="n"/>
      <c r="J30" s="19" t="n"/>
      <c r="K30" s="21" t="n"/>
      <c r="L30" s="22">
        <f>IF(OR(J30="",K30=""),"",J30*K30)</f>
        <v/>
      </c>
      <c r="M30" s="19" t="n"/>
      <c r="N30" s="20" t="n"/>
      <c r="O30" s="20" t="n"/>
    </row>
    <row r="31">
      <c r="A31" s="23" t="n">
        <v>28</v>
      </c>
      <c r="B31" s="24" t="inlineStr">
        <is>
          <t>1.2.1.28</t>
        </is>
      </c>
      <c r="C31" s="25" t="inlineStr">
        <is>
          <t>Part 1 – General &amp; Programme</t>
        </is>
      </c>
      <c r="D31" s="25" t="inlineStr">
        <is>
          <t>1.2 THE OSS911 PROJECT</t>
        </is>
      </c>
      <c r="E31" s="25" t="inlineStr">
        <is>
          <t>1.2.1 SYNOPSIS OF REQUIREMENTS</t>
        </is>
      </c>
      <c r="F31" s="25" t="inlineStr">
        <is>
          <t>The CONTRACTOR shall design and deploy OSS911 solutions such that the OSS911 Center is working 24 hours a day and 7 days a week for all the weeks in a calendar year.</t>
        </is>
      </c>
      <c r="G31" s="19" t="n"/>
      <c r="H31" s="20" t="n"/>
      <c r="I31" s="20" t="n"/>
      <c r="J31" s="19" t="n"/>
      <c r="K31" s="21" t="n"/>
      <c r="L31" s="22">
        <f>IF(OR(J31="",K31=""),"",J31*K31)</f>
        <v/>
      </c>
      <c r="M31" s="19" t="n"/>
      <c r="N31" s="20" t="n"/>
      <c r="O31" s="20" t="n"/>
    </row>
    <row r="32">
      <c r="A32" s="16" t="n">
        <v>29</v>
      </c>
      <c r="B32" s="17" t="inlineStr">
        <is>
          <t>1.2.1.29</t>
        </is>
      </c>
      <c r="C32" s="18" t="inlineStr">
        <is>
          <t>Part 1 – General &amp; Programme</t>
        </is>
      </c>
      <c r="D32" s="18" t="inlineStr">
        <is>
          <t>1.2 THE OSS911 PROJECT</t>
        </is>
      </c>
      <c r="E32" s="18" t="inlineStr">
        <is>
          <t>1.2.1 SYNOPSIS OF REQUIREMENTS</t>
        </is>
      </c>
      <c r="F32" s="18" t="inlineStr">
        <is>
          <t>The CONTRACTOR shall implement all requirements in this contract with the understanding that:</t>
        </is>
      </c>
      <c r="G32" s="19" t="n"/>
      <c r="H32" s="20" t="n"/>
      <c r="I32" s="20" t="n"/>
      <c r="J32" s="19" t="n"/>
      <c r="K32" s="21" t="n"/>
      <c r="L32" s="22">
        <f>IF(OR(J32="",K32=""),"",J32*K32)</f>
        <v/>
      </c>
      <c r="M32" s="19" t="n"/>
      <c r="N32" s="20" t="n"/>
      <c r="O32" s="20" t="n"/>
    </row>
    <row r="33">
      <c r="A33" s="23" t="n">
        <v>30</v>
      </c>
      <c r="B33" s="23" t="inlineStr">
        <is>
          <t>1.2.1.29.1</t>
        </is>
      </c>
      <c r="C33" s="25" t="inlineStr">
        <is>
          <t>Part 1 – General &amp; Programme</t>
        </is>
      </c>
      <c r="D33" s="25" t="inlineStr">
        <is>
          <t>1.2 THE OSS911 PROJECT</t>
        </is>
      </c>
      <c r="E33" s="25" t="inlineStr">
        <is>
          <t>1.2.1 SYNOPSIS OF REQUIREMENTS</t>
        </is>
      </c>
      <c r="F33" s="25" t="inlineStr">
        <is>
          <t>Unless otherwise explicitly stated, the phrase “OSS911 center” refers to OSS911 centers in each of the provinces that are included in the scope of this contract.</t>
        </is>
      </c>
      <c r="G33" s="19" t="n"/>
      <c r="H33" s="20" t="n"/>
      <c r="I33" s="20" t="n"/>
      <c r="J33" s="19" t="n"/>
      <c r="K33" s="21" t="n"/>
      <c r="L33" s="22">
        <f>IF(OR(J33="",K33=""),"",J33*K33)</f>
        <v/>
      </c>
      <c r="M33" s="19" t="n"/>
      <c r="N33" s="20" t="n"/>
      <c r="O33" s="20" t="n"/>
    </row>
    <row r="34">
      <c r="A34" s="16" t="n">
        <v>31</v>
      </c>
      <c r="B34" s="16" t="inlineStr">
        <is>
          <t>1.2.1.29.2</t>
        </is>
      </c>
      <c r="C34" s="18" t="inlineStr">
        <is>
          <t>Part 1 – General &amp; Programme</t>
        </is>
      </c>
      <c r="D34" s="18" t="inlineStr">
        <is>
          <t>1.2 THE OSS911 PROJECT</t>
        </is>
      </c>
      <c r="E34" s="18" t="inlineStr">
        <is>
          <t>1.2.1 SYNOPSIS OF REQUIREMENTS</t>
        </is>
      </c>
      <c r="F34" s="18" t="inlineStr">
        <is>
          <t>Unless otherwise explicitly stated, the phrases “OSS911 solution” or “OSS911 systems” or “OSS911 subsystems” refer to all the OSS911 systems being delivered by the CONTRACTOR as part of this contract.</t>
        </is>
      </c>
      <c r="G34" s="19" t="n"/>
      <c r="H34" s="20" t="n"/>
      <c r="I34" s="20" t="n"/>
      <c r="J34" s="19" t="n"/>
      <c r="K34" s="21" t="n"/>
      <c r="L34" s="22">
        <f>IF(OR(J34="",K34=""),"",J34*K34)</f>
        <v/>
      </c>
      <c r="M34" s="19" t="n"/>
      <c r="N34" s="20" t="n"/>
      <c r="O34" s="20" t="n"/>
    </row>
    <row r="35">
      <c r="A35" s="23" t="n">
        <v>32</v>
      </c>
      <c r="B35" s="23" t="inlineStr">
        <is>
          <t>1.2.1.29.3</t>
        </is>
      </c>
      <c r="C35" s="25" t="inlineStr">
        <is>
          <t>Part 1 – General &amp; Programme</t>
        </is>
      </c>
      <c r="D35" s="25" t="inlineStr">
        <is>
          <t>1.2 THE OSS911 PROJECT</t>
        </is>
      </c>
      <c r="E35" s="25" t="inlineStr">
        <is>
          <t>1.2.1 SYNOPSIS OF REQUIREMENTS</t>
        </is>
      </c>
      <c r="F35" s="25" t="inlineStr">
        <is>
          <t>Unless otherwise explicitly stated, the word “data” in this document includes all types of data including voice, text, video and SMS.</t>
        </is>
      </c>
      <c r="G35" s="19" t="n"/>
      <c r="H35" s="20" t="n"/>
      <c r="I35" s="20" t="n"/>
      <c r="J35" s="19" t="n"/>
      <c r="K35" s="21" t="n"/>
      <c r="L35" s="22">
        <f>IF(OR(J35="",K35=""),"",J35*K35)</f>
        <v/>
      </c>
      <c r="M35" s="19" t="n"/>
      <c r="N35" s="20" t="n"/>
      <c r="O35" s="20" t="n"/>
    </row>
    <row r="36">
      <c r="A36" s="16" t="n">
        <v>33</v>
      </c>
      <c r="B36" s="17" t="inlineStr">
        <is>
          <t>1.2.1.30</t>
        </is>
      </c>
      <c r="C36" s="18" t="inlineStr">
        <is>
          <t>Part 1 – General &amp; Programme</t>
        </is>
      </c>
      <c r="D36" s="18" t="inlineStr">
        <is>
          <t>1.2 THE OSS911 PROJECT</t>
        </is>
      </c>
      <c r="E36" s="18" t="inlineStr">
        <is>
          <t>1.2.1 SYNOPSIS OF REQUIREMENTS</t>
        </is>
      </c>
      <c r="F36" s="18" t="inlineStr">
        <is>
          <t>Further to the contract, the CONTRACTOR shall submit a detailed transition plan per each province that will be evaluated by the MOI for applicability to the different agencies’ transition to the OSS911 center of a province and shall be implemented by the CONTRACTOR.</t>
        </is>
      </c>
      <c r="G36" s="19" t="n"/>
      <c r="H36" s="20" t="n"/>
      <c r="I36" s="20" t="n"/>
      <c r="J36" s="19" t="n"/>
      <c r="K36" s="21" t="n"/>
      <c r="L36" s="22">
        <f>IF(OR(J36="",K36=""),"",J36*K36)</f>
        <v/>
      </c>
      <c r="M36" s="19" t="n"/>
      <c r="N36" s="20" t="n"/>
      <c r="O36" s="20" t="n"/>
    </row>
    <row r="37">
      <c r="A37" s="23" t="n">
        <v>34</v>
      </c>
      <c r="B37" s="24" t="inlineStr">
        <is>
          <t>1.2.1.31</t>
        </is>
      </c>
      <c r="C37" s="25" t="inlineStr">
        <is>
          <t>Part 1 – General &amp; Programme</t>
        </is>
      </c>
      <c r="D37" s="25" t="inlineStr">
        <is>
          <t>1.2 THE OSS911 PROJECT</t>
        </is>
      </c>
      <c r="E37" s="25" t="inlineStr">
        <is>
          <t>1.2.1 SYNOPSIS OF REQUIREMENTS</t>
        </is>
      </c>
      <c r="F37" s="25" t="inlineStr">
        <is>
          <t>When the transition of each of the existing Makkah 911 center systems to the OSS911 center systems delivered by the CONTRACTOR occurs, the CONTRACTOR shall ensure that at the OSS911 Center, each of the agencies is able to perform all of their operations that they were performing at the existing Makkah 911 center.</t>
        </is>
      </c>
      <c r="G37" s="19" t="n"/>
      <c r="H37" s="20" t="n"/>
      <c r="I37" s="20" t="n"/>
      <c r="J37" s="19" t="n"/>
      <c r="K37" s="21" t="n"/>
      <c r="L37" s="22">
        <f>IF(OR(J37="",K37=""),"",J37*K37)</f>
        <v/>
      </c>
      <c r="M37" s="19" t="n"/>
      <c r="N37" s="20" t="n"/>
      <c r="O37" s="20" t="n"/>
    </row>
    <row r="38">
      <c r="A38" s="16" t="n">
        <v>35</v>
      </c>
      <c r="B38" s="17" t="inlineStr">
        <is>
          <t>1.2.1.32</t>
        </is>
      </c>
      <c r="C38" s="18" t="inlineStr">
        <is>
          <t>Part 1 – General &amp; Programme</t>
        </is>
      </c>
      <c r="D38" s="18" t="inlineStr">
        <is>
          <t>1.2 THE OSS911 PROJECT</t>
        </is>
      </c>
      <c r="E38" s="18" t="inlineStr">
        <is>
          <t>1.2.1 SYNOPSIS OF REQUIREMENTS</t>
        </is>
      </c>
      <c r="F38" s="18" t="inlineStr">
        <is>
          <t>For the duration of the contract, in the event of technology advances may occur which make certain components obsolete and in the event of component changes or unavailability, the CONTRACTOR shall be responsible for ensuring interoperability is maintained by upgrading all such obsolete components with their contemporary models / contemporary equivalents, all at no additional costs to the MOI.</t>
        </is>
      </c>
      <c r="G38" s="19" t="n"/>
      <c r="H38" s="20" t="n"/>
      <c r="I38" s="20" t="n"/>
      <c r="J38" s="19" t="n"/>
      <c r="K38" s="21" t="n"/>
      <c r="L38" s="22">
        <f>IF(OR(J38="",K38=""),"",J38*K38)</f>
        <v/>
      </c>
      <c r="M38" s="19" t="n"/>
      <c r="N38" s="20" t="n"/>
      <c r="O38" s="20" t="n"/>
    </row>
    <row r="39">
      <c r="A39" s="23" t="n">
        <v>36</v>
      </c>
      <c r="B39" s="24" t="inlineStr">
        <is>
          <t>1.2.1.33</t>
        </is>
      </c>
      <c r="C39" s="25" t="inlineStr">
        <is>
          <t>Part 1 – General &amp; Programme</t>
        </is>
      </c>
      <c r="D39" s="25" t="inlineStr">
        <is>
          <t>1.2 THE OSS911 PROJECT</t>
        </is>
      </c>
      <c r="E39" s="25" t="inlineStr">
        <is>
          <t>1.2.1 SYNOPSIS OF REQUIREMENTS</t>
        </is>
      </c>
      <c r="F39" s="25" t="inlineStr">
        <is>
          <t>The CONTRACTOR shall be responsible for all activities pertaining to gathering information, conducting stakeholder analysis, conducting stakeholder interviews, surveys and any other data and information gathering activities, any and all data extraction, transformation and loading activities that the CONTRACTOR deems necessary for them to deliver the project.</t>
        </is>
      </c>
      <c r="G39" s="19" t="n"/>
      <c r="H39" s="20" t="n"/>
      <c r="I39" s="20" t="n"/>
      <c r="J39" s="19" t="n"/>
      <c r="K39" s="21" t="n"/>
      <c r="L39" s="22">
        <f>IF(OR(J39="",K39=""),"",J39*K39)</f>
        <v/>
      </c>
      <c r="M39" s="19" t="n"/>
      <c r="N39" s="20" t="n"/>
      <c r="O39" s="20" t="n"/>
    </row>
    <row r="40">
      <c r="A40" s="16" t="n">
        <v>37</v>
      </c>
      <c r="B40" s="17" t="inlineStr">
        <is>
          <t>1.2.1.34</t>
        </is>
      </c>
      <c r="C40" s="18" t="inlineStr">
        <is>
          <t>Part 1 – General &amp; Programme</t>
        </is>
      </c>
      <c r="D40" s="18" t="inlineStr">
        <is>
          <t>1.2 THE OSS911 PROJECT</t>
        </is>
      </c>
      <c r="E40" s="18" t="inlineStr">
        <is>
          <t>1.2.1 SYNOPSIS OF REQUIREMENTS</t>
        </is>
      </c>
      <c r="F40" s="18" t="inlineStr">
        <is>
          <t>For the duration of the contract, and as required from the existing Makkah 911 center, the CONTRACTOR shall extract, transform and load into the OSS911 systems all the operational and support data that is required by the OSS911 systems.</t>
        </is>
      </c>
      <c r="G40" s="19" t="n"/>
      <c r="H40" s="20" t="n"/>
      <c r="I40" s="20" t="n"/>
      <c r="J40" s="19" t="n"/>
      <c r="K40" s="21" t="n"/>
      <c r="L40" s="22">
        <f>IF(OR(J40="",K40=""),"",J40*K40)</f>
        <v/>
      </c>
      <c r="M40" s="19" t="n"/>
      <c r="N40" s="20" t="n"/>
      <c r="O40" s="20" t="n"/>
    </row>
    <row r="41">
      <c r="A41" s="23" t="n">
        <v>38</v>
      </c>
      <c r="B41" s="24" t="inlineStr">
        <is>
          <t>1.2.1.35</t>
        </is>
      </c>
      <c r="C41" s="25" t="inlineStr">
        <is>
          <t>Part 1 – General &amp; Programme</t>
        </is>
      </c>
      <c r="D41" s="25" t="inlineStr">
        <is>
          <t>1.2 THE OSS911 PROJECT</t>
        </is>
      </c>
      <c r="E41" s="25" t="inlineStr">
        <is>
          <t>1.2.1 SYNOPSIS OF REQUIREMENTS</t>
        </is>
      </c>
      <c r="F41" s="25" t="inlineStr">
        <is>
          <t>The CONTRACTOR shall provide the Project Management Office, the complete raw data that they receive from all the sources (MOI and non-MOI agencies) that will contribute to making the operational data ready for the OSS911 systems.</t>
        </is>
      </c>
      <c r="G41" s="19" t="n"/>
      <c r="H41" s="20" t="n"/>
      <c r="I41" s="20" t="n"/>
      <c r="J41" s="19" t="n"/>
      <c r="K41" s="21" t="n"/>
      <c r="L41" s="22">
        <f>IF(OR(J41="",K41=""),"",J41*K41)</f>
        <v/>
      </c>
      <c r="M41" s="19" t="n"/>
      <c r="N41" s="20" t="n"/>
      <c r="O41" s="20" t="n"/>
    </row>
    <row r="42">
      <c r="A42" s="16" t="n">
        <v>39</v>
      </c>
      <c r="B42" s="17" t="inlineStr">
        <is>
          <t>1.2.1.36</t>
        </is>
      </c>
      <c r="C42" s="18" t="inlineStr">
        <is>
          <t>Part 1 – General &amp; Programme</t>
        </is>
      </c>
      <c r="D42" s="18" t="inlineStr">
        <is>
          <t>1.2 THE OSS911 PROJECT</t>
        </is>
      </c>
      <c r="E42" s="18" t="inlineStr">
        <is>
          <t>1.2.1 SYNOPSIS OF REQUIREMENTS</t>
        </is>
      </c>
      <c r="F42" s="18" t="inlineStr">
        <is>
          <t>The CONTRACTOR shall provide the on-time delivery of full project data and documentation including consolidated data, detailed layout diagrams, line diagrams, schedules, interfaces and interconnections drawings as required and described in this RFP.</t>
        </is>
      </c>
      <c r="G42" s="19" t="n"/>
      <c r="H42" s="20" t="n"/>
      <c r="I42" s="20" t="n"/>
      <c r="J42" s="19" t="n"/>
      <c r="K42" s="21" t="n"/>
      <c r="L42" s="22">
        <f>IF(OR(J42="",K42=""),"",J42*K42)</f>
        <v/>
      </c>
      <c r="M42" s="19" t="n"/>
      <c r="N42" s="20" t="n"/>
      <c r="O42" s="20" t="n"/>
    </row>
    <row r="43">
      <c r="A43" s="23" t="n">
        <v>40</v>
      </c>
      <c r="B43" s="24" t="inlineStr">
        <is>
          <t>1.2.1.37</t>
        </is>
      </c>
      <c r="C43" s="25" t="inlineStr">
        <is>
          <t>Part 1 – General &amp; Programme</t>
        </is>
      </c>
      <c r="D43" s="25" t="inlineStr">
        <is>
          <t>1.2 THE OSS911 PROJECT</t>
        </is>
      </c>
      <c r="E43" s="25" t="inlineStr">
        <is>
          <t>1.2.1 SYNOPSIS OF REQUIREMENTS</t>
        </is>
      </c>
      <c r="F43" s="25" t="inlineStr">
        <is>
          <t>The CONTRACTOR shall prepare and deliver detailed test and acceptance plans, forms, and procedures for all OSS911 project components within the CONTRACTOR scope of supply.</t>
        </is>
      </c>
      <c r="G43" s="19" t="n"/>
      <c r="H43" s="20" t="n"/>
      <c r="I43" s="20" t="n"/>
      <c r="J43" s="19" t="n"/>
      <c r="K43" s="21" t="n"/>
      <c r="L43" s="22">
        <f>IF(OR(J43="",K43=""),"",J43*K43)</f>
        <v/>
      </c>
      <c r="M43" s="19" t="n"/>
      <c r="N43" s="20" t="n"/>
      <c r="O43" s="20" t="n"/>
    </row>
    <row r="44">
      <c r="A44" s="16" t="n">
        <v>41</v>
      </c>
      <c r="B44" s="17" t="inlineStr">
        <is>
          <t>1.2.1.38</t>
        </is>
      </c>
      <c r="C44" s="18" t="inlineStr">
        <is>
          <t>Part 1 – General &amp; Programme</t>
        </is>
      </c>
      <c r="D44" s="18" t="inlineStr">
        <is>
          <t>1.2 THE OSS911 PROJECT</t>
        </is>
      </c>
      <c r="E44" s="18" t="inlineStr">
        <is>
          <t>1.2.1 SYNOPSIS OF REQUIREMENTS</t>
        </is>
      </c>
      <c r="F44" s="18" t="inlineStr">
        <is>
          <t>The CONTRACTOR shall prepare and deliver all project management requirements including project implementation plan and project master schedule as detailed in the Project Management section of this RFP document.</t>
        </is>
      </c>
      <c r="G44" s="19" t="n"/>
      <c r="H44" s="20" t="n"/>
      <c r="I44" s="20" t="n"/>
      <c r="J44" s="19" t="n"/>
      <c r="K44" s="21" t="n"/>
      <c r="L44" s="22">
        <f>IF(OR(J44="",K44=""),"",J44*K44)</f>
        <v/>
      </c>
      <c r="M44" s="19" t="n"/>
      <c r="N44" s="20" t="n"/>
      <c r="O44" s="20" t="n"/>
    </row>
    <row r="45">
      <c r="A45" s="23" t="n">
        <v>42</v>
      </c>
      <c r="B45" s="24" t="inlineStr">
        <is>
          <t>1.2.1.39</t>
        </is>
      </c>
      <c r="C45" s="25" t="inlineStr">
        <is>
          <t>Part 1 – General &amp; Programme</t>
        </is>
      </c>
      <c r="D45" s="25" t="inlineStr">
        <is>
          <t>1.2 THE OSS911 PROJECT</t>
        </is>
      </c>
      <c r="E45" s="25" t="inlineStr">
        <is>
          <t>1.2.1 SYNOPSIS OF REQUIREMENTS</t>
        </is>
      </c>
      <c r="F45" s="25" t="inlineStr">
        <is>
          <t>The CONTRACTOR shall be available to provide training, maintenance, spare parts procurement and support for the MOI for the useful system life.</t>
        </is>
      </c>
      <c r="G45" s="19" t="n"/>
      <c r="H45" s="20" t="n"/>
      <c r="I45" s="20" t="n"/>
      <c r="J45" s="19" t="n"/>
      <c r="K45" s="21" t="n"/>
      <c r="L45" s="22">
        <f>IF(OR(J45="",K45=""),"",J45*K45)</f>
        <v/>
      </c>
      <c r="M45" s="19" t="n"/>
      <c r="N45" s="20" t="n"/>
      <c r="O45" s="20" t="n"/>
    </row>
    <row r="46">
      <c r="A46" s="16" t="n">
        <v>43</v>
      </c>
      <c r="B46" s="17" t="inlineStr">
        <is>
          <t>1.2.1.40</t>
        </is>
      </c>
      <c r="C46" s="18" t="inlineStr">
        <is>
          <t>Part 1 – General &amp; Programme</t>
        </is>
      </c>
      <c r="D46" s="18" t="inlineStr">
        <is>
          <t>1.2 THE OSS911 PROJECT</t>
        </is>
      </c>
      <c r="E46" s="18" t="inlineStr">
        <is>
          <t>1.2.1 SYNOPSIS OF REQUIREMENTS</t>
        </is>
      </c>
      <c r="F46" s="18" t="inlineStr">
        <is>
          <t>The CONTRACTOR shall deliver solutions such that multiagency co-location and consolidation within the OSS911 Center for the complete OSS911 center province is the desired end state, as per a transition scheme agreed with the MOI.</t>
        </is>
      </c>
      <c r="G46" s="19" t="n"/>
      <c r="H46" s="20" t="n"/>
      <c r="I46" s="20" t="n"/>
      <c r="J46" s="19" t="n"/>
      <c r="K46" s="21" t="n"/>
      <c r="L46" s="22">
        <f>IF(OR(J46="",K46=""),"",J46*K46)</f>
        <v/>
      </c>
      <c r="M46" s="19" t="n"/>
      <c r="N46" s="20" t="n"/>
      <c r="O46" s="20" t="n"/>
    </row>
    <row r="47">
      <c r="A47" s="23" t="n">
        <v>44</v>
      </c>
      <c r="B47" s="24" t="inlineStr">
        <is>
          <t>1.2.2.1</t>
        </is>
      </c>
      <c r="C47" s="25" t="inlineStr">
        <is>
          <t>Part 1 – General &amp; Programme</t>
        </is>
      </c>
      <c r="D47" s="25" t="inlineStr">
        <is>
          <t>1.2 THE OSS911 PROJECT</t>
        </is>
      </c>
      <c r="E47" s="25" t="inlineStr">
        <is>
          <t>1.2.2 OSS911 PROJECT DELIVERY OUTLINE</t>
        </is>
      </c>
      <c r="F47" s="25" t="inlineStr">
        <is>
          <t>The duration of the project is thirty-six months during which the OSS911 solutions implementation will be done for the first six months which will include compliance to the service level agreement for all OSS911 solutions from the first day of live operations of the any agency the OSS911 center.</t>
        </is>
      </c>
      <c r="G47" s="19" t="n"/>
      <c r="H47" s="20" t="n"/>
      <c r="I47" s="20" t="n"/>
      <c r="J47" s="19" t="n"/>
      <c r="K47" s="21" t="n"/>
      <c r="L47" s="22">
        <f>IF(OR(J47="",K47=""),"",J47*K47)</f>
        <v/>
      </c>
      <c r="M47" s="19" t="n"/>
      <c r="N47" s="20" t="n"/>
      <c r="O47" s="20" t="n"/>
    </row>
    <row r="48">
      <c r="A48" s="16" t="n">
        <v>45</v>
      </c>
      <c r="B48" s="17" t="inlineStr">
        <is>
          <t>1.2.2.2</t>
        </is>
      </c>
      <c r="C48" s="18" t="inlineStr">
        <is>
          <t>Part 1 – General &amp; Programme</t>
        </is>
      </c>
      <c r="D48" s="18" t="inlineStr">
        <is>
          <t>1.2 THE OSS911 PROJECT</t>
        </is>
      </c>
      <c r="E48" s="18" t="inlineStr">
        <is>
          <t>1.2.2 OSS911 PROJECT DELIVERY OUTLINE</t>
        </is>
      </c>
      <c r="F48" s="18" t="inlineStr">
        <is>
          <t>The CONTRACTOR shall clearly identify in their proposed schedules the periods within the project duration that shall be used for systems development, training, testing, fit-out, user transition and live operations.</t>
        </is>
      </c>
      <c r="G48" s="19" t="n"/>
      <c r="H48" s="20" t="n"/>
      <c r="I48" s="20" t="n"/>
      <c r="J48" s="19" t="n"/>
      <c r="K48" s="21" t="n"/>
      <c r="L48" s="22">
        <f>IF(OR(J48="",K48=""),"",J48*K48)</f>
        <v/>
      </c>
      <c r="M48" s="19" t="n"/>
      <c r="N48" s="20" t="n"/>
      <c r="O48" s="20" t="n"/>
    </row>
    <row r="49">
      <c r="A49" s="23" t="n">
        <v>46</v>
      </c>
      <c r="B49" s="24" t="inlineStr">
        <is>
          <t>1.3.1.1</t>
        </is>
      </c>
      <c r="C49" s="25" t="inlineStr">
        <is>
          <t>Part 1 – General &amp; Programme</t>
        </is>
      </c>
      <c r="D49" s="25" t="inlineStr">
        <is>
          <t>1.3 CONCEPT OF OPERATIONS (CONOPS)</t>
        </is>
      </c>
      <c r="E49" s="25" t="inlineStr">
        <is>
          <t>1.3.1 OVERVIEW</t>
        </is>
      </c>
      <c r="F49" s="25" t="inlineStr">
        <is>
          <t>The CONTRACTOR shall deliver the OSS911 solutions to comply with the following:</t>
        </is>
      </c>
      <c r="G49" s="19" t="n"/>
      <c r="H49" s="20" t="n"/>
      <c r="I49" s="20" t="n"/>
      <c r="J49" s="19" t="n"/>
      <c r="K49" s="21" t="n"/>
      <c r="L49" s="22">
        <f>IF(OR(J49="",K49=""),"",J49*K49)</f>
        <v/>
      </c>
      <c r="M49" s="19" t="n"/>
      <c r="N49" s="20" t="n"/>
      <c r="O49" s="20" t="n"/>
    </row>
    <row r="50">
      <c r="A50" s="16" t="n">
        <v>47</v>
      </c>
      <c r="B50" s="16" t="inlineStr">
        <is>
          <t>1.3.1.1.1</t>
        </is>
      </c>
      <c r="C50" s="18" t="inlineStr">
        <is>
          <t>Part 1 – General &amp; Programme</t>
        </is>
      </c>
      <c r="D50" s="18" t="inlineStr">
        <is>
          <t>1.3 CONCEPT OF OPERATIONS (CONOPS)</t>
        </is>
      </c>
      <c r="E50" s="18" t="inlineStr">
        <is>
          <t>1.3.1 OVERVIEW</t>
        </is>
      </c>
      <c r="F50" s="18" t="inlineStr">
        <is>
          <t>For all the provinces in scope of the project, the OSS911 solutions, systems, applications stack, technologies, products, technical infrastructure and databases shall be identical for each of the OSS911 solution deployments within the scope of the project.</t>
        </is>
      </c>
      <c r="G50" s="19" t="n"/>
      <c r="H50" s="20" t="n"/>
      <c r="I50" s="20" t="n"/>
      <c r="J50" s="19" t="n"/>
      <c r="K50" s="21" t="n"/>
      <c r="L50" s="22">
        <f>IF(OR(J50="",K50=""),"",J50*K50)</f>
        <v/>
      </c>
      <c r="M50" s="19" t="n"/>
      <c r="N50" s="20" t="n"/>
      <c r="O50" s="20" t="n"/>
    </row>
    <row r="51">
      <c r="A51" s="23" t="n">
        <v>48</v>
      </c>
      <c r="B51" s="23" t="inlineStr">
        <is>
          <t>1.3.1.1.2</t>
        </is>
      </c>
      <c r="C51" s="25" t="inlineStr">
        <is>
          <t>Part 1 – General &amp; Programme</t>
        </is>
      </c>
      <c r="D51" s="25" t="inlineStr">
        <is>
          <t>1.3 CONCEPT OF OPERATIONS (CONOPS)</t>
        </is>
      </c>
      <c r="E51" s="25" t="inlineStr">
        <is>
          <t>1.3.1 OVERVIEW</t>
        </is>
      </c>
      <c r="F51" s="25" t="inlineStr">
        <is>
          <t>Unless permitted by the MOI, all the OSS911 solutions shall utilize a central single database for all their data using a single database technology and product, and shall not have their own individual databases.</t>
        </is>
      </c>
      <c r="G51" s="19" t="n"/>
      <c r="H51" s="20" t="n"/>
      <c r="I51" s="20" t="n"/>
      <c r="J51" s="19" t="n"/>
      <c r="K51" s="21" t="n"/>
      <c r="L51" s="22">
        <f>IF(OR(J51="",K51=""),"",J51*K51)</f>
        <v/>
      </c>
      <c r="M51" s="19" t="n"/>
      <c r="N51" s="20" t="n"/>
      <c r="O51" s="20" t="n"/>
    </row>
    <row r="52">
      <c r="A52" s="16" t="n">
        <v>49</v>
      </c>
      <c r="B52" s="16" t="inlineStr">
        <is>
          <t>1.3.1.1.3</t>
        </is>
      </c>
      <c r="C52" s="18" t="inlineStr">
        <is>
          <t>Part 1 – General &amp; Programme</t>
        </is>
      </c>
      <c r="D52" s="18" t="inlineStr">
        <is>
          <t>1.3 CONCEPT OF OPERATIONS (CONOPS)</t>
        </is>
      </c>
      <c r="E52" s="18" t="inlineStr">
        <is>
          <t>1.3.1 OVERVIEW</t>
        </is>
      </c>
      <c r="F52" s="18" t="inlineStr">
        <is>
          <t>The CONTRACTOR shall ensure that the systems they are delivering as part of their contract are compatible with natively without the use of any middleware or SDKs.</t>
        </is>
      </c>
      <c r="G52" s="19" t="n"/>
      <c r="H52" s="20" t="n"/>
      <c r="I52" s="20" t="n"/>
      <c r="J52" s="19" t="n"/>
      <c r="K52" s="21" t="n"/>
      <c r="L52" s="22">
        <f>IF(OR(J52="",K52=""),"",J52*K52)</f>
        <v/>
      </c>
      <c r="M52" s="19" t="n"/>
      <c r="N52" s="20" t="n"/>
      <c r="O52" s="20" t="n"/>
    </row>
    <row r="53">
      <c r="A53" s="23" t="n">
        <v>50</v>
      </c>
      <c r="B53" s="23" t="inlineStr">
        <is>
          <t>1.3.1.1.4</t>
        </is>
      </c>
      <c r="C53" s="25" t="inlineStr">
        <is>
          <t>Part 1 – General &amp; Programme</t>
        </is>
      </c>
      <c r="D53" s="25" t="inlineStr">
        <is>
          <t>1.3 CONCEPT OF OPERATIONS (CONOPS)</t>
        </is>
      </c>
      <c r="E53" s="25" t="inlineStr">
        <is>
          <t>1.3.1 OVERVIEW</t>
        </is>
      </c>
      <c r="F53" s="25" t="inlineStr">
        <is>
          <t>The CONTRACTOR shall implement the OSS911 systems and solutions such that the operations in the Makkah 911 center have the capability to failover to another MOI 911 center for delivering the following two use-cases: a. For sharing of operational load, as determined by the MOI. b. For disaster recover while ensuring continuity of operations should the Makkah 911 center be affected partially/fully by faults that impact the operations.</t>
        </is>
      </c>
      <c r="G53" s="19" t="n"/>
      <c r="H53" s="20" t="n"/>
      <c r="I53" s="20" t="n"/>
      <c r="J53" s="19" t="n"/>
      <c r="K53" s="21" t="n"/>
      <c r="L53" s="22">
        <f>IF(OR(J53="",K53=""),"",J53*K53)</f>
        <v/>
      </c>
      <c r="M53" s="19" t="n"/>
      <c r="N53" s="20" t="n"/>
      <c r="O53" s="20" t="n"/>
    </row>
    <row r="54">
      <c r="A54" s="16" t="n">
        <v>51</v>
      </c>
      <c r="B54" s="16" t="inlineStr">
        <is>
          <t>1.3.1.1.5</t>
        </is>
      </c>
      <c r="C54" s="18" t="inlineStr">
        <is>
          <t>Part 1 – General &amp; Programme</t>
        </is>
      </c>
      <c r="D54" s="18" t="inlineStr">
        <is>
          <t>1.3 CONCEPT OF OPERATIONS (CONOPS)</t>
        </is>
      </c>
      <c r="E54" s="18" t="inlineStr">
        <is>
          <t>1.3.1 OVERVIEW</t>
        </is>
      </c>
      <c r="F54" s="18" t="inlineStr">
        <is>
          <t>The CONTRACTOR shall implement the OSS911 systems and solutions such that capability is delivered for any authorized operational personnel located in a paired MOI911 center to be able to login to the solutions in Makkah 911 center and handle operations for Makkah 911 center, and vice versa, without compromise in functionality, performance and availability while complying with all functional, performance and availability requirements within the scope of this project.</t>
        </is>
      </c>
      <c r="G54" s="19" t="n"/>
      <c r="H54" s="20" t="n"/>
      <c r="I54" s="20" t="n"/>
      <c r="J54" s="19" t="n"/>
      <c r="K54" s="21" t="n"/>
      <c r="L54" s="22">
        <f>IF(OR(J54="",K54=""),"",J54*K54)</f>
        <v/>
      </c>
      <c r="M54" s="19" t="n"/>
      <c r="N54" s="20" t="n"/>
      <c r="O54" s="20" t="n"/>
    </row>
    <row r="55">
      <c r="A55" s="23" t="n">
        <v>52</v>
      </c>
      <c r="B55" s="23" t="inlineStr">
        <is>
          <t>1.3.1.1.6</t>
        </is>
      </c>
      <c r="C55" s="25" t="inlineStr">
        <is>
          <t>Part 1 – General &amp; Programme</t>
        </is>
      </c>
      <c r="D55" s="25" t="inlineStr">
        <is>
          <t>1.3 CONCEPT OF OPERATIONS (CONOPS)</t>
        </is>
      </c>
      <c r="E55" s="25" t="inlineStr">
        <is>
          <t>1.3.1 OVERVIEW</t>
        </is>
      </c>
      <c r="F55" s="25" t="inlineStr">
        <is>
          <t>The CONTRACTOR shall deliver a Production Environment comprising OSS911 solutions and related technical infrastructure to be hosted the OSS911 center within the scope for the following solutions: Computer Aided Dispatch (CAD) solution as part of the IRMS solution, the IP Telephony and Analog telephony solution, the common operational picture solution, the middleware solution including the enterprise service bus and related integrations and the data warehouse solution, the centralized directory structure and LDAP solution, the cybersecurity solutions, the online and offline backup solution and the management solution.</t>
        </is>
      </c>
      <c r="G55" s="19" t="n"/>
      <c r="H55" s="20" t="n"/>
      <c r="I55" s="20" t="n"/>
      <c r="J55" s="19" t="n"/>
      <c r="K55" s="21" t="n"/>
      <c r="L55" s="22">
        <f>IF(OR(J55="",K55=""),"",J55*K55)</f>
        <v/>
      </c>
      <c r="M55" s="19" t="n"/>
      <c r="N55" s="20" t="n"/>
      <c r="O55" s="20" t="n"/>
    </row>
    <row r="56">
      <c r="A56" s="16" t="n">
        <v>53</v>
      </c>
      <c r="B56" s="16" t="inlineStr">
        <is>
          <t>1.3.1.1.7</t>
        </is>
      </c>
      <c r="C56" s="18" t="inlineStr">
        <is>
          <t>Part 1 – General &amp; Programme</t>
        </is>
      </c>
      <c r="D56" s="18" t="inlineStr">
        <is>
          <t>1.3 CONCEPT OF OPERATIONS (CONOPS)</t>
        </is>
      </c>
      <c r="E56" s="18" t="inlineStr">
        <is>
          <t>1.3.1 OVERVIEW</t>
        </is>
      </c>
      <c r="F56" s="18" t="inlineStr">
        <is>
          <t>The CONTRACTOR shall deliver a centralized training environment solution and related technical infrastructure to be hosted the OSS911 center within the scope for all training requirements for the scope of the project.</t>
        </is>
      </c>
      <c r="G56" s="19" t="n"/>
      <c r="H56" s="20" t="n"/>
      <c r="I56" s="20" t="n"/>
      <c r="J56" s="19" t="n"/>
      <c r="K56" s="21" t="n"/>
      <c r="L56" s="22">
        <f>IF(OR(J56="",K56=""),"",J56*K56)</f>
        <v/>
      </c>
      <c r="M56" s="19" t="n"/>
      <c r="N56" s="20" t="n"/>
      <c r="O56" s="20" t="n"/>
    </row>
    <row r="57">
      <c r="A57" s="23" t="n">
        <v>54</v>
      </c>
      <c r="B57" s="23" t="inlineStr">
        <is>
          <t>1.3.1.1.8</t>
        </is>
      </c>
      <c r="C57" s="25" t="inlineStr">
        <is>
          <t>Part 1 – General &amp; Programme</t>
        </is>
      </c>
      <c r="D57" s="25" t="inlineStr">
        <is>
          <t>1.3 CONCEPT OF OPERATIONS (CONOPS)</t>
        </is>
      </c>
      <c r="E57" s="25" t="inlineStr">
        <is>
          <t>1.3.1 OVERVIEW</t>
        </is>
      </c>
      <c r="F57" s="25" t="inlineStr">
        <is>
          <t>The CONTRACTOR shall deliver a centralized test environment solution and related technical infrastructure to be hosted the OSS911 center.</t>
        </is>
      </c>
      <c r="G57" s="19" t="n"/>
      <c r="H57" s="20" t="n"/>
      <c r="I57" s="20" t="n"/>
      <c r="J57" s="19" t="n"/>
      <c r="K57" s="21" t="n"/>
      <c r="L57" s="22">
        <f>IF(OR(J57="",K57=""),"",J57*K57)</f>
        <v/>
      </c>
      <c r="M57" s="19" t="n"/>
      <c r="N57" s="20" t="n"/>
      <c r="O57" s="20" t="n"/>
    </row>
    <row r="58">
      <c r="A58" s="16" t="n">
        <v>55</v>
      </c>
      <c r="B58" s="16" t="inlineStr">
        <is>
          <t>1.3.1.1.9</t>
        </is>
      </c>
      <c r="C58" s="18" t="inlineStr">
        <is>
          <t>Part 1 – General &amp; Programme</t>
        </is>
      </c>
      <c r="D58" s="18" t="inlineStr">
        <is>
          <t>1.3 CONCEPT OF OPERATIONS (CONOPS)</t>
        </is>
      </c>
      <c r="E58" s="18" t="inlineStr">
        <is>
          <t>1.3.1 OVERVIEW</t>
        </is>
      </c>
      <c r="F58" s="18" t="inlineStr">
        <is>
          <t>Irrespective of the mode of operation, the CONTRACTOR shall dimension their systems as per the dimensioning principle mentioned in this RFP.</t>
        </is>
      </c>
      <c r="G58" s="19" t="n"/>
      <c r="H58" s="20" t="n"/>
      <c r="I58" s="20" t="n"/>
      <c r="J58" s="19" t="n"/>
      <c r="K58" s="21" t="n"/>
      <c r="L58" s="22">
        <f>IF(OR(J58="",K58=""),"",J58*K58)</f>
        <v/>
      </c>
      <c r="M58" s="19" t="n"/>
      <c r="N58" s="20" t="n"/>
      <c r="O58" s="20" t="n"/>
    </row>
    <row r="59">
      <c r="A59" s="23" t="n">
        <v>56</v>
      </c>
      <c r="B59" s="23" t="inlineStr">
        <is>
          <t>1.3.1.1.10</t>
        </is>
      </c>
      <c r="C59" s="25" t="inlineStr">
        <is>
          <t>Part 1 – General &amp; Programme</t>
        </is>
      </c>
      <c r="D59" s="25" t="inlineStr">
        <is>
          <t>1.3 CONCEPT OF OPERATIONS (CONOPS)</t>
        </is>
      </c>
      <c r="E59" s="25" t="inlineStr">
        <is>
          <t>1.3.1 OVERVIEW</t>
        </is>
      </c>
      <c r="F59" s="25" t="inlineStr">
        <is>
          <t>Irrespective of the mode of operations, the CONTRACTOR shall deliver the OSS911 solutions as per the performance, availability and reliability requirements mentioned in this RFP.</t>
        </is>
      </c>
      <c r="G59" s="19" t="n"/>
      <c r="H59" s="20" t="n"/>
      <c r="I59" s="20" t="n"/>
      <c r="J59" s="19" t="n"/>
      <c r="K59" s="21" t="n"/>
      <c r="L59" s="22">
        <f>IF(OR(J59="",K59=""),"",J59*K59)</f>
        <v/>
      </c>
      <c r="M59" s="19" t="n"/>
      <c r="N59" s="20" t="n"/>
      <c r="O59" s="20" t="n"/>
    </row>
    <row r="60">
      <c r="A60" s="16" t="n">
        <v>57</v>
      </c>
      <c r="B60" s="16" t="inlineStr">
        <is>
          <t>1.3.1.1.11</t>
        </is>
      </c>
      <c r="C60" s="18" t="inlineStr">
        <is>
          <t>Part 1 – General &amp; Programme</t>
        </is>
      </c>
      <c r="D60" s="18" t="inlineStr">
        <is>
          <t>1.3 CONCEPT OF OPERATIONS (CONOPS)</t>
        </is>
      </c>
      <c r="E60" s="18" t="inlineStr">
        <is>
          <t>1.3.1 OVERVIEW</t>
        </is>
      </c>
      <c r="F60" s="18" t="inlineStr">
        <is>
          <t>The BIDDER response shall include in their proposal the details for:</t>
        </is>
      </c>
      <c r="G60" s="19" t="n"/>
      <c r="H60" s="20" t="n"/>
      <c r="I60" s="20" t="n"/>
      <c r="J60" s="19" t="n"/>
      <c r="K60" s="21" t="n"/>
      <c r="L60" s="22">
        <f>IF(OR(J60="",K60=""),"",J60*K60)</f>
        <v/>
      </c>
      <c r="M60" s="19" t="n"/>
      <c r="N60" s="20" t="n"/>
      <c r="O60" s="20" t="n"/>
    </row>
    <row r="61">
      <c r="A61" s="23" t="n">
        <v>58</v>
      </c>
      <c r="B61" s="23" t="inlineStr">
        <is>
          <t>1.3.1.1.12</t>
        </is>
      </c>
      <c r="C61" s="25" t="inlineStr">
        <is>
          <t>Part 1 – General &amp; Programme</t>
        </is>
      </c>
      <c r="D61" s="25" t="inlineStr">
        <is>
          <t>1.3 CONCEPT OF OPERATIONS (CONOPS)</t>
        </is>
      </c>
      <c r="E61" s="25" t="inlineStr">
        <is>
          <t>1.3.1 OVERVIEW</t>
        </is>
      </c>
      <c r="F61" s="25" t="inlineStr">
        <is>
          <t>The different fault scenarios for all levels of the workflow – from call reception to incident closure, along with the associated built-in resilience, the associated fallback mechanisms including the proposed procedures for failing over to the fallback centers and the expected recovery times.</t>
        </is>
      </c>
      <c r="G61" s="19" t="n"/>
      <c r="H61" s="20" t="n"/>
      <c r="I61" s="20" t="n"/>
      <c r="J61" s="19" t="n"/>
      <c r="K61" s="21" t="n"/>
      <c r="L61" s="22">
        <f>IF(OR(J61="",K61=""),"",J61*K61)</f>
        <v/>
      </c>
      <c r="M61" s="19" t="n"/>
      <c r="N61" s="20" t="n"/>
      <c r="O61" s="20" t="n"/>
    </row>
    <row r="62">
      <c r="A62" s="16" t="n">
        <v>59</v>
      </c>
      <c r="B62" s="16" t="inlineStr">
        <is>
          <t>1.3.1.1.13</t>
        </is>
      </c>
      <c r="C62" s="18" t="inlineStr">
        <is>
          <t>Part 1 – General &amp; Programme</t>
        </is>
      </c>
      <c r="D62" s="18" t="inlineStr">
        <is>
          <t>1.3 CONCEPT OF OPERATIONS (CONOPS)</t>
        </is>
      </c>
      <c r="E62" s="18" t="inlineStr">
        <is>
          <t>1.3.1 OVERVIEW</t>
        </is>
      </c>
      <c r="F62" s="18" t="inlineStr">
        <is>
          <t>The above scenarios description shall include defined criteria that help to indicate when the OSS911 Center systems availability have degraded to the point it is necessary to move operations elsewhere</t>
        </is>
      </c>
      <c r="G62" s="19" t="n"/>
      <c r="H62" s="20" t="n"/>
      <c r="I62" s="20" t="n"/>
      <c r="J62" s="19" t="n"/>
      <c r="K62" s="21" t="n"/>
      <c r="L62" s="22">
        <f>IF(OR(J62="",K62=""),"",J62*K62)</f>
        <v/>
      </c>
      <c r="M62" s="19" t="n"/>
      <c r="N62" s="20" t="n"/>
      <c r="O62" s="20" t="n"/>
    </row>
    <row r="63">
      <c r="A63" s="23" t="n">
        <v>60</v>
      </c>
      <c r="B63" s="23" t="inlineStr">
        <is>
          <t>1.3.1.1.14</t>
        </is>
      </c>
      <c r="C63" s="25" t="inlineStr">
        <is>
          <t>Part 1 – General &amp; Programme</t>
        </is>
      </c>
      <c r="D63" s="25" t="inlineStr">
        <is>
          <t>1.3 CONCEPT OF OPERATIONS (CONOPS)</t>
        </is>
      </c>
      <c r="E63" s="25" t="inlineStr">
        <is>
          <t>1.3.1 OVERVIEW</t>
        </is>
      </c>
      <c r="F63" s="25" t="inlineStr">
        <is>
          <t>When services have been restored at the failed OSS911 Centre then an orderly return shall be made.</t>
        </is>
      </c>
      <c r="G63" s="19" t="n"/>
      <c r="H63" s="20" t="n"/>
      <c r="I63" s="20" t="n"/>
      <c r="J63" s="19" t="n"/>
      <c r="K63" s="21" t="n"/>
      <c r="L63" s="22">
        <f>IF(OR(J63="",K63=""),"",J63*K63)</f>
        <v/>
      </c>
      <c r="M63" s="19" t="n"/>
      <c r="N63" s="20" t="n"/>
      <c r="O63" s="20" t="n"/>
    </row>
    <row r="64">
      <c r="A64" s="16" t="n">
        <v>61</v>
      </c>
      <c r="B64" s="16" t="inlineStr">
        <is>
          <t>1.3.1.1.15</t>
        </is>
      </c>
      <c r="C64" s="18" t="inlineStr">
        <is>
          <t>Part 1 – General &amp; Programme</t>
        </is>
      </c>
      <c r="D64" s="18" t="inlineStr">
        <is>
          <t>1.3 CONCEPT OF OPERATIONS (CONOPS)</t>
        </is>
      </c>
      <c r="E64" s="18" t="inlineStr">
        <is>
          <t>1.3.1 OVERVIEW</t>
        </is>
      </c>
      <c r="F64" s="18" t="inlineStr">
        <is>
          <t>The BIDDER shall clearly explain the capabilities of their solution with respect to the above modes of OSS911 solutions operations and shall clearly document any associated dependencies for their solutions.</t>
        </is>
      </c>
      <c r="G64" s="19" t="n"/>
      <c r="H64" s="20" t="n"/>
      <c r="I64" s="20" t="n"/>
      <c r="J64" s="19" t="n"/>
      <c r="K64" s="21" t="n"/>
      <c r="L64" s="22">
        <f>IF(OR(J64="",K64=""),"",J64*K64)</f>
        <v/>
      </c>
      <c r="M64" s="19" t="n"/>
      <c r="N64" s="20" t="n"/>
      <c r="O64" s="20" t="n"/>
    </row>
    <row r="65">
      <c r="A65" s="23" t="n">
        <v>62</v>
      </c>
      <c r="B65" s="24" t="inlineStr">
        <is>
          <t>1.3.1.2</t>
        </is>
      </c>
      <c r="C65" s="25" t="inlineStr">
        <is>
          <t>Part 1 – General &amp; Programme</t>
        </is>
      </c>
      <c r="D65" s="25" t="inlineStr">
        <is>
          <t>1.3 CONCEPT OF OPERATIONS (CONOPS)</t>
        </is>
      </c>
      <c r="E65" s="25" t="inlineStr">
        <is>
          <t>1.3.1 OVERVIEW</t>
        </is>
      </c>
      <c r="F65" s="25" t="inlineStr">
        <is>
          <t>The CONTRACTOR delivered OSS911 center operating model shall include handling calls for emergency service and the resulting dispatch of resources and shall deliver multi-agency operations.</t>
        </is>
      </c>
      <c r="G65" s="19" t="n"/>
      <c r="H65" s="20" t="n"/>
      <c r="I65" s="20" t="n"/>
      <c r="J65" s="19" t="n"/>
      <c r="K65" s="21" t="n"/>
      <c r="L65" s="22">
        <f>IF(OR(J65="",K65=""),"",J65*K65)</f>
        <v/>
      </c>
      <c r="M65" s="19" t="n"/>
      <c r="N65" s="20" t="n"/>
      <c r="O65" s="20" t="n"/>
    </row>
    <row r="66">
      <c r="A66" s="16" t="n">
        <v>63</v>
      </c>
      <c r="B66" s="17" t="inlineStr">
        <is>
          <t>1.3.2.1</t>
        </is>
      </c>
      <c r="C66" s="18" t="inlineStr">
        <is>
          <t>Part 1 – General &amp; Programme</t>
        </is>
      </c>
      <c r="D66" s="18" t="inlineStr">
        <is>
          <t>1.3 CONCEPT OF OPERATIONS (CONOPS)</t>
        </is>
      </c>
      <c r="E66" s="18" t="inlineStr">
        <is>
          <t>1.3.2 CONTRACTOR SOLUTION AND SERVICES FOR THE OSS911 CENTER</t>
        </is>
      </c>
      <c r="F66" s="18" t="inlineStr">
        <is>
          <t>The CONTRACTOR shall implement all requirements in this section with the understanding that:</t>
        </is>
      </c>
      <c r="G66" s="19" t="n"/>
      <c r="H66" s="20" t="n"/>
      <c r="I66" s="20" t="n"/>
      <c r="J66" s="19" t="n"/>
      <c r="K66" s="21" t="n"/>
      <c r="L66" s="22">
        <f>IF(OR(J66="",K66=""),"",J66*K66)</f>
        <v/>
      </c>
      <c r="M66" s="19" t="n"/>
      <c r="N66" s="20" t="n"/>
      <c r="O66" s="20" t="n"/>
    </row>
    <row r="67">
      <c r="A67" s="23" t="n">
        <v>64</v>
      </c>
      <c r="B67" s="23" t="inlineStr">
        <is>
          <t>1.3.2.1.1</t>
        </is>
      </c>
      <c r="C67" s="25" t="inlineStr">
        <is>
          <t>Part 1 – General &amp; Programme</t>
        </is>
      </c>
      <c r="D67" s="25" t="inlineStr">
        <is>
          <t>1.3 CONCEPT OF OPERATIONS (CONOPS)</t>
        </is>
      </c>
      <c r="E67" s="25" t="inlineStr">
        <is>
          <t>1.3.2 CONTRACTOR SOLUTION AND SERVICES FOR THE OSS911 CENTER</t>
        </is>
      </c>
      <c r="F67" s="25" t="inlineStr">
        <is>
          <t>Unless otherwise explicitly stated, the phrase “OSS911 center” refers to OSS911 centers in each of the provinces that are included in the scope of this contract.</t>
        </is>
      </c>
      <c r="G67" s="19" t="n"/>
      <c r="H67" s="20" t="n"/>
      <c r="I67" s="20" t="n"/>
      <c r="J67" s="19" t="n"/>
      <c r="K67" s="21" t="n"/>
      <c r="L67" s="22">
        <f>IF(OR(J67="",K67=""),"",J67*K67)</f>
        <v/>
      </c>
      <c r="M67" s="19" t="n"/>
      <c r="N67" s="20" t="n"/>
      <c r="O67" s="20" t="n"/>
    </row>
    <row r="68">
      <c r="A68" s="16" t="n">
        <v>65</v>
      </c>
      <c r="B68" s="16" t="inlineStr">
        <is>
          <t>1.3.2.1.2</t>
        </is>
      </c>
      <c r="C68" s="18" t="inlineStr">
        <is>
          <t>Part 1 – General &amp; Programme</t>
        </is>
      </c>
      <c r="D68" s="18" t="inlineStr">
        <is>
          <t>1.3 CONCEPT OF OPERATIONS (CONOPS)</t>
        </is>
      </c>
      <c r="E68" s="18" t="inlineStr">
        <is>
          <t>1.3.2 CONTRACTOR SOLUTION AND SERVICES FOR THE OSS911 CENTER</t>
        </is>
      </c>
      <c r="F68" s="18" t="inlineStr">
        <is>
          <t>Unless otherwise explicitly stated, the phrases “OSS911 solution” or “OSS911 systems” or “OSS911 subsystems” refer to all the OSS911 systems being delivered by the CONTRACTOR as part of this contract.</t>
        </is>
      </c>
      <c r="G68" s="19" t="n"/>
      <c r="H68" s="20" t="n"/>
      <c r="I68" s="20" t="n"/>
      <c r="J68" s="19" t="n"/>
      <c r="K68" s="21" t="n"/>
      <c r="L68" s="22">
        <f>IF(OR(J68="",K68=""),"",J68*K68)</f>
        <v/>
      </c>
      <c r="M68" s="19" t="n"/>
      <c r="N68" s="20" t="n"/>
      <c r="O68" s="20" t="n"/>
    </row>
    <row r="69">
      <c r="A69" s="23" t="n">
        <v>66</v>
      </c>
      <c r="B69" s="23" t="inlineStr">
        <is>
          <t>1.3.2.1.3</t>
        </is>
      </c>
      <c r="C69" s="25" t="inlineStr">
        <is>
          <t>Part 1 – General &amp; Programme</t>
        </is>
      </c>
      <c r="D69" s="25" t="inlineStr">
        <is>
          <t>1.3 CONCEPT OF OPERATIONS (CONOPS)</t>
        </is>
      </c>
      <c r="E69" s="25" t="inlineStr">
        <is>
          <t>1.3.2 CONTRACTOR SOLUTION AND SERVICES FOR THE OSS911 CENTER</t>
        </is>
      </c>
      <c r="F69" s="25" t="inlineStr">
        <is>
          <t>Unless otherwise explicitly stated, the word “data” in this document includes all types of data including voice, text, video and SMS.</t>
        </is>
      </c>
      <c r="G69" s="19" t="n"/>
      <c r="H69" s="20" t="n"/>
      <c r="I69" s="20" t="n"/>
      <c r="J69" s="19" t="n"/>
      <c r="K69" s="21" t="n"/>
      <c r="L69" s="22">
        <f>IF(OR(J69="",K69=""),"",J69*K69)</f>
        <v/>
      </c>
      <c r="M69" s="19" t="n"/>
      <c r="N69" s="20" t="n"/>
      <c r="O69" s="20" t="n"/>
    </row>
    <row r="70">
      <c r="A70" s="16" t="n">
        <v>67</v>
      </c>
      <c r="B70" s="17" t="inlineStr">
        <is>
          <t>1.3.2.2</t>
        </is>
      </c>
      <c r="C70" s="18" t="inlineStr">
        <is>
          <t>Part 1 – General &amp; Programme</t>
        </is>
      </c>
      <c r="D70" s="18" t="inlineStr">
        <is>
          <t>1.3 CONCEPT OF OPERATIONS (CONOPS)</t>
        </is>
      </c>
      <c r="E70" s="18" t="inlineStr">
        <is>
          <t>1.3.2 CONTRACTOR SOLUTION AND SERVICES FOR THE OSS911 CENTER</t>
        </is>
      </c>
      <c r="F70" s="18" t="inlineStr">
        <is>
          <t>The CONTRACTOR shall deliver a solution that complies with the CONOPS described for the OSS911 in this section.</t>
        </is>
      </c>
      <c r="G70" s="19" t="n"/>
      <c r="H70" s="20" t="n"/>
      <c r="I70" s="20" t="n"/>
      <c r="J70" s="19" t="n"/>
      <c r="K70" s="21" t="n"/>
      <c r="L70" s="22">
        <f>IF(OR(J70="",K70=""),"",J70*K70)</f>
        <v/>
      </c>
      <c r="M70" s="19" t="n"/>
      <c r="N70" s="20" t="n"/>
      <c r="O70" s="20" t="n"/>
    </row>
    <row r="71">
      <c r="A71" s="23" t="n">
        <v>68</v>
      </c>
      <c r="B71" s="24" t="inlineStr">
        <is>
          <t>1.3.2.3</t>
        </is>
      </c>
      <c r="C71" s="25" t="inlineStr">
        <is>
          <t>Part 1 – General &amp; Programme</t>
        </is>
      </c>
      <c r="D71" s="25" t="inlineStr">
        <is>
          <t>1.3 CONCEPT OF OPERATIONS (CONOPS)</t>
        </is>
      </c>
      <c r="E71" s="25" t="inlineStr">
        <is>
          <t>1.3.2 CONTRACTOR SOLUTION AND SERVICES FOR THE OSS911 CENTER</t>
        </is>
      </c>
      <c r="F71" s="25" t="inlineStr">
        <is>
          <t>The CONTRACTOR shall conduct due diligence, data and information gathering workshops for business and stakeholder analysis for all OSS911 subsystems.</t>
        </is>
      </c>
      <c r="G71" s="19" t="n"/>
      <c r="H71" s="20" t="n"/>
      <c r="I71" s="20" t="n"/>
      <c r="J71" s="19" t="n"/>
      <c r="K71" s="21" t="n"/>
      <c r="L71" s="22">
        <f>IF(OR(J71="",K71=""),"",J71*K71)</f>
        <v/>
      </c>
      <c r="M71" s="19" t="n"/>
      <c r="N71" s="20" t="n"/>
      <c r="O71" s="20" t="n"/>
    </row>
    <row r="72">
      <c r="A72" s="16" t="n">
        <v>69</v>
      </c>
      <c r="B72" s="17" t="inlineStr">
        <is>
          <t>1.3.2.4</t>
        </is>
      </c>
      <c r="C72" s="18" t="inlineStr">
        <is>
          <t>Part 1 – General &amp; Programme</t>
        </is>
      </c>
      <c r="D72" s="18" t="inlineStr">
        <is>
          <t>1.3 CONCEPT OF OPERATIONS (CONOPS)</t>
        </is>
      </c>
      <c r="E72" s="18" t="inlineStr">
        <is>
          <t>1.3.2 CONTRACTOR SOLUTION AND SERVICES FOR THE OSS911 CENTER</t>
        </is>
      </c>
      <c r="F72" s="18" t="inlineStr">
        <is>
          <t>The CONTRACTOR shall provide a dedicated business analyst covering each operational domain of the OSS911 subsystems for their respective workshops with the MOI identified agencies for all OSS911 subsystems.</t>
        </is>
      </c>
      <c r="G72" s="19" t="n"/>
      <c r="H72" s="20" t="n"/>
      <c r="I72" s="20" t="n"/>
      <c r="J72" s="19" t="n"/>
      <c r="K72" s="21" t="n"/>
      <c r="L72" s="22">
        <f>IF(OR(J72="",K72=""),"",J72*K72)</f>
        <v/>
      </c>
      <c r="M72" s="19" t="n"/>
      <c r="N72" s="20" t="n"/>
      <c r="O72" s="20" t="n"/>
    </row>
    <row r="73">
      <c r="A73" s="23" t="n">
        <v>70</v>
      </c>
      <c r="B73" s="24" t="inlineStr">
        <is>
          <t>1.3.2.5</t>
        </is>
      </c>
      <c r="C73" s="25" t="inlineStr">
        <is>
          <t>Part 1 – General &amp; Programme</t>
        </is>
      </c>
      <c r="D73" s="25" t="inlineStr">
        <is>
          <t>1.3 CONCEPT OF OPERATIONS (CONOPS)</t>
        </is>
      </c>
      <c r="E73" s="25" t="inlineStr">
        <is>
          <t>1.3.2 CONTRACTOR SOLUTION AND SERVICES FOR THE OSS911 CENTER</t>
        </is>
      </c>
      <c r="F73" s="25" t="inlineStr">
        <is>
          <t>Following each workshop, the CONTRACTOR shall deliver to MOI a report on the workshop outcome including detailed minutes of the workshop, attendance in the workshop, actions resulting from the workshop and an analysis report on each workshop.</t>
        </is>
      </c>
      <c r="G73" s="19" t="n"/>
      <c r="H73" s="20" t="n"/>
      <c r="I73" s="20" t="n"/>
      <c r="J73" s="19" t="n"/>
      <c r="K73" s="21" t="n"/>
      <c r="L73" s="22">
        <f>IF(OR(J73="",K73=""),"",J73*K73)</f>
        <v/>
      </c>
      <c r="M73" s="19" t="n"/>
      <c r="N73" s="20" t="n"/>
      <c r="O73" s="20" t="n"/>
    </row>
    <row r="74">
      <c r="A74" s="16" t="n">
        <v>71</v>
      </c>
      <c r="B74" s="17" t="inlineStr">
        <is>
          <t>1.3.2.6</t>
        </is>
      </c>
      <c r="C74" s="18" t="inlineStr">
        <is>
          <t>Part 1 – General &amp; Programme</t>
        </is>
      </c>
      <c r="D74" s="18" t="inlineStr">
        <is>
          <t>1.3 CONCEPT OF OPERATIONS (CONOPS)</t>
        </is>
      </c>
      <c r="E74" s="18" t="inlineStr">
        <is>
          <t>1.3.2 CONTRACTOR SOLUTION AND SERVICES FOR THE OSS911 CENTER</t>
        </is>
      </c>
      <c r="F74" s="18" t="inlineStr">
        <is>
          <t>The CONTRACTOR shall deliver the OSS911 systems such that the availability of Artificial Intelligence (AI) augmented capabilities and electronically stored data relating to call taking and incident response, coupled with documented processes and procedures, shall enable performance monitoring and improvement which in turn shall lead to improved time to answer and resource utilization.</t>
        </is>
      </c>
      <c r="G74" s="19" t="n"/>
      <c r="H74" s="20" t="n"/>
      <c r="I74" s="20" t="n"/>
      <c r="J74" s="19" t="n"/>
      <c r="K74" s="21" t="n"/>
      <c r="L74" s="22">
        <f>IF(OR(J74="",K74=""),"",J74*K74)</f>
        <v/>
      </c>
      <c r="M74" s="19" t="n"/>
      <c r="N74" s="20" t="n"/>
      <c r="O74" s="20" t="n"/>
    </row>
    <row r="75">
      <c r="A75" s="23" t="n">
        <v>72</v>
      </c>
      <c r="B75" s="24" t="inlineStr">
        <is>
          <t>1.3.2.7</t>
        </is>
      </c>
      <c r="C75" s="25" t="inlineStr">
        <is>
          <t>Part 1 – General &amp; Programme</t>
        </is>
      </c>
      <c r="D75" s="25" t="inlineStr">
        <is>
          <t>1.3 CONCEPT OF OPERATIONS (CONOPS)</t>
        </is>
      </c>
      <c r="E75" s="25" t="inlineStr">
        <is>
          <t>1.3.2 CONTRACTOR SOLUTION AND SERVICES FOR THE OSS911 CENTER</t>
        </is>
      </c>
      <c r="F75" s="25" t="inlineStr">
        <is>
          <t>The OSS911 solution delivered by the CONTRACTOR shall include ability to baseline the response to calls and incidents so that quantifiable measures can be defined to improve the service through better resource management or use of technology and AI capabilities.</t>
        </is>
      </c>
      <c r="G75" s="19" t="n"/>
      <c r="H75" s="20" t="n"/>
      <c r="I75" s="20" t="n"/>
      <c r="J75" s="19" t="n"/>
      <c r="K75" s="21" t="n"/>
      <c r="L75" s="22">
        <f>IF(OR(J75="",K75=""),"",J75*K75)</f>
        <v/>
      </c>
      <c r="M75" s="19" t="n"/>
      <c r="N75" s="20" t="n"/>
      <c r="O75" s="20" t="n"/>
    </row>
    <row r="76">
      <c r="A76" s="16" t="n">
        <v>73</v>
      </c>
      <c r="B76" s="17" t="inlineStr">
        <is>
          <t>1.3.2.8</t>
        </is>
      </c>
      <c r="C76" s="18" t="inlineStr">
        <is>
          <t>Part 1 – General &amp; Programme</t>
        </is>
      </c>
      <c r="D76" s="18" t="inlineStr">
        <is>
          <t>1.3 CONCEPT OF OPERATIONS (CONOPS)</t>
        </is>
      </c>
      <c r="E76" s="18" t="inlineStr">
        <is>
          <t>1.3.2 CONTRACTOR SOLUTION AND SERVICES FOR THE OSS911 CENTER</t>
        </is>
      </c>
      <c r="F76" s="18" t="inlineStr">
        <is>
          <t>The OSS911 solutions delivered by the CONTRACTOR shall include use of AI capabilities across all the solutions to enable the collection of a rich source of historical data, to provide immediate access to standard operating procedures and to prompt operators to provide a consistent high-quality response.</t>
        </is>
      </c>
      <c r="G76" s="19" t="n"/>
      <c r="H76" s="20" t="n"/>
      <c r="I76" s="20" t="n"/>
      <c r="J76" s="19" t="n"/>
      <c r="K76" s="21" t="n"/>
      <c r="L76" s="22">
        <f>IF(OR(J76="",K76=""),"",J76*K76)</f>
        <v/>
      </c>
      <c r="M76" s="19" t="n"/>
      <c r="N76" s="20" t="n"/>
      <c r="O76" s="20" t="n"/>
    </row>
    <row r="77">
      <c r="A77" s="23" t="n">
        <v>74</v>
      </c>
      <c r="B77" s="24" t="inlineStr">
        <is>
          <t>1.3.2.9</t>
        </is>
      </c>
      <c r="C77" s="25" t="inlineStr">
        <is>
          <t>Part 1 – General &amp; Programme</t>
        </is>
      </c>
      <c r="D77" s="25" t="inlineStr">
        <is>
          <t>1.3 CONCEPT OF OPERATIONS (CONOPS)</t>
        </is>
      </c>
      <c r="E77" s="25" t="inlineStr">
        <is>
          <t>1.3.2 CONTRACTOR SOLUTION AND SERVICES FOR THE OSS911 CENTER</t>
        </is>
      </c>
      <c r="F77" s="25" t="inlineStr">
        <is>
          <t>The OSS911 solutions delivered by the CONTRACTOR shall include AI-augmented geographic representation of data integrated with new and existing systems.</t>
        </is>
      </c>
      <c r="G77" s="19" t="n"/>
      <c r="H77" s="20" t="n"/>
      <c r="I77" s="20" t="n"/>
      <c r="J77" s="19" t="n"/>
      <c r="K77" s="21" t="n"/>
      <c r="L77" s="22">
        <f>IF(OR(J77="",K77=""),"",J77*K77)</f>
        <v/>
      </c>
      <c r="M77" s="19" t="n"/>
      <c r="N77" s="20" t="n"/>
      <c r="O77" s="20" t="n"/>
    </row>
    <row r="78">
      <c r="A78" s="16" t="n">
        <v>75</v>
      </c>
      <c r="B78" s="17" t="inlineStr">
        <is>
          <t>1.3.2.10</t>
        </is>
      </c>
      <c r="C78" s="18" t="inlineStr">
        <is>
          <t>Part 1 – General &amp; Programme</t>
        </is>
      </c>
      <c r="D78" s="18" t="inlineStr">
        <is>
          <t>1.3 CONCEPT OF OPERATIONS (CONOPS)</t>
        </is>
      </c>
      <c r="E78" s="18" t="inlineStr">
        <is>
          <t>1.3.2 CONTRACTOR SOLUTION AND SERVICES FOR THE OSS911 CENTER</t>
        </is>
      </c>
      <c r="F78" s="18" t="inlineStr">
        <is>
          <t>The OSS911 solutions delivered by the CONTRACTOR shall align with the concept of operations developed by the MOI, and with the international standards like NIMS, ISO 22320 as applicable.</t>
        </is>
      </c>
      <c r="G78" s="19" t="n"/>
      <c r="H78" s="20" t="n"/>
      <c r="I78" s="20" t="n"/>
      <c r="J78" s="19" t="n"/>
      <c r="K78" s="21" t="n"/>
      <c r="L78" s="22">
        <f>IF(OR(J78="",K78=""),"",J78*K78)</f>
        <v/>
      </c>
      <c r="M78" s="19" t="n"/>
      <c r="N78" s="20" t="n"/>
      <c r="O78" s="20" t="n"/>
    </row>
    <row r="79">
      <c r="A79" s="23" t="n">
        <v>76</v>
      </c>
      <c r="B79" s="24" t="inlineStr">
        <is>
          <t>1.3.2.11</t>
        </is>
      </c>
      <c r="C79" s="25" t="inlineStr">
        <is>
          <t>Part 1 – General &amp; Programme</t>
        </is>
      </c>
      <c r="D79" s="25" t="inlineStr">
        <is>
          <t>1.3 CONCEPT OF OPERATIONS (CONOPS)</t>
        </is>
      </c>
      <c r="E79" s="25" t="inlineStr">
        <is>
          <t>1.3.2 CONTRACTOR SOLUTION AND SERVICES FOR THE OSS911 CENTER</t>
        </is>
      </c>
      <c r="F79" s="25" t="inlineStr">
        <is>
          <t>The OSS911 solution delivered by the CONTRACTOR shall deliver the following capabilities:</t>
        </is>
      </c>
      <c r="G79" s="19" t="n"/>
      <c r="H79" s="20" t="n"/>
      <c r="I79" s="20" t="n"/>
      <c r="J79" s="19" t="n"/>
      <c r="K79" s="21" t="n"/>
      <c r="L79" s="22">
        <f>IF(OR(J79="",K79=""),"",J79*K79)</f>
        <v/>
      </c>
      <c r="M79" s="19" t="n"/>
      <c r="N79" s="20" t="n"/>
      <c r="O79" s="20" t="n"/>
    </row>
    <row r="80">
      <c r="A80" s="16" t="n">
        <v>77</v>
      </c>
      <c r="B80" s="16" t="inlineStr">
        <is>
          <t>1.3.2.11.1</t>
        </is>
      </c>
      <c r="C80" s="18" t="inlineStr">
        <is>
          <t>Part 1 – General &amp; Programme</t>
        </is>
      </c>
      <c r="D80" s="18" t="inlineStr">
        <is>
          <t>1.3 CONCEPT OF OPERATIONS (CONOPS)</t>
        </is>
      </c>
      <c r="E80" s="18" t="inlineStr">
        <is>
          <t>1.3.2 CONTRACTOR SOLUTION AND SERVICES FOR THE OSS911 CENTER</t>
        </is>
      </c>
      <c r="F80" s="18" t="inlineStr">
        <is>
          <t>Call Taking – AI-enabled handling emergency and non- emergency demands.</t>
        </is>
      </c>
      <c r="G80" s="19" t="n"/>
      <c r="H80" s="20" t="n"/>
      <c r="I80" s="20" t="n"/>
      <c r="J80" s="19" t="n"/>
      <c r="K80" s="21" t="n"/>
      <c r="L80" s="22">
        <f>IF(OR(J80="",K80=""),"",J80*K80)</f>
        <v/>
      </c>
      <c r="M80" s="19" t="n"/>
      <c r="N80" s="20" t="n"/>
      <c r="O80" s="20" t="n"/>
    </row>
    <row r="81">
      <c r="A81" s="23" t="n">
        <v>78</v>
      </c>
      <c r="B81" s="23" t="inlineStr">
        <is>
          <t>1.3.2.11.2</t>
        </is>
      </c>
      <c r="C81" s="25" t="inlineStr">
        <is>
          <t>Part 1 – General &amp; Programme</t>
        </is>
      </c>
      <c r="D81" s="25" t="inlineStr">
        <is>
          <t>1.3 CONCEPT OF OPERATIONS (CONOPS)</t>
        </is>
      </c>
      <c r="E81" s="25" t="inlineStr">
        <is>
          <t>1.3.2 CONTRACTOR SOLUTION AND SERVICES FOR THE OSS911 CENTER</t>
        </is>
      </c>
      <c r="F81" s="25" t="inlineStr">
        <is>
          <t>Dispatching – AI-assisted handling demands requiring dispatch to the field resources.</t>
        </is>
      </c>
      <c r="G81" s="19" t="n"/>
      <c r="H81" s="20" t="n"/>
      <c r="I81" s="20" t="n"/>
      <c r="J81" s="19" t="n"/>
      <c r="K81" s="21" t="n"/>
      <c r="L81" s="22">
        <f>IF(OR(J81="",K81=""),"",J81*K81)</f>
        <v/>
      </c>
      <c r="M81" s="19" t="n"/>
      <c r="N81" s="20" t="n"/>
      <c r="O81" s="20" t="n"/>
    </row>
    <row r="82">
      <c r="A82" s="16" t="n">
        <v>79</v>
      </c>
      <c r="B82" s="16" t="inlineStr">
        <is>
          <t>1.3.2.11.3</t>
        </is>
      </c>
      <c r="C82" s="18" t="inlineStr">
        <is>
          <t>Part 1 – General &amp; Programme</t>
        </is>
      </c>
      <c r="D82" s="18" t="inlineStr">
        <is>
          <t>1.3 CONCEPT OF OPERATIONS (CONOPS)</t>
        </is>
      </c>
      <c r="E82" s="18" t="inlineStr">
        <is>
          <t>1.3.2 CONTRACTOR SOLUTION AND SERVICES FOR THE OSS911 CENTER</t>
        </is>
      </c>
      <c r="F82" s="18" t="inlineStr">
        <is>
          <t>Supervision – AI-enabled supervising the handling and coordination of any demand.</t>
        </is>
      </c>
      <c r="G82" s="19" t="n"/>
      <c r="H82" s="20" t="n"/>
      <c r="I82" s="20" t="n"/>
      <c r="J82" s="19" t="n"/>
      <c r="K82" s="21" t="n"/>
      <c r="L82" s="22">
        <f>IF(OR(J82="",K82=""),"",J82*K82)</f>
        <v/>
      </c>
      <c r="M82" s="19" t="n"/>
      <c r="N82" s="20" t="n"/>
      <c r="O82" s="20" t="n"/>
    </row>
    <row r="83">
      <c r="A83" s="23" t="n">
        <v>80</v>
      </c>
      <c r="B83" s="23" t="inlineStr">
        <is>
          <t>1.3.2.11.4</t>
        </is>
      </c>
      <c r="C83" s="25" t="inlineStr">
        <is>
          <t>Part 1 – General &amp; Programme</t>
        </is>
      </c>
      <c r="D83" s="25" t="inlineStr">
        <is>
          <t>1.3 CONCEPT OF OPERATIONS (CONOPS)</t>
        </is>
      </c>
      <c r="E83" s="25" t="inlineStr">
        <is>
          <t>1.3.2 CONTRACTOR SOLUTION AND SERVICES FOR THE OSS911 CENTER</t>
        </is>
      </c>
      <c r="F83" s="25" t="inlineStr">
        <is>
          <t>Quality function – AI-assisted monitoring and management of the operational metrics, KPIs and reports.</t>
        </is>
      </c>
      <c r="G83" s="19" t="n"/>
      <c r="H83" s="20" t="n"/>
      <c r="I83" s="20" t="n"/>
      <c r="J83" s="19" t="n"/>
      <c r="K83" s="21" t="n"/>
      <c r="L83" s="22">
        <f>IF(OR(J83="",K83=""),"",J83*K83)</f>
        <v/>
      </c>
      <c r="M83" s="19" t="n"/>
      <c r="N83" s="20" t="n"/>
      <c r="O83" s="20" t="n"/>
    </row>
    <row r="84">
      <c r="A84" s="16" t="n">
        <v>81</v>
      </c>
      <c r="B84" s="16" t="inlineStr">
        <is>
          <t>1.3.2.11.5</t>
        </is>
      </c>
      <c r="C84" s="18" t="inlineStr">
        <is>
          <t>Part 1 – General &amp; Programme</t>
        </is>
      </c>
      <c r="D84" s="18" t="inlineStr">
        <is>
          <t>1.3 CONCEPT OF OPERATIONS (CONOPS)</t>
        </is>
      </c>
      <c r="E84" s="18" t="inlineStr">
        <is>
          <t>1.3.2 CONTRACTOR SOLUTION AND SERVICES FOR THE OSS911 CENTER</t>
        </is>
      </c>
      <c r="F84" s="18" t="inlineStr">
        <is>
          <t>Joint Operations and Crisis Management - providing a solution that enables dedicated command and control actions in response to planned or spontaneous large-scale incidents.</t>
        </is>
      </c>
      <c r="G84" s="19" t="n"/>
      <c r="H84" s="20" t="n"/>
      <c r="I84" s="20" t="n"/>
      <c r="J84" s="19" t="n"/>
      <c r="K84" s="21" t="n"/>
      <c r="L84" s="22">
        <f>IF(OR(J84="",K84=""),"",J84*K84)</f>
        <v/>
      </c>
      <c r="M84" s="19" t="n"/>
      <c r="N84" s="20" t="n"/>
      <c r="O84" s="20" t="n"/>
    </row>
    <row r="85">
      <c r="A85" s="23" t="n">
        <v>82</v>
      </c>
      <c r="B85" s="23" t="inlineStr">
        <is>
          <t>1.3.2.11.6</t>
        </is>
      </c>
      <c r="C85" s="25" t="inlineStr">
        <is>
          <t>Part 1 – General &amp; Programme</t>
        </is>
      </c>
      <c r="D85" s="25" t="inlineStr">
        <is>
          <t>1.3 CONCEPT OF OPERATIONS (CONOPS)</t>
        </is>
      </c>
      <c r="E85" s="25" t="inlineStr">
        <is>
          <t>1.3.2 CONTRACTOR SOLUTION AND SERVICES FOR THE OSS911 CENTER</t>
        </is>
      </c>
      <c r="F85" s="25" t="inlineStr">
        <is>
          <t>Integration of solutions delivering all the above capabilities.</t>
        </is>
      </c>
      <c r="G85" s="19" t="n"/>
      <c r="H85" s="20" t="n"/>
      <c r="I85" s="20" t="n"/>
      <c r="J85" s="19" t="n"/>
      <c r="K85" s="21" t="n"/>
      <c r="L85" s="22">
        <f>IF(OR(J85="",K85=""),"",J85*K85)</f>
        <v/>
      </c>
      <c r="M85" s="19" t="n"/>
      <c r="N85" s="20" t="n"/>
      <c r="O85" s="20" t="n"/>
    </row>
    <row r="86">
      <c r="A86" s="16" t="n">
        <v>83</v>
      </c>
      <c r="B86" s="17" t="inlineStr">
        <is>
          <t>1.3.2.12</t>
        </is>
      </c>
      <c r="C86" s="18" t="inlineStr">
        <is>
          <t>Part 1 – General &amp; Programme</t>
        </is>
      </c>
      <c r="D86" s="18" t="inlineStr">
        <is>
          <t>1.3 CONCEPT OF OPERATIONS (CONOPS)</t>
        </is>
      </c>
      <c r="E86" s="18" t="inlineStr">
        <is>
          <t>1.3.2 CONTRACTOR SOLUTION AND SERVICES FOR THE OSS911 CENTER</t>
        </is>
      </c>
      <c r="F86" s="18" t="inlineStr">
        <is>
          <t>The following operational activities shall be delivered by the CONTRACTOR that shall support the delivery of the above capabilities using AI capabilities:</t>
        </is>
      </c>
      <c r="G86" s="19" t="n"/>
      <c r="H86" s="20" t="n"/>
      <c r="I86" s="20" t="n"/>
      <c r="J86" s="19" t="n"/>
      <c r="K86" s="21" t="n"/>
      <c r="L86" s="22">
        <f>IF(OR(J86="",K86=""),"",J86*K86)</f>
        <v/>
      </c>
      <c r="M86" s="19" t="n"/>
      <c r="N86" s="20" t="n"/>
      <c r="O86" s="20" t="n"/>
    </row>
    <row r="87">
      <c r="A87" s="23" t="n">
        <v>84</v>
      </c>
      <c r="B87" s="23" t="inlineStr">
        <is>
          <t>1.3.2.12.1</t>
        </is>
      </c>
      <c r="C87" s="25" t="inlineStr">
        <is>
          <t>Part 1 – General &amp; Programme</t>
        </is>
      </c>
      <c r="D87" s="25" t="inlineStr">
        <is>
          <t>1.3 CONCEPT OF OPERATIONS (CONOPS)</t>
        </is>
      </c>
      <c r="E87" s="25" t="inlineStr">
        <is>
          <t>1.3.2 CONTRACTOR SOLUTION AND SERVICES FOR THE OSS911 CENTER</t>
        </is>
      </c>
      <c r="F87" s="25" t="inlineStr">
        <is>
          <t>Receiving, entering, and processing of all received calls.</t>
        </is>
      </c>
      <c r="G87" s="19" t="n"/>
      <c r="H87" s="20" t="n"/>
      <c r="I87" s="20" t="n"/>
      <c r="J87" s="19" t="n"/>
      <c r="K87" s="21" t="n"/>
      <c r="L87" s="22">
        <f>IF(OR(J87="",K87=""),"",J87*K87)</f>
        <v/>
      </c>
      <c r="M87" s="19" t="n"/>
      <c r="N87" s="20" t="n"/>
      <c r="O87" s="20" t="n"/>
    </row>
    <row r="88">
      <c r="A88" s="16" t="n">
        <v>85</v>
      </c>
      <c r="B88" s="16" t="inlineStr">
        <is>
          <t>1.3.2.12.2</t>
        </is>
      </c>
      <c r="C88" s="18" t="inlineStr">
        <is>
          <t>Part 1 – General &amp; Programme</t>
        </is>
      </c>
      <c r="D88" s="18" t="inlineStr">
        <is>
          <t>1.3 CONCEPT OF OPERATIONS (CONOPS)</t>
        </is>
      </c>
      <c r="E88" s="18" t="inlineStr">
        <is>
          <t>1.3.2 CONTRACTOR SOLUTION AND SERVICES FOR THE OSS911 CENTER</t>
        </is>
      </c>
      <c r="F88" s="18" t="inlineStr">
        <is>
          <t>Referring calls or incidents which are not managed by the center to the appropriate agency.</t>
        </is>
      </c>
      <c r="G88" s="19" t="n"/>
      <c r="H88" s="20" t="n"/>
      <c r="I88" s="20" t="n"/>
      <c r="J88" s="19" t="n"/>
      <c r="K88" s="21" t="n"/>
      <c r="L88" s="22">
        <f>IF(OR(J88="",K88=""),"",J88*K88)</f>
        <v/>
      </c>
      <c r="M88" s="19" t="n"/>
      <c r="N88" s="20" t="n"/>
      <c r="O88" s="20" t="n"/>
    </row>
    <row r="89">
      <c r="A89" s="23" t="n">
        <v>86</v>
      </c>
      <c r="B89" s="23" t="inlineStr">
        <is>
          <t>1.3.2.12.3</t>
        </is>
      </c>
      <c r="C89" s="25" t="inlineStr">
        <is>
          <t>Part 1 – General &amp; Programme</t>
        </is>
      </c>
      <c r="D89" s="25" t="inlineStr">
        <is>
          <t>1.3 CONCEPT OF OPERATIONS (CONOPS)</t>
        </is>
      </c>
      <c r="E89" s="25" t="inlineStr">
        <is>
          <t>1.3.2 CONTRACTOR SOLUTION AND SERVICES FOR THE OSS911 CENTER</t>
        </is>
      </c>
      <c r="F89" s="25" t="inlineStr">
        <is>
          <t>Transcription of voice calls to text that is displayed simultaneously in real-time to the operators while the voice conversation is ongoing.</t>
        </is>
      </c>
      <c r="G89" s="19" t="n"/>
      <c r="H89" s="20" t="n"/>
      <c r="I89" s="20" t="n"/>
      <c r="J89" s="19" t="n"/>
      <c r="K89" s="21" t="n"/>
      <c r="L89" s="22">
        <f>IF(OR(J89="",K89=""),"",J89*K89)</f>
        <v/>
      </c>
      <c r="M89" s="19" t="n"/>
      <c r="N89" s="20" t="n"/>
      <c r="O89" s="20" t="n"/>
    </row>
    <row r="90">
      <c r="A90" s="16" t="n">
        <v>87</v>
      </c>
      <c r="B90" s="16" t="inlineStr">
        <is>
          <t>1.3.2.12.4</t>
        </is>
      </c>
      <c r="C90" s="18" t="inlineStr">
        <is>
          <t>Part 1 – General &amp; Programme</t>
        </is>
      </c>
      <c r="D90" s="18" t="inlineStr">
        <is>
          <t>1.3 CONCEPT OF OPERATIONS (CONOPS)</t>
        </is>
      </c>
      <c r="E90" s="18" t="inlineStr">
        <is>
          <t>1.3.2 CONTRACTOR SOLUTION AND SERVICES FOR THE OSS911 CENTER</t>
        </is>
      </c>
      <c r="F90" s="18" t="inlineStr">
        <is>
          <t>Storing and retention of all voice calls and related transcriptions with the transcriptions being captured in the associated event records, and are searchable.</t>
        </is>
      </c>
      <c r="G90" s="19" t="n"/>
      <c r="H90" s="20" t="n"/>
      <c r="I90" s="20" t="n"/>
      <c r="J90" s="19" t="n"/>
      <c r="K90" s="21" t="n"/>
      <c r="L90" s="22">
        <f>IF(OR(J90="",K90=""),"",J90*K90)</f>
        <v/>
      </c>
      <c r="M90" s="19" t="n"/>
      <c r="N90" s="20" t="n"/>
      <c r="O90" s="20" t="n"/>
    </row>
    <row r="91">
      <c r="A91" s="23" t="n">
        <v>88</v>
      </c>
      <c r="B91" s="23" t="inlineStr">
        <is>
          <t>1.3.2.12.5</t>
        </is>
      </c>
      <c r="C91" s="25" t="inlineStr">
        <is>
          <t>Part 1 – General &amp; Programme</t>
        </is>
      </c>
      <c r="D91" s="25" t="inlineStr">
        <is>
          <t>1.3 CONCEPT OF OPERATIONS (CONOPS)</t>
        </is>
      </c>
      <c r="E91" s="25" t="inlineStr">
        <is>
          <t>1.3.2 CONTRACTOR SOLUTION AND SERVICES FOR THE OSS911 CENTER</t>
        </is>
      </c>
      <c r="F91" s="25" t="inlineStr">
        <is>
          <t>Identifying duplicate requests based on location, telephone number, or name of caller and to visual and audibly alert operator and supervisors of occurrence. Identification of the duplicate requests based on location, telephone number and semantics is required to be done automatically while the querying of the name is done through the interfaces to MOI-authorized databases. The system shall suggest to the operator confidence scores for the system judgement of duplicates or linked incidents.</t>
        </is>
      </c>
      <c r="G91" s="19" t="n"/>
      <c r="H91" s="20" t="n"/>
      <c r="I91" s="20" t="n"/>
      <c r="J91" s="19" t="n"/>
      <c r="K91" s="21" t="n"/>
      <c r="L91" s="22">
        <f>IF(OR(J91="",K91=""),"",J91*K91)</f>
        <v/>
      </c>
      <c r="M91" s="19" t="n"/>
      <c r="N91" s="20" t="n"/>
      <c r="O91" s="20" t="n"/>
    </row>
    <row r="92">
      <c r="A92" s="16" t="n">
        <v>89</v>
      </c>
      <c r="B92" s="16" t="inlineStr">
        <is>
          <t>1.3.2.12.6</t>
        </is>
      </c>
      <c r="C92" s="18" t="inlineStr">
        <is>
          <t>Part 1 – General &amp; Programme</t>
        </is>
      </c>
      <c r="D92" s="18" t="inlineStr">
        <is>
          <t>1.3 CONCEPT OF OPERATIONS (CONOPS)</t>
        </is>
      </c>
      <c r="E92" s="18" t="inlineStr">
        <is>
          <t>1.3.2 CONTRACTOR SOLUTION AND SERVICES FOR THE OSS911 CENTER</t>
        </is>
      </c>
      <c r="F92" s="18" t="inlineStr">
        <is>
          <t>Eliciting accurate information (location and telephone number) and to visual and audibly alert operator when accuracy of information is in question. Regarding the accuracy, if the caller provides a different location for himself as opposed to the location obtained from the different ALI interfaces, then this should be recorded in the system as a difference, and this should then be available for reporting so that the MOI can take the discrepancies to the concerned authorities and resolve these for accurate location reporting.</t>
        </is>
      </c>
      <c r="G92" s="19" t="n"/>
      <c r="H92" s="20" t="n"/>
      <c r="I92" s="20" t="n"/>
      <c r="J92" s="19" t="n"/>
      <c r="K92" s="21" t="n"/>
      <c r="L92" s="22">
        <f>IF(OR(J92="",K92=""),"",J92*K92)</f>
        <v/>
      </c>
      <c r="M92" s="19" t="n"/>
      <c r="N92" s="20" t="n"/>
      <c r="O92" s="20" t="n"/>
    </row>
    <row r="93">
      <c r="A93" s="23" t="n">
        <v>90</v>
      </c>
      <c r="B93" s="23" t="inlineStr">
        <is>
          <t>1.3.2.12.7</t>
        </is>
      </c>
      <c r="C93" s="25" t="inlineStr">
        <is>
          <t>Part 1 – General &amp; Programme</t>
        </is>
      </c>
      <c r="D93" s="25" t="inlineStr">
        <is>
          <t>1.3 CONCEPT OF OPERATIONS (CONOPS)</t>
        </is>
      </c>
      <c r="E93" s="25" t="inlineStr">
        <is>
          <t>1.3.2 CONTRACTOR SOLUTION AND SERVICES FOR THE OSS911 CENTER</t>
        </is>
      </c>
      <c r="F93" s="25" t="inlineStr">
        <is>
          <t>Recording, logging, disseminating and retrieval of all voice, video and data.</t>
        </is>
      </c>
      <c r="G93" s="19" t="n"/>
      <c r="H93" s="20" t="n"/>
      <c r="I93" s="20" t="n"/>
      <c r="J93" s="19" t="n"/>
      <c r="K93" s="21" t="n"/>
      <c r="L93" s="22">
        <f>IF(OR(J93="",K93=""),"",J93*K93)</f>
        <v/>
      </c>
      <c r="M93" s="19" t="n"/>
      <c r="N93" s="20" t="n"/>
      <c r="O93" s="20" t="n"/>
    </row>
    <row r="94">
      <c r="A94" s="16" t="n">
        <v>91</v>
      </c>
      <c r="B94" s="16" t="inlineStr">
        <is>
          <t>1.3.2.12.8</t>
        </is>
      </c>
      <c r="C94" s="18" t="inlineStr">
        <is>
          <t>Part 1 – General &amp; Programme</t>
        </is>
      </c>
      <c r="D94" s="18" t="inlineStr">
        <is>
          <t>1.3 CONCEPT OF OPERATIONS (CONOPS)</t>
        </is>
      </c>
      <c r="E94" s="18" t="inlineStr">
        <is>
          <t>1.3.2 CONTRACTOR SOLUTION AND SERVICES FOR THE OSS911 CENTER</t>
        </is>
      </c>
      <c r="F94" s="18" t="inlineStr">
        <is>
          <t>Providing self-tips and immediate help and advice when information is not in the proper format.</t>
        </is>
      </c>
      <c r="G94" s="19" t="n"/>
      <c r="H94" s="20" t="n"/>
      <c r="I94" s="20" t="n"/>
      <c r="J94" s="19" t="n"/>
      <c r="K94" s="21" t="n"/>
      <c r="L94" s="22">
        <f>IF(OR(J94="",K94=""),"",J94*K94)</f>
        <v/>
      </c>
      <c r="M94" s="19" t="n"/>
      <c r="N94" s="20" t="n"/>
      <c r="O94" s="20" t="n"/>
    </row>
    <row r="95">
      <c r="A95" s="23" t="n">
        <v>92</v>
      </c>
      <c r="B95" s="23" t="inlineStr">
        <is>
          <t>1.3.2.12.9</t>
        </is>
      </c>
      <c r="C95" s="25" t="inlineStr">
        <is>
          <t>Part 1 – General &amp; Programme</t>
        </is>
      </c>
      <c r="D95" s="25" t="inlineStr">
        <is>
          <t>1.3 CONCEPT OF OPERATIONS (CONOPS)</t>
        </is>
      </c>
      <c r="E95" s="25" t="inlineStr">
        <is>
          <t>1.3.2 CONTRACTOR SOLUTION AND SERVICES FOR THE OSS911 CENTER</t>
        </is>
      </c>
      <c r="F95" s="25" t="inlineStr">
        <is>
          <t>Assisting the operator in adhering to the standard operating procedures.</t>
        </is>
      </c>
      <c r="G95" s="19" t="n"/>
      <c r="H95" s="20" t="n"/>
      <c r="I95" s="20" t="n"/>
      <c r="J95" s="19" t="n"/>
      <c r="K95" s="21" t="n"/>
      <c r="L95" s="22">
        <f>IF(OR(J95="",K95=""),"",J95*K95)</f>
        <v/>
      </c>
      <c r="M95" s="19" t="n"/>
      <c r="N95" s="20" t="n"/>
      <c r="O95" s="20" t="n"/>
    </row>
    <row r="96">
      <c r="A96" s="16" t="n">
        <v>93</v>
      </c>
      <c r="B96" s="16" t="inlineStr">
        <is>
          <t>1.3.2.12.10</t>
        </is>
      </c>
      <c r="C96" s="18" t="inlineStr">
        <is>
          <t>Part 1 – General &amp; Programme</t>
        </is>
      </c>
      <c r="D96" s="18" t="inlineStr">
        <is>
          <t>1.3 CONCEPT OF OPERATIONS (CONOPS)</t>
        </is>
      </c>
      <c r="E96" s="18" t="inlineStr">
        <is>
          <t>1.3.2 CONTRACTOR SOLUTION AND SERVICES FOR THE OSS911 CENTER</t>
        </is>
      </c>
      <c r="F96" s="18" t="inlineStr">
        <is>
          <t>Retrieving information for review and for analysis.</t>
        </is>
      </c>
      <c r="G96" s="19" t="n"/>
      <c r="H96" s="20" t="n"/>
      <c r="I96" s="20" t="n"/>
      <c r="J96" s="19" t="n"/>
      <c r="K96" s="21" t="n"/>
      <c r="L96" s="22">
        <f>IF(OR(J96="",K96=""),"",J96*K96)</f>
        <v/>
      </c>
      <c r="M96" s="19" t="n"/>
      <c r="N96" s="20" t="n"/>
      <c r="O96" s="20" t="n"/>
    </row>
    <row r="97">
      <c r="A97" s="23" t="n">
        <v>94</v>
      </c>
      <c r="B97" s="23" t="inlineStr">
        <is>
          <t>1.3.2.12.11</t>
        </is>
      </c>
      <c r="C97" s="25" t="inlineStr">
        <is>
          <t>Part 1 – General &amp; Programme</t>
        </is>
      </c>
      <c r="D97" s="25" t="inlineStr">
        <is>
          <t>1.3 CONCEPT OF OPERATIONS (CONOPS)</t>
        </is>
      </c>
      <c r="E97" s="25" t="inlineStr">
        <is>
          <t>1.3.2 CONTRACTOR SOLUTION AND SERVICES FOR THE OSS911 CENTER</t>
        </is>
      </c>
      <c r="F97" s="25" t="inlineStr">
        <is>
          <t>Identifying and recommending the need for an appropriate response by gathering and programming the event types and sub- types for different agencies.</t>
        </is>
      </c>
      <c r="G97" s="19" t="n"/>
      <c r="H97" s="20" t="n"/>
      <c r="I97" s="20" t="n"/>
      <c r="J97" s="19" t="n"/>
      <c r="K97" s="21" t="n"/>
      <c r="L97" s="22">
        <f>IF(OR(J97="",K97=""),"",J97*K97)</f>
        <v/>
      </c>
      <c r="M97" s="19" t="n"/>
      <c r="N97" s="20" t="n"/>
      <c r="O97" s="20" t="n"/>
    </row>
    <row r="98">
      <c r="A98" s="16" t="n">
        <v>95</v>
      </c>
      <c r="B98" s="16" t="inlineStr">
        <is>
          <t>1.3.2.12.12</t>
        </is>
      </c>
      <c r="C98" s="18" t="inlineStr">
        <is>
          <t>Part 1 – General &amp; Programme</t>
        </is>
      </c>
      <c r="D98" s="18" t="inlineStr">
        <is>
          <t>1.3 CONCEPT OF OPERATIONS (CONOPS)</t>
        </is>
      </c>
      <c r="E98" s="18" t="inlineStr">
        <is>
          <t>1.3.2 CONTRACTOR SOLUTION AND SERVICES FOR THE OSS911 CENTER</t>
        </is>
      </c>
      <c r="F98" s="18" t="inlineStr">
        <is>
          <t>Arriving at deployment solutions by gathering and programming the response priorities based on event types and sub-types vis-à-vis the different agencies.</t>
        </is>
      </c>
      <c r="G98" s="19" t="n"/>
      <c r="H98" s="20" t="n"/>
      <c r="I98" s="20" t="n"/>
      <c r="J98" s="19" t="n"/>
      <c r="K98" s="21" t="n"/>
      <c r="L98" s="22">
        <f>IF(OR(J98="",K98=""),"",J98*K98)</f>
        <v/>
      </c>
      <c r="M98" s="19" t="n"/>
      <c r="N98" s="20" t="n"/>
      <c r="O98" s="20" t="n"/>
    </row>
    <row r="99">
      <c r="A99" s="23" t="n">
        <v>96</v>
      </c>
      <c r="B99" s="23" t="inlineStr">
        <is>
          <t>1.3.2.12.13</t>
        </is>
      </c>
      <c r="C99" s="25" t="inlineStr">
        <is>
          <t>Part 1 – General &amp; Programme</t>
        </is>
      </c>
      <c r="D99" s="25" t="inlineStr">
        <is>
          <t>1.3 CONCEPT OF OPERATIONS (CONOPS)</t>
        </is>
      </c>
      <c r="E99" s="25" t="inlineStr">
        <is>
          <t>1.3.2 CONTRACTOR SOLUTION AND SERVICES FOR THE OSS911 CENTER</t>
        </is>
      </c>
      <c r="F99" s="25" t="inlineStr">
        <is>
          <t>Aligning the response plans to the resource deployment plan by gathering and programming agencies’ the plans received from the agencies.</t>
        </is>
      </c>
      <c r="G99" s="19" t="n"/>
      <c r="H99" s="20" t="n"/>
      <c r="I99" s="20" t="n"/>
      <c r="J99" s="19" t="n"/>
      <c r="K99" s="21" t="n"/>
      <c r="L99" s="22">
        <f>IF(OR(J99="",K99=""),"",J99*K99)</f>
        <v/>
      </c>
      <c r="M99" s="19" t="n"/>
      <c r="N99" s="20" t="n"/>
      <c r="O99" s="20" t="n"/>
    </row>
    <row r="100">
      <c r="A100" s="16" t="n">
        <v>97</v>
      </c>
      <c r="B100" s="16" t="inlineStr">
        <is>
          <t>1.3.2.12.14</t>
        </is>
      </c>
      <c r="C100" s="18" t="inlineStr">
        <is>
          <t>Part 1 – General &amp; Programme</t>
        </is>
      </c>
      <c r="D100" s="18" t="inlineStr">
        <is>
          <t>1.3 CONCEPT OF OPERATIONS (CONOPS)</t>
        </is>
      </c>
      <c r="E100" s="18" t="inlineStr">
        <is>
          <t>1.3.2 CONTRACTOR SOLUTION AND SERVICES FOR THE OSS911 CENTER</t>
        </is>
      </c>
      <c r="F100" s="18" t="inlineStr">
        <is>
          <t>Supporting operational staff by providing applications that aid and automate the processes to receive, dispatch and alerting resources.</t>
        </is>
      </c>
      <c r="G100" s="19" t="n"/>
      <c r="H100" s="20" t="n"/>
      <c r="I100" s="20" t="n"/>
      <c r="J100" s="19" t="n"/>
      <c r="K100" s="21" t="n"/>
      <c r="L100" s="22">
        <f>IF(OR(J100="",K100=""),"",J100*K100)</f>
        <v/>
      </c>
      <c r="M100" s="19" t="n"/>
      <c r="N100" s="20" t="n"/>
      <c r="O100" s="20" t="n"/>
    </row>
    <row r="101">
      <c r="A101" s="23" t="n">
        <v>98</v>
      </c>
      <c r="B101" s="23" t="inlineStr">
        <is>
          <t>1.3.2.12.15</t>
        </is>
      </c>
      <c r="C101" s="25" t="inlineStr">
        <is>
          <t>Part 1 – General &amp; Programme</t>
        </is>
      </c>
      <c r="D101" s="25" t="inlineStr">
        <is>
          <t>1.3 CONCEPT OF OPERATIONS (CONOPS)</t>
        </is>
      </c>
      <c r="E101" s="25" t="inlineStr">
        <is>
          <t>1.3.2 CONTRACTOR SOLUTION AND SERVICES FOR THE OSS911 CENTER</t>
        </is>
      </c>
      <c r="F101" s="25" t="inlineStr">
        <is>
          <t>Providing management information, reports, dashboards and performance data against specified indicators. Such information shall be made available through any form of access – either through browsers running on computers or through apps running on iOS and/or Android devices.</t>
        </is>
      </c>
      <c r="G101" s="19" t="n"/>
      <c r="H101" s="20" t="n"/>
      <c r="I101" s="20" t="n"/>
      <c r="J101" s="19" t="n"/>
      <c r="K101" s="21" t="n"/>
      <c r="L101" s="22">
        <f>IF(OR(J101="",K101=""),"",J101*K101)</f>
        <v/>
      </c>
      <c r="M101" s="19" t="n"/>
      <c r="N101" s="20" t="n"/>
      <c r="O101" s="20" t="n"/>
    </row>
    <row r="102">
      <c r="A102" s="16" t="n">
        <v>99</v>
      </c>
      <c r="B102" s="16" t="inlineStr">
        <is>
          <t>1.3.2.12.16</t>
        </is>
      </c>
      <c r="C102" s="18" t="inlineStr">
        <is>
          <t>Part 1 – General &amp; Programme</t>
        </is>
      </c>
      <c r="D102" s="18" t="inlineStr">
        <is>
          <t>1.3 CONCEPT OF OPERATIONS (CONOPS)</t>
        </is>
      </c>
      <c r="E102" s="18" t="inlineStr">
        <is>
          <t>1.3.2 CONTRACTOR SOLUTION AND SERVICES FOR THE OSS911 CENTER</t>
        </is>
      </c>
      <c r="F102" s="18" t="inlineStr">
        <is>
          <t>Providing an assistance capability that allows callers to add/modify/supplement information securely to their emergency calls and related events through a web page – such information to be added shall include validation of location, uploading of images and videos, and a chat capability with operator.</t>
        </is>
      </c>
      <c r="G102" s="19" t="n"/>
      <c r="H102" s="20" t="n"/>
      <c r="I102" s="20" t="n"/>
      <c r="J102" s="19" t="n"/>
      <c r="K102" s="21" t="n"/>
      <c r="L102" s="22">
        <f>IF(OR(J102="",K102=""),"",J102*K102)</f>
        <v/>
      </c>
      <c r="M102" s="19" t="n"/>
      <c r="N102" s="20" t="n"/>
      <c r="O102" s="20" t="n"/>
    </row>
    <row r="103">
      <c r="A103" s="23" t="n">
        <v>100</v>
      </c>
      <c r="B103" s="23" t="inlineStr">
        <is>
          <t>1.3.2.12.17</t>
        </is>
      </c>
      <c r="C103" s="25" t="inlineStr">
        <is>
          <t>Part 1 – General &amp; Programme</t>
        </is>
      </c>
      <c r="D103" s="25" t="inlineStr">
        <is>
          <t>1.3 CONCEPT OF OPERATIONS (CONOPS)</t>
        </is>
      </c>
      <c r="E103" s="25" t="inlineStr">
        <is>
          <t>1.3.2 CONTRACTOR SOLUTION AND SERVICES FOR THE OSS911 CENTER</t>
        </is>
      </c>
      <c r="F103" s="25" t="inlineStr">
        <is>
          <t>Providing assistance in dispatching function including assistance for field unit selection as per the response plan, and for alerting field units.</t>
        </is>
      </c>
      <c r="G103" s="19" t="n"/>
      <c r="H103" s="20" t="n"/>
      <c r="I103" s="20" t="n"/>
      <c r="J103" s="19" t="n"/>
      <c r="K103" s="21" t="n"/>
      <c r="L103" s="22">
        <f>IF(OR(J103="",K103=""),"",J103*K103)</f>
        <v/>
      </c>
      <c r="M103" s="19" t="n"/>
      <c r="N103" s="20" t="n"/>
      <c r="O103" s="20" t="n"/>
    </row>
    <row r="104">
      <c r="A104" s="16" t="n">
        <v>101</v>
      </c>
      <c r="B104" s="16" t="inlineStr">
        <is>
          <t>1.3.2.12.18</t>
        </is>
      </c>
      <c r="C104" s="18" t="inlineStr">
        <is>
          <t>Part 1 – General &amp; Programme</t>
        </is>
      </c>
      <c r="D104" s="18" t="inlineStr">
        <is>
          <t>1.3 CONCEPT OF OPERATIONS (CONOPS)</t>
        </is>
      </c>
      <c r="E104" s="18" t="inlineStr">
        <is>
          <t>1.3.2 CONTRACTOR SOLUTION AND SERVICES FOR THE OSS911 CENTER</t>
        </is>
      </c>
      <c r="F104" s="18" t="inlineStr">
        <is>
          <t>Protecting all information recorded and stored in archives, to provide access to critical forensic and video data evidence of response actions.</t>
        </is>
      </c>
      <c r="G104" s="19" t="n"/>
      <c r="H104" s="20" t="n"/>
      <c r="I104" s="20" t="n"/>
      <c r="J104" s="19" t="n"/>
      <c r="K104" s="21" t="n"/>
      <c r="L104" s="22">
        <f>IF(OR(J104="",K104=""),"",J104*K104)</f>
        <v/>
      </c>
      <c r="M104" s="19" t="n"/>
      <c r="N104" s="20" t="n"/>
      <c r="O104" s="20" t="n"/>
    </row>
    <row r="105">
      <c r="A105" s="23" t="n">
        <v>102</v>
      </c>
      <c r="B105" s="24" t="inlineStr">
        <is>
          <t>1.3.2.13</t>
        </is>
      </c>
      <c r="C105" s="25" t="inlineStr">
        <is>
          <t>Part 1 – General &amp; Programme</t>
        </is>
      </c>
      <c r="D105" s="25" t="inlineStr">
        <is>
          <t>1.3 CONCEPT OF OPERATIONS (CONOPS)</t>
        </is>
      </c>
      <c r="E105" s="25" t="inlineStr">
        <is>
          <t>1.3.2 CONTRACTOR SOLUTION AND SERVICES FOR THE OSS911 CENTER</t>
        </is>
      </c>
      <c r="F105" s="25" t="inlineStr">
        <is>
          <t>The CONTRACTOR solution shall ensure the capability to receive, record and process all urgent and non-urgent demands that will enter OSS911 Center using a common dedicated emergency telephone number, by existing agency-specific telephone numbers (998, 996, etc.) and by any other number authorized by the MOI.</t>
        </is>
      </c>
      <c r="G105" s="19" t="n"/>
      <c r="H105" s="20" t="n"/>
      <c r="I105" s="20" t="n"/>
      <c r="J105" s="19" t="n"/>
      <c r="K105" s="21" t="n"/>
      <c r="L105" s="22">
        <f>IF(OR(J105="",K105=""),"",J105*K105)</f>
        <v/>
      </c>
      <c r="M105" s="19" t="n"/>
      <c r="N105" s="20" t="n"/>
      <c r="O105" s="20" t="n"/>
    </row>
    <row r="106">
      <c r="A106" s="16" t="n">
        <v>103</v>
      </c>
      <c r="B106" s="17" t="inlineStr">
        <is>
          <t>1.3.3.1</t>
        </is>
      </c>
      <c r="C106" s="18" t="inlineStr">
        <is>
          <t>Part 1 – General &amp; Programme</t>
        </is>
      </c>
      <c r="D106" s="18" t="inlineStr">
        <is>
          <t>1.3 CONCEPT OF OPERATIONS (CONOPS)</t>
        </is>
      </c>
      <c r="E106" s="18" t="inlineStr">
        <is>
          <t>1.3.3 CALL TAKING</t>
        </is>
      </c>
      <c r="F106" s="18" t="inlineStr">
        <is>
          <t>The CONTRACTOR shall take into account that service provided by the Call Takers is outward facing, handling demands and requests for service from the public and other stakeholders, through channels other than by radio.</t>
        </is>
      </c>
      <c r="G106" s="19" t="n"/>
      <c r="H106" s="20" t="n"/>
      <c r="I106" s="20" t="n"/>
      <c r="J106" s="19" t="n"/>
      <c r="K106" s="21" t="n"/>
      <c r="L106" s="22">
        <f>IF(OR(J106="",K106=""),"",J106*K106)</f>
        <v/>
      </c>
      <c r="M106" s="19" t="n"/>
      <c r="N106" s="20" t="n"/>
      <c r="O106" s="20" t="n"/>
    </row>
    <row r="107">
      <c r="A107" s="23" t="n">
        <v>104</v>
      </c>
      <c r="B107" s="24" t="inlineStr">
        <is>
          <t>1.3.3.2</t>
        </is>
      </c>
      <c r="C107" s="25" t="inlineStr">
        <is>
          <t>Part 1 – General &amp; Programme</t>
        </is>
      </c>
      <c r="D107" s="25" t="inlineStr">
        <is>
          <t>1.3 CONCEPT OF OPERATIONS (CONOPS)</t>
        </is>
      </c>
      <c r="E107" s="25" t="inlineStr">
        <is>
          <t>1.3.3 CALL TAKING</t>
        </is>
      </c>
      <c r="F107" s="25" t="inlineStr">
        <is>
          <t>The Call Taking solution delivered by the CONTRACTOR shall include an application to record information relating to all calls presented.</t>
        </is>
      </c>
      <c r="G107" s="19" t="n"/>
      <c r="H107" s="20" t="n"/>
      <c r="I107" s="20" t="n"/>
      <c r="J107" s="19" t="n"/>
      <c r="K107" s="21" t="n"/>
      <c r="L107" s="22">
        <f>IF(OR(J107="",K107=""),"",J107*K107)</f>
        <v/>
      </c>
      <c r="M107" s="19" t="n"/>
      <c r="N107" s="20" t="n"/>
      <c r="O107" s="20" t="n"/>
    </row>
    <row r="108">
      <c r="A108" s="16" t="n">
        <v>105</v>
      </c>
      <c r="B108" s="17" t="inlineStr">
        <is>
          <t>1.3.3.3</t>
        </is>
      </c>
      <c r="C108" s="18" t="inlineStr">
        <is>
          <t>Part 1 – General &amp; Programme</t>
        </is>
      </c>
      <c r="D108" s="18" t="inlineStr">
        <is>
          <t>1.3 CONCEPT OF OPERATIONS (CONOPS)</t>
        </is>
      </c>
      <c r="E108" s="18" t="inlineStr">
        <is>
          <t>1.3.3 CALL TAKING</t>
        </is>
      </c>
      <c r="F108" s="18" t="inlineStr">
        <is>
          <t>The CONTRACTOR solution shall insure that Incident records are retrievable, such that when once created, they cannot be deleted and that an access log is maintained for all users’ access and for all actions.</t>
        </is>
      </c>
      <c r="G108" s="19" t="n"/>
      <c r="H108" s="20" t="n"/>
      <c r="I108" s="20" t="n"/>
      <c r="J108" s="19" t="n"/>
      <c r="K108" s="21" t="n"/>
      <c r="L108" s="22">
        <f>IF(OR(J108="",K108=""),"",J108*K108)</f>
        <v/>
      </c>
      <c r="M108" s="19" t="n"/>
      <c r="N108" s="20" t="n"/>
      <c r="O108" s="20" t="n"/>
    </row>
    <row r="109">
      <c r="A109" s="23" t="n">
        <v>106</v>
      </c>
      <c r="B109" s="24" t="inlineStr">
        <is>
          <t>1.3.3.4</t>
        </is>
      </c>
      <c r="C109" s="25" t="inlineStr">
        <is>
          <t>Part 1 – General &amp; Programme</t>
        </is>
      </c>
      <c r="D109" s="25" t="inlineStr">
        <is>
          <t>1.3 CONCEPT OF OPERATIONS (CONOPS)</t>
        </is>
      </c>
      <c r="E109" s="25" t="inlineStr">
        <is>
          <t>1.3.3 CALL TAKING</t>
        </is>
      </c>
      <c r="F109" s="25" t="inlineStr">
        <is>
          <t>The CONTRACTOR delivered IRMS integration with the Geographical Information System (GIS) shall, without intervention by the operator, utilize all information available from the telephony service supplier to locate the caller using all location sources and present all received information to the operator on the maps on the screen.</t>
        </is>
      </c>
      <c r="G109" s="19" t="n"/>
      <c r="H109" s="20" t="n"/>
      <c r="I109" s="20" t="n"/>
      <c r="J109" s="19" t="n"/>
      <c r="K109" s="21" t="n"/>
      <c r="L109" s="22">
        <f>IF(OR(J109="",K109=""),"",J109*K109)</f>
        <v/>
      </c>
      <c r="M109" s="19" t="n"/>
      <c r="N109" s="20" t="n"/>
      <c r="O109" s="20" t="n"/>
    </row>
    <row r="110">
      <c r="A110" s="16" t="n">
        <v>107</v>
      </c>
      <c r="B110" s="17" t="inlineStr">
        <is>
          <t>1.3.3.5</t>
        </is>
      </c>
      <c r="C110" s="18" t="inlineStr">
        <is>
          <t>Part 1 – General &amp; Programme</t>
        </is>
      </c>
      <c r="D110" s="18" t="inlineStr">
        <is>
          <t>1.3 CONCEPT OF OPERATIONS (CONOPS)</t>
        </is>
      </c>
      <c r="E110" s="18" t="inlineStr">
        <is>
          <t>1.3.3 CALL TAKING</t>
        </is>
      </c>
      <c r="F110" s="18" t="inlineStr">
        <is>
          <t>The CONTRACTOR delivered IRMS solution shall utilize AI capabilities be able to access Standard Operating Procedures (SOPs) and response plans, and shall alert the operator when information obtained matches set criteria, providing the operator with additional visual and audible prompts related to the incident type.</t>
        </is>
      </c>
      <c r="G110" s="19" t="n"/>
      <c r="H110" s="20" t="n"/>
      <c r="I110" s="20" t="n"/>
      <c r="J110" s="19" t="n"/>
      <c r="K110" s="21" t="n"/>
      <c r="L110" s="22">
        <f>IF(OR(J110="",K110=""),"",J110*K110)</f>
        <v/>
      </c>
      <c r="M110" s="19" t="n"/>
      <c r="N110" s="20" t="n"/>
      <c r="O110" s="20" t="n"/>
    </row>
    <row r="111">
      <c r="A111" s="23" t="n">
        <v>108</v>
      </c>
      <c r="B111" s="24" t="inlineStr">
        <is>
          <t>1.3.3.6</t>
        </is>
      </c>
      <c r="C111" s="25" t="inlineStr">
        <is>
          <t>Part 1 – General &amp; Programme</t>
        </is>
      </c>
      <c r="D111" s="25" t="inlineStr">
        <is>
          <t>1.3 CONCEPT OF OPERATIONS (CONOPS)</t>
        </is>
      </c>
      <c r="E111" s="25" t="inlineStr">
        <is>
          <t>1.3.3 CALL TAKING</t>
        </is>
      </c>
      <c r="F111" s="25" t="inlineStr">
        <is>
          <t>The CONTRACTOR delivered IRMS solution shall intelligently analyze text entered to help reduce demands upon operators, for example by using AI capabilities to determine what further information is required and to pre-fill required fields where possible.</t>
        </is>
      </c>
      <c r="G111" s="19" t="n"/>
      <c r="H111" s="20" t="n"/>
      <c r="I111" s="20" t="n"/>
      <c r="J111" s="19" t="n"/>
      <c r="K111" s="21" t="n"/>
      <c r="L111" s="22">
        <f>IF(OR(J111="",K111=""),"",J111*K111)</f>
        <v/>
      </c>
      <c r="M111" s="19" t="n"/>
      <c r="N111" s="20" t="n"/>
      <c r="O111" s="20" t="n"/>
    </row>
    <row r="112">
      <c r="A112" s="16" t="n">
        <v>109</v>
      </c>
      <c r="B112" s="17" t="inlineStr">
        <is>
          <t>1.3.3.7</t>
        </is>
      </c>
      <c r="C112" s="18" t="inlineStr">
        <is>
          <t>Part 1 – General &amp; Programme</t>
        </is>
      </c>
      <c r="D112" s="18" t="inlineStr">
        <is>
          <t>1.3 CONCEPT OF OPERATIONS (CONOPS)</t>
        </is>
      </c>
      <c r="E112" s="18" t="inlineStr">
        <is>
          <t>1.3.3 CALL TAKING</t>
        </is>
      </c>
      <c r="F112" s="18" t="inlineStr">
        <is>
          <t>The CONTRACTOR delivered IRMS shall provide visual and audible indications of what actions an operator should follow and shall propose the most appropriate responses, whether that is telephone resolution or transfer to dispatcher(s) or to another agency.</t>
        </is>
      </c>
      <c r="G112" s="19" t="n"/>
      <c r="H112" s="20" t="n"/>
      <c r="I112" s="20" t="n"/>
      <c r="J112" s="19" t="n"/>
      <c r="K112" s="21" t="n"/>
      <c r="L112" s="22">
        <f>IF(OR(J112="",K112=""),"",J112*K112)</f>
        <v/>
      </c>
      <c r="M112" s="19" t="n"/>
      <c r="N112" s="20" t="n"/>
      <c r="O112" s="20" t="n"/>
    </row>
    <row r="113">
      <c r="A113" s="23" t="n">
        <v>110</v>
      </c>
      <c r="B113" s="24" t="inlineStr">
        <is>
          <t>1.3.3.8</t>
        </is>
      </c>
      <c r="C113" s="25" t="inlineStr">
        <is>
          <t>Part 1 – General &amp; Programme</t>
        </is>
      </c>
      <c r="D113" s="25" t="inlineStr">
        <is>
          <t>1.3 CONCEPT OF OPERATIONS (CONOPS)</t>
        </is>
      </c>
      <c r="E113" s="25" t="inlineStr">
        <is>
          <t>1.3.3 CALL TAKING</t>
        </is>
      </c>
      <c r="F113" s="25" t="inlineStr">
        <is>
          <t>The CONTRACTOR delivered IRMS shall include solutions such that complex or serious incidents that require multiple routing to more than one agency, supervisors, specialist units or areas within OSS911 are attended to through the CONTRACTOR delivered IRMS.</t>
        </is>
      </c>
      <c r="G113" s="19" t="n"/>
      <c r="H113" s="20" t="n"/>
      <c r="I113" s="20" t="n"/>
      <c r="J113" s="19" t="n"/>
      <c r="K113" s="21" t="n"/>
      <c r="L113" s="22">
        <f>IF(OR(J113="",K113=""),"",J113*K113)</f>
        <v/>
      </c>
      <c r="M113" s="19" t="n"/>
      <c r="N113" s="20" t="n"/>
      <c r="O113" s="20" t="n"/>
    </row>
    <row r="114">
      <c r="A114" s="16" t="n">
        <v>111</v>
      </c>
      <c r="B114" s="17" t="inlineStr">
        <is>
          <t>1.3.3.9</t>
        </is>
      </c>
      <c r="C114" s="18" t="inlineStr">
        <is>
          <t>Part 1 – General &amp; Programme</t>
        </is>
      </c>
      <c r="D114" s="18" t="inlineStr">
        <is>
          <t>1.3 CONCEPT OF OPERATIONS (CONOPS)</t>
        </is>
      </c>
      <c r="E114" s="18" t="inlineStr">
        <is>
          <t>1.3.3 CALL TAKING</t>
        </is>
      </c>
      <c r="F114" s="18" t="inlineStr">
        <is>
          <t>Call Routing in Unified Call Taking shall be delivered by the CONTRACTOR to include:</t>
        </is>
      </c>
      <c r="G114" s="19" t="n"/>
      <c r="H114" s="20" t="n"/>
      <c r="I114" s="20" t="n"/>
      <c r="J114" s="19" t="n"/>
      <c r="K114" s="21" t="n"/>
      <c r="L114" s="22">
        <f>IF(OR(J114="",K114=""),"",J114*K114)</f>
        <v/>
      </c>
      <c r="M114" s="19" t="n"/>
      <c r="N114" s="20" t="n"/>
      <c r="O114" s="20" t="n"/>
    </row>
    <row r="115">
      <c r="A115" s="23" t="n">
        <v>112</v>
      </c>
      <c r="B115" s="23" t="inlineStr">
        <is>
          <t>1.3.3.9.1</t>
        </is>
      </c>
      <c r="C115" s="25" t="inlineStr">
        <is>
          <t>Part 1 – General &amp; Programme</t>
        </is>
      </c>
      <c r="D115" s="25" t="inlineStr">
        <is>
          <t>1.3 CONCEPT OF OPERATIONS (CONOPS)</t>
        </is>
      </c>
      <c r="E115" s="25" t="inlineStr">
        <is>
          <t>1.3.3 CALL TAKING</t>
        </is>
      </c>
      <c r="F115" s="25" t="inlineStr">
        <is>
          <t>A call distribution system that will have the capability to automatically distribute incoming calls from emergency numbers based on specified business rules to designated Call Handling positions.</t>
        </is>
      </c>
      <c r="G115" s="19" t="n"/>
      <c r="H115" s="20" t="n"/>
      <c r="I115" s="20" t="n"/>
      <c r="J115" s="19" t="n"/>
      <c r="K115" s="21" t="n"/>
      <c r="L115" s="22">
        <f>IF(OR(J115="",K115=""),"",J115*K115)</f>
        <v/>
      </c>
      <c r="M115" s="19" t="n"/>
      <c r="N115" s="20" t="n"/>
      <c r="O115" s="20" t="n"/>
    </row>
    <row r="116">
      <c r="A116" s="16" t="n">
        <v>113</v>
      </c>
      <c r="B116" s="16" t="inlineStr">
        <is>
          <t>1.3.3.9.2</t>
        </is>
      </c>
      <c r="C116" s="18" t="inlineStr">
        <is>
          <t>Part 1 – General &amp; Programme</t>
        </is>
      </c>
      <c r="D116" s="18" t="inlineStr">
        <is>
          <t>1.3 CONCEPT OF OPERATIONS (CONOPS)</t>
        </is>
      </c>
      <c r="E116" s="18" t="inlineStr">
        <is>
          <t>1.3.3 CALL TAKING</t>
        </is>
      </c>
      <c r="F116" s="18" t="inlineStr">
        <is>
          <t>Call presentation to Call Handlers on the basis of business rules set by OSS911, irrespective of the agency he represents. These rules will be skill or profile based, and at the simplest level, by calls being presented to the ‘logged in’ Call Taker who is shown as available the longest period of time.</t>
        </is>
      </c>
      <c r="G116" s="19" t="n"/>
      <c r="H116" s="20" t="n"/>
      <c r="I116" s="20" t="n"/>
      <c r="J116" s="19" t="n"/>
      <c r="K116" s="21" t="n"/>
      <c r="L116" s="22">
        <f>IF(OR(J116="",K116=""),"",J116*K116)</f>
        <v/>
      </c>
      <c r="M116" s="19" t="n"/>
      <c r="N116" s="20" t="n"/>
      <c r="O116" s="20" t="n"/>
    </row>
    <row r="117">
      <c r="A117" s="23" t="n">
        <v>114</v>
      </c>
      <c r="B117" s="23" t="inlineStr">
        <is>
          <t>1.3.3.9.3</t>
        </is>
      </c>
      <c r="C117" s="25" t="inlineStr">
        <is>
          <t>Part 1 – General &amp; Programme</t>
        </is>
      </c>
      <c r="D117" s="25" t="inlineStr">
        <is>
          <t>1.3 CONCEPT OF OPERATIONS (CONOPS)</t>
        </is>
      </c>
      <c r="E117" s="25" t="inlineStr">
        <is>
          <t>1.3.3 CALL TAKING</t>
        </is>
      </c>
      <c r="F117" s="25" t="inlineStr">
        <is>
          <t>Prioritization of emergency demand queues over nonemergency demand queues.</t>
        </is>
      </c>
      <c r="G117" s="19" t="n"/>
      <c r="H117" s="20" t="n"/>
      <c r="I117" s="20" t="n"/>
      <c r="J117" s="19" t="n"/>
      <c r="K117" s="21" t="n"/>
      <c r="L117" s="22">
        <f>IF(OR(J117="",K117=""),"",J117*K117)</f>
        <v/>
      </c>
      <c r="M117" s="19" t="n"/>
      <c r="N117" s="20" t="n"/>
      <c r="O117" s="20" t="n"/>
    </row>
    <row r="118">
      <c r="A118" s="16" t="n">
        <v>115</v>
      </c>
      <c r="B118" s="16" t="inlineStr">
        <is>
          <t>1.3.3.9.4</t>
        </is>
      </c>
      <c r="C118" s="18" t="inlineStr">
        <is>
          <t>Part 1 – General &amp; Programme</t>
        </is>
      </c>
      <c r="D118" s="18" t="inlineStr">
        <is>
          <t>1.3 CONCEPT OF OPERATIONS (CONOPS)</t>
        </is>
      </c>
      <c r="E118" s="18" t="inlineStr">
        <is>
          <t>1.3.3 CALL TAKING</t>
        </is>
      </c>
      <c r="F118" s="18" t="inlineStr">
        <is>
          <t>Capability that in subsequent operational models developed as the OSS911 environment matures, emergency and non- emergency police-demand telephony and ‘customer care’ non- emergency telephony may be separated and presented to different Call Taker pools inside and outside the OSS911 Center.</t>
        </is>
      </c>
      <c r="G118" s="19" t="n"/>
      <c r="H118" s="20" t="n"/>
      <c r="I118" s="20" t="n"/>
      <c r="J118" s="19" t="n"/>
      <c r="K118" s="21" t="n"/>
      <c r="L118" s="22">
        <f>IF(OR(J118="",K118=""),"",J118*K118)</f>
        <v/>
      </c>
      <c r="M118" s="19" t="n"/>
      <c r="N118" s="20" t="n"/>
      <c r="O118" s="20" t="n"/>
    </row>
    <row r="119">
      <c r="A119" s="23" t="n">
        <v>116</v>
      </c>
      <c r="B119" s="23" t="inlineStr">
        <is>
          <t>1.3.3.9.5</t>
        </is>
      </c>
      <c r="C119" s="25" t="inlineStr">
        <is>
          <t>Part 1 – General &amp; Programme</t>
        </is>
      </c>
      <c r="D119" s="25" t="inlineStr">
        <is>
          <t>1.3 CONCEPT OF OPERATIONS (CONOPS)</t>
        </is>
      </c>
      <c r="E119" s="25" t="inlineStr">
        <is>
          <t>1.3.3 CALL TAKING</t>
        </is>
      </c>
      <c r="F119" s="25" t="inlineStr">
        <is>
          <t>Capability for the supervisors within the environment to monitor the telephony queues and operator performance.</t>
        </is>
      </c>
      <c r="G119" s="19" t="n"/>
      <c r="H119" s="20" t="n"/>
      <c r="I119" s="20" t="n"/>
      <c r="J119" s="19" t="n"/>
      <c r="K119" s="21" t="n"/>
      <c r="L119" s="22">
        <f>IF(OR(J119="",K119=""),"",J119*K119)</f>
        <v/>
      </c>
      <c r="M119" s="19" t="n"/>
      <c r="N119" s="20" t="n"/>
      <c r="O119" s="20" t="n"/>
    </row>
    <row r="120">
      <c r="A120" s="16" t="n">
        <v>117</v>
      </c>
      <c r="B120" s="16" t="inlineStr">
        <is>
          <t>1.3.3.9.6</t>
        </is>
      </c>
      <c r="C120" s="18" t="inlineStr">
        <is>
          <t>Part 1 – General &amp; Programme</t>
        </is>
      </c>
      <c r="D120" s="18" t="inlineStr">
        <is>
          <t>1.3 CONCEPT OF OPERATIONS (CONOPS)</t>
        </is>
      </c>
      <c r="E120" s="18" t="inlineStr">
        <is>
          <t>1.3.3 CALL TAKING</t>
        </is>
      </c>
      <c r="F120" s="18" t="inlineStr">
        <is>
          <t>All telephone calls into OSS911 center (incoming, outgoing and internal) shall be recorded in a single integrated system and immediately accessible by nominated operating personnel.</t>
        </is>
      </c>
      <c r="G120" s="19" t="n"/>
      <c r="H120" s="20" t="n"/>
      <c r="I120" s="20" t="n"/>
      <c r="J120" s="19" t="n"/>
      <c r="K120" s="21" t="n"/>
      <c r="L120" s="22">
        <f>IF(OR(J120="",K120=""),"",J120*K120)</f>
        <v/>
      </c>
      <c r="M120" s="19" t="n"/>
      <c r="N120" s="20" t="n"/>
      <c r="O120" s="20" t="n"/>
    </row>
    <row r="121">
      <c r="A121" s="23" t="n">
        <v>118</v>
      </c>
      <c r="B121" s="23" t="inlineStr">
        <is>
          <t>1.3.3.9.7</t>
        </is>
      </c>
      <c r="C121" s="25" t="inlineStr">
        <is>
          <t>Part 1 – General &amp; Programme</t>
        </is>
      </c>
      <c r="D121" s="25" t="inlineStr">
        <is>
          <t>1.3 CONCEPT OF OPERATIONS (CONOPS)</t>
        </is>
      </c>
      <c r="E121" s="25" t="inlineStr">
        <is>
          <t>1.3.3 CALL TAKING</t>
        </is>
      </c>
      <c r="F121" s="25" t="inlineStr">
        <is>
          <t>The call distribution technology shall collate and present telephony management information to assist in the management of telephony queues, to inform on performance, and in the determination of staffing patterns.</t>
        </is>
      </c>
      <c r="G121" s="19" t="n"/>
      <c r="H121" s="20" t="n"/>
      <c r="I121" s="20" t="n"/>
      <c r="J121" s="19" t="n"/>
      <c r="K121" s="21" t="n"/>
      <c r="L121" s="22">
        <f>IF(OR(J121="",K121=""),"",J121*K121)</f>
        <v/>
      </c>
      <c r="M121" s="19" t="n"/>
      <c r="N121" s="20" t="n"/>
      <c r="O121" s="20" t="n"/>
    </row>
    <row r="122">
      <c r="A122" s="16" t="n">
        <v>119</v>
      </c>
      <c r="B122" s="17" t="inlineStr">
        <is>
          <t>1.3.3.10</t>
        </is>
      </c>
      <c r="C122" s="18" t="inlineStr">
        <is>
          <t>Part 1 – General &amp; Programme</t>
        </is>
      </c>
      <c r="D122" s="18" t="inlineStr">
        <is>
          <t>1.3 CONCEPT OF OPERATIONS (CONOPS)</t>
        </is>
      </c>
      <c r="E122" s="18" t="inlineStr">
        <is>
          <t>1.3.3 CALL TAKING</t>
        </is>
      </c>
      <c r="F122" s="18" t="inlineStr">
        <is>
          <t>The CONTRACTOR delivered solution shall include integration with GIS to deliver a capability providing a single, integrated map at each operator position.</t>
        </is>
      </c>
      <c r="G122" s="19" t="n"/>
      <c r="H122" s="20" t="n"/>
      <c r="I122" s="20" t="n"/>
      <c r="J122" s="19" t="n"/>
      <c r="K122" s="21" t="n"/>
      <c r="L122" s="22">
        <f>IF(OR(J122="",K122=""),"",J122*K122)</f>
        <v/>
      </c>
      <c r="M122" s="19" t="n"/>
      <c r="N122" s="20" t="n"/>
      <c r="O122" s="20" t="n"/>
    </row>
    <row r="123">
      <c r="A123" s="23" t="n">
        <v>120</v>
      </c>
      <c r="B123" s="24" t="inlineStr">
        <is>
          <t>1.3.3.11</t>
        </is>
      </c>
      <c r="C123" s="25" t="inlineStr">
        <is>
          <t>Part 1 – General &amp; Programme</t>
        </is>
      </c>
      <c r="D123" s="25" t="inlineStr">
        <is>
          <t>1.3 CONCEPT OF OPERATIONS (CONOPS)</t>
        </is>
      </c>
      <c r="E123" s="25" t="inlineStr">
        <is>
          <t>1.3.3 CALL TAKING</t>
        </is>
      </c>
      <c r="F123" s="25" t="inlineStr">
        <is>
          <t>The CONTRACTOR delivered solution shall include access to MOI-authorized databases to be able to validate locations and caller profiles, and to provide location information based on address.</t>
        </is>
      </c>
      <c r="G123" s="19" t="n"/>
      <c r="H123" s="20" t="n"/>
      <c r="I123" s="20" t="n"/>
      <c r="J123" s="19" t="n"/>
      <c r="K123" s="21" t="n"/>
      <c r="L123" s="22">
        <f>IF(OR(J123="",K123=""),"",J123*K123)</f>
        <v/>
      </c>
      <c r="M123" s="19" t="n"/>
      <c r="N123" s="20" t="n"/>
      <c r="O123" s="20" t="n"/>
    </row>
    <row r="124">
      <c r="A124" s="16" t="n">
        <v>121</v>
      </c>
      <c r="B124" s="17" t="inlineStr">
        <is>
          <t>1.3.3.12</t>
        </is>
      </c>
      <c r="C124" s="18" t="inlineStr">
        <is>
          <t>Part 1 – General &amp; Programme</t>
        </is>
      </c>
      <c r="D124" s="18" t="inlineStr">
        <is>
          <t>1.3 CONCEPT OF OPERATIONS (CONOPS)</t>
        </is>
      </c>
      <c r="E124" s="18" t="inlineStr">
        <is>
          <t>1.3.3 CALL TAKING</t>
        </is>
      </c>
      <c r="F124" s="18" t="inlineStr">
        <is>
          <t>Based on the location the OSS911 solution shall represent any known history on the address, local places of interest, location of public buildings, and cameras within a configurable radius around the location, along with the location details (acronyms, latitude, longitude, direction etc.), and warnings associated with the location or area as captured from MOI-authorized sources.</t>
        </is>
      </c>
      <c r="G124" s="19" t="n"/>
      <c r="H124" s="20" t="n"/>
      <c r="I124" s="20" t="n"/>
      <c r="J124" s="19" t="n"/>
      <c r="K124" s="21" t="n"/>
      <c r="L124" s="22">
        <f>IF(OR(J124="",K124=""),"",J124*K124)</f>
        <v/>
      </c>
      <c r="M124" s="19" t="n"/>
      <c r="N124" s="20" t="n"/>
      <c r="O124" s="20" t="n"/>
    </row>
    <row r="125">
      <c r="A125" s="23" t="n">
        <v>122</v>
      </c>
      <c r="B125" s="24" t="inlineStr">
        <is>
          <t>1.3.3.13</t>
        </is>
      </c>
      <c r="C125" s="25" t="inlineStr">
        <is>
          <t>Part 1 – General &amp; Programme</t>
        </is>
      </c>
      <c r="D125" s="25" t="inlineStr">
        <is>
          <t>1.3 CONCEPT OF OPERATIONS (CONOPS)</t>
        </is>
      </c>
      <c r="E125" s="25" t="inlineStr">
        <is>
          <t>1.3.3 CALL TAKING</t>
        </is>
      </c>
      <c r="F125" s="25" t="inlineStr">
        <is>
          <t>An enterprise or active directory capability integrated into the OSS911 systems for phone number lookups and user authentication to facilitate single logon to applications.</t>
        </is>
      </c>
      <c r="G125" s="19" t="n"/>
      <c r="H125" s="20" t="n"/>
      <c r="I125" s="20" t="n"/>
      <c r="J125" s="19" t="n"/>
      <c r="K125" s="21" t="n"/>
      <c r="L125" s="22">
        <f>IF(OR(J125="",K125=""),"",J125*K125)</f>
        <v/>
      </c>
      <c r="M125" s="19" t="n"/>
      <c r="N125" s="20" t="n"/>
      <c r="O125" s="20" t="n"/>
    </row>
    <row r="126">
      <c r="A126" s="16" t="n">
        <v>123</v>
      </c>
      <c r="B126" s="17" t="inlineStr">
        <is>
          <t>1.3.4.1</t>
        </is>
      </c>
      <c r="C126" s="18" t="inlineStr">
        <is>
          <t>Part 1 – General &amp; Programme</t>
        </is>
      </c>
      <c r="D126" s="18" t="inlineStr">
        <is>
          <t>1.3 CONCEPT OF OPERATIONS (CONOPS)</t>
        </is>
      </c>
      <c r="E126" s="18" t="inlineStr">
        <is>
          <t>1.3.4 DISPATCH</t>
        </is>
      </c>
      <c r="F126" s="18" t="inlineStr">
        <is>
          <t>The CONTRACTOR shall take into account that the service provided by Dispatch is essentially inward facing, capable of handling requests for service from operational resources via radio, some electronic messaging, and direct dial telephony from some field agents.</t>
        </is>
      </c>
      <c r="G126" s="19" t="n"/>
      <c r="H126" s="20" t="n"/>
      <c r="I126" s="20" t="n"/>
      <c r="J126" s="19" t="n"/>
      <c r="K126" s="21" t="n"/>
      <c r="L126" s="22">
        <f>IF(OR(J126="",K126=""),"",J126*K126)</f>
        <v/>
      </c>
      <c r="M126" s="19" t="n"/>
      <c r="N126" s="20" t="n"/>
      <c r="O126" s="20" t="n"/>
    </row>
    <row r="127">
      <c r="A127" s="23" t="n">
        <v>124</v>
      </c>
      <c r="B127" s="24" t="inlineStr">
        <is>
          <t>1.3.4.2</t>
        </is>
      </c>
      <c r="C127" s="25" t="inlineStr">
        <is>
          <t>Part 1 – General &amp; Programme</t>
        </is>
      </c>
      <c r="D127" s="25" t="inlineStr">
        <is>
          <t>1.3 CONCEPT OF OPERATIONS (CONOPS)</t>
        </is>
      </c>
      <c r="E127" s="25" t="inlineStr">
        <is>
          <t>1.3.4 DISPATCH</t>
        </is>
      </c>
      <c r="F127" s="25" t="inlineStr">
        <is>
          <t>The CONTRACTOR delivered OSS911 solution shall insure that there is a dispatch capability within each OSS911 Center for each of the agencies and provinces under the scope of the contract.</t>
        </is>
      </c>
      <c r="G127" s="19" t="n"/>
      <c r="H127" s="20" t="n"/>
      <c r="I127" s="20" t="n"/>
      <c r="J127" s="19" t="n"/>
      <c r="K127" s="21" t="n"/>
      <c r="L127" s="22">
        <f>IF(OR(J127="",K127=""),"",J127*K127)</f>
        <v/>
      </c>
      <c r="M127" s="19" t="n"/>
      <c r="N127" s="20" t="n"/>
      <c r="O127" s="20" t="n"/>
    </row>
    <row r="128">
      <c r="A128" s="16" t="n">
        <v>125</v>
      </c>
      <c r="B128" s="17" t="inlineStr">
        <is>
          <t>1.3.4.3</t>
        </is>
      </c>
      <c r="C128" s="18" t="inlineStr">
        <is>
          <t>Part 1 – General &amp; Programme</t>
        </is>
      </c>
      <c r="D128" s="18" t="inlineStr">
        <is>
          <t>1.3 CONCEPT OF OPERATIONS (CONOPS)</t>
        </is>
      </c>
      <c r="E128" s="18" t="inlineStr">
        <is>
          <t>1.3.4 DISPATCH</t>
        </is>
      </c>
      <c r="F128" s="18" t="inlineStr">
        <is>
          <t>The CONTRACTOR delivered OSS911 solution shall insure that agency dispatchers will be co- located, thus supporting collaborative business processes whilst reflecting their own particular needs.</t>
        </is>
      </c>
      <c r="G128" s="19" t="n"/>
      <c r="H128" s="20" t="n"/>
      <c r="I128" s="20" t="n"/>
      <c r="J128" s="19" t="n"/>
      <c r="K128" s="21" t="n"/>
      <c r="L128" s="22">
        <f>IF(OR(J128="",K128=""),"",J128*K128)</f>
        <v/>
      </c>
      <c r="M128" s="19" t="n"/>
      <c r="N128" s="20" t="n"/>
      <c r="O128" s="20" t="n"/>
    </row>
    <row r="129">
      <c r="A129" s="23" t="n">
        <v>126</v>
      </c>
      <c r="B129" s="24" t="inlineStr">
        <is>
          <t>1.3.4.4</t>
        </is>
      </c>
      <c r="C129" s="25" t="inlineStr">
        <is>
          <t>Part 1 – General &amp; Programme</t>
        </is>
      </c>
      <c r="D129" s="25" t="inlineStr">
        <is>
          <t>1.3 CONCEPT OF OPERATIONS (CONOPS)</t>
        </is>
      </c>
      <c r="E129" s="25" t="inlineStr">
        <is>
          <t>1.3.4 DISPATCH</t>
        </is>
      </c>
      <c r="F129" s="25" t="inlineStr">
        <is>
          <t>The CONTRACTOR delivered OSS911 solution shall insure that demands that form the normal business of Dispatch include the following but be not limited to:</t>
        </is>
      </c>
      <c r="G129" s="19" t="n"/>
      <c r="H129" s="20" t="n"/>
      <c r="I129" s="20" t="n"/>
      <c r="J129" s="19" t="n"/>
      <c r="K129" s="21" t="n"/>
      <c r="L129" s="22">
        <f>IF(OR(J129="",K129=""),"",J129*K129)</f>
        <v/>
      </c>
      <c r="M129" s="19" t="n"/>
      <c r="N129" s="20" t="n"/>
      <c r="O129" s="20" t="n"/>
    </row>
    <row r="130">
      <c r="A130" s="16" t="n">
        <v>127</v>
      </c>
      <c r="B130" s="16" t="inlineStr">
        <is>
          <t>1.3.4.4.1</t>
        </is>
      </c>
      <c r="C130" s="18" t="inlineStr">
        <is>
          <t>Part 1 – General &amp; Programme</t>
        </is>
      </c>
      <c r="D130" s="18" t="inlineStr">
        <is>
          <t>1.3 CONCEPT OF OPERATIONS (CONOPS)</t>
        </is>
      </c>
      <c r="E130" s="18" t="inlineStr">
        <is>
          <t>1.3.4 DISPATCH</t>
        </is>
      </c>
      <c r="F130" s="18" t="inlineStr">
        <is>
          <t>Demands from MOI’s radio networks.</t>
        </is>
      </c>
      <c r="G130" s="19" t="n"/>
      <c r="H130" s="20" t="n"/>
      <c r="I130" s="20" t="n"/>
      <c r="J130" s="19" t="n"/>
      <c r="K130" s="21" t="n"/>
      <c r="L130" s="22">
        <f>IF(OR(J130="",K130=""),"",J130*K130)</f>
        <v/>
      </c>
      <c r="M130" s="19" t="n"/>
      <c r="N130" s="20" t="n"/>
      <c r="O130" s="20" t="n"/>
    </row>
    <row r="131">
      <c r="A131" s="23" t="n">
        <v>128</v>
      </c>
      <c r="B131" s="23" t="inlineStr">
        <is>
          <t>1.3.4.4.2</t>
        </is>
      </c>
      <c r="C131" s="25" t="inlineStr">
        <is>
          <t>Part 1 – General &amp; Programme</t>
        </is>
      </c>
      <c r="D131" s="25" t="inlineStr">
        <is>
          <t>1.3 CONCEPT OF OPERATIONS (CONOPS)</t>
        </is>
      </c>
      <c r="E131" s="25" t="inlineStr">
        <is>
          <t>1.3.4 DISPATCH</t>
        </is>
      </c>
      <c r="F131" s="25" t="inlineStr">
        <is>
          <t>Events created from call taking.</t>
        </is>
      </c>
      <c r="G131" s="19" t="n"/>
      <c r="H131" s="20" t="n"/>
      <c r="I131" s="20" t="n"/>
      <c r="J131" s="19" t="n"/>
      <c r="K131" s="21" t="n"/>
      <c r="L131" s="22">
        <f>IF(OR(J131="",K131=""),"",J131*K131)</f>
        <v/>
      </c>
      <c r="M131" s="19" t="n"/>
      <c r="N131" s="20" t="n"/>
      <c r="O131" s="20" t="n"/>
    </row>
    <row r="132">
      <c r="A132" s="16" t="n">
        <v>129</v>
      </c>
      <c r="B132" s="16" t="inlineStr">
        <is>
          <t>1.3.4.4.3</t>
        </is>
      </c>
      <c r="C132" s="18" t="inlineStr">
        <is>
          <t>Part 1 – General &amp; Programme</t>
        </is>
      </c>
      <c r="D132" s="18" t="inlineStr">
        <is>
          <t>1.3 CONCEPT OF OPERATIONS (CONOPS)</t>
        </is>
      </c>
      <c r="E132" s="18" t="inlineStr">
        <is>
          <t>1.3.4 DISPATCH</t>
        </is>
      </c>
      <c r="F132" s="18" t="inlineStr">
        <is>
          <t>Direct inward Dial (DID) telephone calls (from field operators)</t>
        </is>
      </c>
      <c r="G132" s="19" t="n"/>
      <c r="H132" s="20" t="n"/>
      <c r="I132" s="20" t="n"/>
      <c r="J132" s="19" t="n"/>
      <c r="K132" s="21" t="n"/>
      <c r="L132" s="22">
        <f>IF(OR(J132="",K132=""),"",J132*K132)</f>
        <v/>
      </c>
      <c r="M132" s="19" t="n"/>
      <c r="N132" s="20" t="n"/>
      <c r="O132" s="20" t="n"/>
    </row>
    <row r="133">
      <c r="A133" s="23" t="n">
        <v>130</v>
      </c>
      <c r="B133" s="24" t="inlineStr">
        <is>
          <t>1.3.4.5</t>
        </is>
      </c>
      <c r="C133" s="25" t="inlineStr">
        <is>
          <t>Part 1 – General &amp; Programme</t>
        </is>
      </c>
      <c r="D133" s="25" t="inlineStr">
        <is>
          <t>1.3 CONCEPT OF OPERATIONS (CONOPS)</t>
        </is>
      </c>
      <c r="E133" s="25" t="inlineStr">
        <is>
          <t>1.3.4 DISPATCH</t>
        </is>
      </c>
      <c r="F133" s="25" t="inlineStr">
        <is>
          <t>The CONTRACTOR delivered OSS911 solution shall ensure that the dispatchers will be able to record information and access information from a number of sources to properly assign and support resources. These include but are not limited to:</t>
        </is>
      </c>
      <c r="G133" s="19" t="n"/>
      <c r="H133" s="20" t="n"/>
      <c r="I133" s="20" t="n"/>
      <c r="J133" s="19" t="n"/>
      <c r="K133" s="21" t="n"/>
      <c r="L133" s="22">
        <f>IF(OR(J133="",K133=""),"",J133*K133)</f>
        <v/>
      </c>
      <c r="M133" s="19" t="n"/>
      <c r="N133" s="20" t="n"/>
      <c r="O133" s="20" t="n"/>
    </row>
    <row r="134">
      <c r="A134" s="16" t="n">
        <v>131</v>
      </c>
      <c r="B134" s="16" t="inlineStr">
        <is>
          <t>1.3.4.5.1</t>
        </is>
      </c>
      <c r="C134" s="18" t="inlineStr">
        <is>
          <t>Part 1 – General &amp; Programme</t>
        </is>
      </c>
      <c r="D134" s="18" t="inlineStr">
        <is>
          <t>1.3 CONCEPT OF OPERATIONS (CONOPS)</t>
        </is>
      </c>
      <c r="E134" s="18" t="inlineStr">
        <is>
          <t>1.3.4 DISPATCH</t>
        </is>
      </c>
      <c r="F134" s="18" t="inlineStr">
        <is>
          <t>A method of capturing assignment and situational information.</t>
        </is>
      </c>
      <c r="G134" s="19" t="n"/>
      <c r="H134" s="20" t="n"/>
      <c r="I134" s="20" t="n"/>
      <c r="J134" s="19" t="n"/>
      <c r="K134" s="21" t="n"/>
      <c r="L134" s="22">
        <f>IF(OR(J134="",K134=""),"",J134*K134)</f>
        <v/>
      </c>
      <c r="M134" s="19" t="n"/>
      <c r="N134" s="20" t="n"/>
      <c r="O134" s="20" t="n"/>
    </row>
    <row r="135">
      <c r="A135" s="23" t="n">
        <v>132</v>
      </c>
      <c r="B135" s="23" t="inlineStr">
        <is>
          <t>1.3.4.5.2</t>
        </is>
      </c>
      <c r="C135" s="25" t="inlineStr">
        <is>
          <t>Part 1 – General &amp; Programme</t>
        </is>
      </c>
      <c r="D135" s="25" t="inlineStr">
        <is>
          <t>1.3 CONCEPT OF OPERATIONS (CONOPS)</t>
        </is>
      </c>
      <c r="E135" s="25" t="inlineStr">
        <is>
          <t>1.3.4 DISPATCH</t>
        </is>
      </c>
      <c r="F135" s="25" t="inlineStr">
        <is>
          <t>Communications that allow ‘one to many’ and ‘one to one’ secure conversation between Dispatch and field resources.</t>
        </is>
      </c>
      <c r="G135" s="19" t="n"/>
      <c r="H135" s="20" t="n"/>
      <c r="I135" s="20" t="n"/>
      <c r="J135" s="19" t="n"/>
      <c r="K135" s="21" t="n"/>
      <c r="L135" s="22">
        <f>IF(OR(J135="",K135=""),"",J135*K135)</f>
        <v/>
      </c>
      <c r="M135" s="19" t="n"/>
      <c r="N135" s="20" t="n"/>
      <c r="O135" s="20" t="n"/>
    </row>
    <row r="136">
      <c r="A136" s="16" t="n">
        <v>133</v>
      </c>
      <c r="B136" s="16" t="inlineStr">
        <is>
          <t>1.3.4.5.3</t>
        </is>
      </c>
      <c r="C136" s="18" t="inlineStr">
        <is>
          <t>Part 1 – General &amp; Programme</t>
        </is>
      </c>
      <c r="D136" s="18" t="inlineStr">
        <is>
          <t>1.3 CONCEPT OF OPERATIONS (CONOPS)</t>
        </is>
      </c>
      <c r="E136" s="18" t="inlineStr">
        <is>
          <t>1.3.4 DISPATCH</t>
        </is>
      </c>
      <c r="F136" s="18" t="inlineStr">
        <is>
          <t>Resource availability information.</t>
        </is>
      </c>
      <c r="G136" s="19" t="n"/>
      <c r="H136" s="20" t="n"/>
      <c r="I136" s="20" t="n"/>
      <c r="J136" s="19" t="n"/>
      <c r="K136" s="21" t="n"/>
      <c r="L136" s="22">
        <f>IF(OR(J136="",K136=""),"",J136*K136)</f>
        <v/>
      </c>
      <c r="M136" s="19" t="n"/>
      <c r="N136" s="20" t="n"/>
      <c r="O136" s="20" t="n"/>
    </row>
    <row r="137">
      <c r="A137" s="23" t="n">
        <v>134</v>
      </c>
      <c r="B137" s="23" t="inlineStr">
        <is>
          <t>1.3.4.5.4</t>
        </is>
      </c>
      <c r="C137" s="25" t="inlineStr">
        <is>
          <t>Part 1 – General &amp; Programme</t>
        </is>
      </c>
      <c r="D137" s="25" t="inlineStr">
        <is>
          <t>1.3 CONCEPT OF OPERATIONS (CONOPS)</t>
        </is>
      </c>
      <c r="E137" s="25" t="inlineStr">
        <is>
          <t>1.3.4 DISPATCH</t>
        </is>
      </c>
      <c r="F137" s="25" t="inlineStr">
        <is>
          <t>Mapping and Gazetteer information.</t>
        </is>
      </c>
      <c r="G137" s="19" t="n"/>
      <c r="H137" s="20" t="n"/>
      <c r="I137" s="20" t="n"/>
      <c r="J137" s="19" t="n"/>
      <c r="K137" s="21" t="n"/>
      <c r="L137" s="22">
        <f>IF(OR(J137="",K137=""),"",J137*K137)</f>
        <v/>
      </c>
      <c r="M137" s="19" t="n"/>
      <c r="N137" s="20" t="n"/>
      <c r="O137" s="20" t="n"/>
    </row>
    <row r="138">
      <c r="A138" s="16" t="n">
        <v>135</v>
      </c>
      <c r="B138" s="16" t="inlineStr">
        <is>
          <t>1.3.4.5.5</t>
        </is>
      </c>
      <c r="C138" s="18" t="inlineStr">
        <is>
          <t>Part 1 – General &amp; Programme</t>
        </is>
      </c>
      <c r="D138" s="18" t="inlineStr">
        <is>
          <t>1.3 CONCEPT OF OPERATIONS (CONOPS)</t>
        </is>
      </c>
      <c r="E138" s="18" t="inlineStr">
        <is>
          <t>1.3.4 DISPATCH</t>
        </is>
      </c>
      <c r="F138" s="18" t="inlineStr">
        <is>
          <t>Reference material such as SOPs and response plans.</t>
        </is>
      </c>
      <c r="G138" s="19" t="n"/>
      <c r="H138" s="20" t="n"/>
      <c r="I138" s="20" t="n"/>
      <c r="J138" s="19" t="n"/>
      <c r="K138" s="21" t="n"/>
      <c r="L138" s="22">
        <f>IF(OR(J138="",K138=""),"",J138*K138)</f>
        <v/>
      </c>
      <c r="M138" s="19" t="n"/>
      <c r="N138" s="20" t="n"/>
      <c r="O138" s="20" t="n"/>
    </row>
    <row r="139">
      <c r="A139" s="23" t="n">
        <v>136</v>
      </c>
      <c r="B139" s="23" t="inlineStr">
        <is>
          <t>1.3.4.5.6</t>
        </is>
      </c>
      <c r="C139" s="25" t="inlineStr">
        <is>
          <t>Part 1 – General &amp; Programme</t>
        </is>
      </c>
      <c r="D139" s="25" t="inlineStr">
        <is>
          <t>1.3 CONCEPT OF OPERATIONS (CONOPS)</t>
        </is>
      </c>
      <c r="E139" s="25" t="inlineStr">
        <is>
          <t>1.3.4 DISPATCH</t>
        </is>
      </c>
      <c r="F139" s="25" t="inlineStr">
        <is>
          <t>Information contained in MOI-authorized databases.</t>
        </is>
      </c>
      <c r="G139" s="19" t="n"/>
      <c r="H139" s="20" t="n"/>
      <c r="I139" s="20" t="n"/>
      <c r="J139" s="19" t="n"/>
      <c r="K139" s="21" t="n"/>
      <c r="L139" s="22">
        <f>IF(OR(J139="",K139=""),"",J139*K139)</f>
        <v/>
      </c>
      <c r="M139" s="19" t="n"/>
      <c r="N139" s="20" t="n"/>
      <c r="O139" s="20" t="n"/>
    </row>
    <row r="140">
      <c r="A140" s="16" t="n">
        <v>137</v>
      </c>
      <c r="B140" s="17" t="inlineStr">
        <is>
          <t>1.3.4.6</t>
        </is>
      </c>
      <c r="C140" s="18" t="inlineStr">
        <is>
          <t>Part 1 – General &amp; Programme</t>
        </is>
      </c>
      <c r="D140" s="18" t="inlineStr">
        <is>
          <t>1.3 CONCEPT OF OPERATIONS (CONOPS)</t>
        </is>
      </c>
      <c r="E140" s="18" t="inlineStr">
        <is>
          <t>1.3.4 DISPATCH</t>
        </is>
      </c>
      <c r="F140" s="18" t="inlineStr">
        <is>
          <t>The CONTRACTOR delivered OSS911 solution for the operation of Dispatch shall ensure that:</t>
        </is>
      </c>
      <c r="G140" s="19" t="n"/>
      <c r="H140" s="20" t="n"/>
      <c r="I140" s="20" t="n"/>
      <c r="J140" s="19" t="n"/>
      <c r="K140" s="21" t="n"/>
      <c r="L140" s="22">
        <f>IF(OR(J140="",K140=""),"",J140*K140)</f>
        <v/>
      </c>
      <c r="M140" s="19" t="n"/>
      <c r="N140" s="20" t="n"/>
      <c r="O140" s="20" t="n"/>
    </row>
    <row r="141">
      <c r="A141" s="23" t="n">
        <v>138</v>
      </c>
      <c r="B141" s="23" t="inlineStr">
        <is>
          <t>1.3.4.6.1</t>
        </is>
      </c>
      <c r="C141" s="25" t="inlineStr">
        <is>
          <t>Part 1 – General &amp; Programme</t>
        </is>
      </c>
      <c r="D141" s="25" t="inlineStr">
        <is>
          <t>1.3 CONCEPT OF OPERATIONS (CONOPS)</t>
        </is>
      </c>
      <c r="E141" s="25" t="inlineStr">
        <is>
          <t>1.3.4 DISPATCH</t>
        </is>
      </c>
      <c r="F141" s="25" t="inlineStr">
        <is>
          <t>Incidents that require the deployment of resources are forwarded to Dispatch for appropriate action.</t>
        </is>
      </c>
      <c r="G141" s="19" t="n"/>
      <c r="H141" s="20" t="n"/>
      <c r="I141" s="20" t="n"/>
      <c r="J141" s="19" t="n"/>
      <c r="K141" s="21" t="n"/>
      <c r="L141" s="22">
        <f>IF(OR(J141="",K141=""),"",J141*K141)</f>
        <v/>
      </c>
      <c r="M141" s="19" t="n"/>
      <c r="N141" s="20" t="n"/>
      <c r="O141" s="20" t="n"/>
    </row>
    <row r="142">
      <c r="A142" s="16" t="n">
        <v>139</v>
      </c>
      <c r="B142" s="16" t="inlineStr">
        <is>
          <t>1.3.4.6.2</t>
        </is>
      </c>
      <c r="C142" s="18" t="inlineStr">
        <is>
          <t>Part 1 – General &amp; Programme</t>
        </is>
      </c>
      <c r="D142" s="18" t="inlineStr">
        <is>
          <t>1.3 CONCEPT OF OPERATIONS (CONOPS)</t>
        </is>
      </c>
      <c r="E142" s="18" t="inlineStr">
        <is>
          <t>1.3.4 DISPATCH</t>
        </is>
      </c>
      <c r="F142" s="18" t="inlineStr">
        <is>
          <t>When the created Incident passes to Dispatch, the location of the incident and the incident types identify the relevant dispatch queue – this may be a single dispatcher position, a group of positions or to a functional (non-geographically aligned) position.</t>
        </is>
      </c>
      <c r="G142" s="19" t="n"/>
      <c r="H142" s="20" t="n"/>
      <c r="I142" s="20" t="n"/>
      <c r="J142" s="19" t="n"/>
      <c r="K142" s="21" t="n"/>
      <c r="L142" s="22">
        <f>IF(OR(J142="",K142=""),"",J142*K142)</f>
        <v/>
      </c>
      <c r="M142" s="19" t="n"/>
      <c r="N142" s="20" t="n"/>
      <c r="O142" s="20" t="n"/>
    </row>
    <row r="143">
      <c r="A143" s="23" t="n">
        <v>140</v>
      </c>
      <c r="B143" s="23" t="inlineStr">
        <is>
          <t>1.3.4.6.3</t>
        </is>
      </c>
      <c r="C143" s="25" t="inlineStr">
        <is>
          <t>Part 1 – General &amp; Programme</t>
        </is>
      </c>
      <c r="D143" s="25" t="inlineStr">
        <is>
          <t>1.3 CONCEPT OF OPERATIONS (CONOPS)</t>
        </is>
      </c>
      <c r="E143" s="25" t="inlineStr">
        <is>
          <t>1.3.4 DISPATCH</t>
        </is>
      </c>
      <c r="F143" s="25" t="inlineStr">
        <is>
          <t>Functional queues may exist for units that are not geographically aligned, for example region units such as helicopter assets, Special Weapons and Tactics (SWAT) etc.</t>
        </is>
      </c>
      <c r="G143" s="19" t="n"/>
      <c r="H143" s="20" t="n"/>
      <c r="I143" s="20" t="n"/>
      <c r="J143" s="19" t="n"/>
      <c r="K143" s="21" t="n"/>
      <c r="L143" s="22">
        <f>IF(OR(J143="",K143=""),"",J143*K143)</f>
        <v/>
      </c>
      <c r="M143" s="19" t="n"/>
      <c r="N143" s="20" t="n"/>
      <c r="O143" s="20" t="n"/>
    </row>
    <row r="144">
      <c r="A144" s="16" t="n">
        <v>141</v>
      </c>
      <c r="B144" s="16" t="inlineStr">
        <is>
          <t>1.3.4.6.4</t>
        </is>
      </c>
      <c r="C144" s="18" t="inlineStr">
        <is>
          <t>Part 1 – General &amp; Programme</t>
        </is>
      </c>
      <c r="D144" s="18" t="inlineStr">
        <is>
          <t>1.3 CONCEPT OF OPERATIONS (CONOPS)</t>
        </is>
      </c>
      <c r="E144" s="18" t="inlineStr">
        <is>
          <t>1.3.4 DISPATCH</t>
        </is>
      </c>
      <c r="F144" s="18" t="inlineStr">
        <is>
          <t>Where more than one agency is shown the incident record goes to each agency queue; an indication that this has happened must be visible to each agency dispatcher on the system. As Dispatchers update the incident record with comments and actions, these should be visible to all dispatchers unless there is sensitive information on the message, where that particular data should be restricted and only visible to dispatchers in queues identified by the restricting authority.</t>
        </is>
      </c>
      <c r="G144" s="19" t="n"/>
      <c r="H144" s="20" t="n"/>
      <c r="I144" s="20" t="n"/>
      <c r="J144" s="19" t="n"/>
      <c r="K144" s="21" t="n"/>
      <c r="L144" s="22">
        <f>IF(OR(J144="",K144=""),"",J144*K144)</f>
        <v/>
      </c>
      <c r="M144" s="19" t="n"/>
      <c r="N144" s="20" t="n"/>
      <c r="O144" s="20" t="n"/>
    </row>
    <row r="145">
      <c r="A145" s="23" t="n">
        <v>142</v>
      </c>
      <c r="B145" s="23" t="inlineStr">
        <is>
          <t>1.3.4.6.5</t>
        </is>
      </c>
      <c r="C145" s="25" t="inlineStr">
        <is>
          <t>Part 1 – General &amp; Programme</t>
        </is>
      </c>
      <c r="D145" s="25" t="inlineStr">
        <is>
          <t>1.3 CONCEPT OF OPERATIONS (CONOPS)</t>
        </is>
      </c>
      <c r="E145" s="25" t="inlineStr">
        <is>
          <t>1.3.4 DISPATCH</t>
        </is>
      </c>
      <c r="F145" s="25" t="inlineStr">
        <is>
          <t>Dispatch shall have the capability to assign the field units/resources to events and shall have the capability to provide operational support to those resources via bidirectional electronic data exchange and/or bidirectional voice communications.</t>
        </is>
      </c>
      <c r="G145" s="19" t="n"/>
      <c r="H145" s="20" t="n"/>
      <c r="I145" s="20" t="n"/>
      <c r="J145" s="19" t="n"/>
      <c r="K145" s="21" t="n"/>
      <c r="L145" s="22">
        <f>IF(OR(J145="",K145=""),"",J145*K145)</f>
        <v/>
      </c>
      <c r="M145" s="19" t="n"/>
      <c r="N145" s="20" t="n"/>
      <c r="O145" s="20" t="n"/>
    </row>
    <row r="146">
      <c r="A146" s="16" t="n">
        <v>143</v>
      </c>
      <c r="B146" s="16" t="inlineStr">
        <is>
          <t>1.3.4.6.6</t>
        </is>
      </c>
      <c r="C146" s="18" t="inlineStr">
        <is>
          <t>Part 1 – General &amp; Programme</t>
        </is>
      </c>
      <c r="D146" s="18" t="inlineStr">
        <is>
          <t>1.3 CONCEPT OF OPERATIONS (CONOPS)</t>
        </is>
      </c>
      <c r="E146" s="18" t="inlineStr">
        <is>
          <t>1.3.4 DISPATCH</t>
        </is>
      </c>
      <c r="F146" s="18" t="inlineStr">
        <is>
          <t>The resource management function within the IRMS shall allow Dispatchers to both monitor and collate the status, and therefore the likely availability, of assignable resources once they are confirmed as assignable.</t>
        </is>
      </c>
      <c r="G146" s="19" t="n"/>
      <c r="H146" s="20" t="n"/>
      <c r="I146" s="20" t="n"/>
      <c r="J146" s="19" t="n"/>
      <c r="K146" s="21" t="n"/>
      <c r="L146" s="22">
        <f>IF(OR(J146="",K146=""),"",J146*K146)</f>
        <v/>
      </c>
      <c r="M146" s="19" t="n"/>
      <c r="N146" s="20" t="n"/>
      <c r="O146" s="20" t="n"/>
    </row>
    <row r="147">
      <c r="A147" s="23" t="n">
        <v>144</v>
      </c>
      <c r="B147" s="23" t="inlineStr">
        <is>
          <t>1.3.4.6.7</t>
        </is>
      </c>
      <c r="C147" s="25" t="inlineStr">
        <is>
          <t>Part 1 – General &amp; Programme</t>
        </is>
      </c>
      <c r="D147" s="25" t="inlineStr">
        <is>
          <t>1.3 CONCEPT OF OPERATIONS (CONOPS)</t>
        </is>
      </c>
      <c r="E147" s="25" t="inlineStr">
        <is>
          <t>1.3.4 DISPATCH</t>
        </is>
      </c>
      <c r="F147" s="25" t="inlineStr">
        <is>
          <t>The IRMS will identify to the Dispatchers when there are no assignable resources available for deployment within their patrol area.</t>
        </is>
      </c>
      <c r="G147" s="19" t="n"/>
      <c r="H147" s="20" t="n"/>
      <c r="I147" s="20" t="n"/>
      <c r="J147" s="19" t="n"/>
      <c r="K147" s="21" t="n"/>
      <c r="L147" s="22">
        <f>IF(OR(J147="",K147=""),"",J147*K147)</f>
        <v/>
      </c>
      <c r="M147" s="19" t="n"/>
      <c r="N147" s="20" t="n"/>
      <c r="O147" s="20" t="n"/>
    </row>
    <row r="148">
      <c r="A148" s="16" t="n">
        <v>145</v>
      </c>
      <c r="B148" s="16" t="inlineStr">
        <is>
          <t>1.3.4.6.8</t>
        </is>
      </c>
      <c r="C148" s="18" t="inlineStr">
        <is>
          <t>Part 1 – General &amp; Programme</t>
        </is>
      </c>
      <c r="D148" s="18" t="inlineStr">
        <is>
          <t>1.3 CONCEPT OF OPERATIONS (CONOPS)</t>
        </is>
      </c>
      <c r="E148" s="18" t="inlineStr">
        <is>
          <t>1.3.4 DISPATCH</t>
        </is>
      </c>
      <c r="F148" s="18" t="inlineStr">
        <is>
          <t>The IRMS will have readily available in database for Dispatchers the location, status and availability, skill/competency and equipment of resources when considering modification of system recommendation of which resources are appropriate to assign based on the differing types of demand.</t>
        </is>
      </c>
      <c r="G148" s="19" t="n"/>
      <c r="H148" s="20" t="n"/>
      <c r="I148" s="20" t="n"/>
      <c r="J148" s="19" t="n"/>
      <c r="K148" s="21" t="n"/>
      <c r="L148" s="22">
        <f>IF(OR(J148="",K148=""),"",J148*K148)</f>
        <v/>
      </c>
      <c r="M148" s="19" t="n"/>
      <c r="N148" s="20" t="n"/>
      <c r="O148" s="20" t="n"/>
    </row>
    <row r="149">
      <c r="A149" s="23" t="n">
        <v>146</v>
      </c>
      <c r="B149" s="23" t="inlineStr">
        <is>
          <t>1.3.4.6.9</t>
        </is>
      </c>
      <c r="C149" s="25" t="inlineStr">
        <is>
          <t>Part 1 – General &amp; Programme</t>
        </is>
      </c>
      <c r="D149" s="25" t="inlineStr">
        <is>
          <t>1.3 CONCEPT OF OPERATIONS (CONOPS)</t>
        </is>
      </c>
      <c r="E149" s="25" t="inlineStr">
        <is>
          <t>1.3.4 DISPATCH</t>
        </is>
      </c>
      <c r="F149" s="25" t="inlineStr">
        <is>
          <t>The IRMS will support Dispatchers by recommending the most appropriate assignments with regard to skills, proximity and availability.</t>
        </is>
      </c>
      <c r="G149" s="19" t="n"/>
      <c r="H149" s="20" t="n"/>
      <c r="I149" s="20" t="n"/>
      <c r="J149" s="19" t="n"/>
      <c r="K149" s="21" t="n"/>
      <c r="L149" s="22">
        <f>IF(OR(J149="",K149=""),"",J149*K149)</f>
        <v/>
      </c>
      <c r="M149" s="19" t="n"/>
      <c r="N149" s="20" t="n"/>
      <c r="O149" s="20" t="n"/>
    </row>
    <row r="150">
      <c r="A150" s="16" t="n">
        <v>147</v>
      </c>
      <c r="B150" s="16" t="inlineStr">
        <is>
          <t>1.3.4.6.10</t>
        </is>
      </c>
      <c r="C150" s="18" t="inlineStr">
        <is>
          <t>Part 1 – General &amp; Programme</t>
        </is>
      </c>
      <c r="D150" s="18" t="inlineStr">
        <is>
          <t>1.3 CONCEPT OF OPERATIONS (CONOPS)</t>
        </is>
      </c>
      <c r="E150" s="18" t="inlineStr">
        <is>
          <t>1.3.4 DISPATCH</t>
        </is>
      </c>
      <c r="F150" s="18" t="inlineStr">
        <is>
          <t>Dispatchers will assign units either by the use of radio, by the passing of electronic messaging (where mobile data systems exist) or a combination of both. Dispatchers and field supervisors will have the capability to request alternative resource assignment than the one recommended by IRMS.</t>
        </is>
      </c>
      <c r="G150" s="19" t="n"/>
      <c r="H150" s="20" t="n"/>
      <c r="I150" s="20" t="n"/>
      <c r="J150" s="19" t="n"/>
      <c r="K150" s="21" t="n"/>
      <c r="L150" s="22">
        <f>IF(OR(J150="",K150=""),"",J150*K150)</f>
        <v/>
      </c>
      <c r="M150" s="19" t="n"/>
      <c r="N150" s="20" t="n"/>
      <c r="O150" s="20" t="n"/>
    </row>
    <row r="151">
      <c r="A151" s="23" t="n">
        <v>148</v>
      </c>
      <c r="B151" s="23" t="inlineStr">
        <is>
          <t>1.3.4.6.11</t>
        </is>
      </c>
      <c r="C151" s="25" t="inlineStr">
        <is>
          <t>Part 1 – General &amp; Programme</t>
        </is>
      </c>
      <c r="D151" s="25" t="inlineStr">
        <is>
          <t>1.3 CONCEPT OF OPERATIONS (CONOPS)</t>
        </is>
      </c>
      <c r="E151" s="25" t="inlineStr">
        <is>
          <t>1.3.4 DISPATCH</t>
        </is>
      </c>
      <c r="F151" s="25" t="inlineStr">
        <is>
          <t>IRMS system will have the capability to create an incident or perform MOI-authorized databases information queries by Dispatcher on the request of field personnel or if a mobile data system terminal is available to field personnel, they may perform their own queries or create incidents.</t>
        </is>
      </c>
      <c r="G151" s="19" t="n"/>
      <c r="H151" s="20" t="n"/>
      <c r="I151" s="20" t="n"/>
      <c r="J151" s="19" t="n"/>
      <c r="K151" s="21" t="n"/>
      <c r="L151" s="22">
        <f>IF(OR(J151="",K151=""),"",J151*K151)</f>
        <v/>
      </c>
      <c r="M151" s="19" t="n"/>
      <c r="N151" s="20" t="n"/>
      <c r="O151" s="20" t="n"/>
    </row>
    <row r="152">
      <c r="A152" s="16" t="n">
        <v>149</v>
      </c>
      <c r="B152" s="16" t="inlineStr">
        <is>
          <t>1.3.4.6.12</t>
        </is>
      </c>
      <c r="C152" s="18" t="inlineStr">
        <is>
          <t>Part 1 – General &amp; Programme</t>
        </is>
      </c>
      <c r="D152" s="18" t="inlineStr">
        <is>
          <t>1.3 CONCEPT OF OPERATIONS (CONOPS)</t>
        </is>
      </c>
      <c r="E152" s="18" t="inlineStr">
        <is>
          <t>1.3.4 DISPATCH</t>
        </is>
      </c>
      <c r="F152" s="18" t="inlineStr">
        <is>
          <t>The IRMS shall have the capability to display, track, record and playback all mobile and handheld MOI radio terminals which have GPS location capability enabled and which have been integrated into the IRMS system.</t>
        </is>
      </c>
      <c r="G152" s="19" t="n"/>
      <c r="H152" s="20" t="n"/>
      <c r="I152" s="20" t="n"/>
      <c r="J152" s="19" t="n"/>
      <c r="K152" s="21" t="n"/>
      <c r="L152" s="22">
        <f>IF(OR(J152="",K152=""),"",J152*K152)</f>
        <v/>
      </c>
      <c r="M152" s="19" t="n"/>
      <c r="N152" s="20" t="n"/>
      <c r="O152" s="20" t="n"/>
    </row>
    <row r="153">
      <c r="A153" s="23" t="n">
        <v>150</v>
      </c>
      <c r="B153" s="24" t="inlineStr">
        <is>
          <t>1.3.5.1</t>
        </is>
      </c>
      <c r="C153" s="25" t="inlineStr">
        <is>
          <t>Part 1 – General &amp; Programme</t>
        </is>
      </c>
      <c r="D153" s="25" t="inlineStr">
        <is>
          <t>1.3 CONCEPT OF OPERATIONS (CONOPS)</t>
        </is>
      </c>
      <c r="E153" s="25" t="inlineStr">
        <is>
          <t>1.3.5 INCIDENT RECORDS MANAGEMENT</t>
        </is>
      </c>
      <c r="F153" s="25" t="inlineStr">
        <is>
          <t>The CONTRACTOR delivered OSS911 solution shall ensure that an incident record can only be closed when acting on the recommendations of an Incident Records Management (IRM) function with appropriate permission.</t>
        </is>
      </c>
      <c r="G153" s="19" t="n"/>
      <c r="H153" s="20" t="n"/>
      <c r="I153" s="20" t="n"/>
      <c r="J153" s="19" t="n"/>
      <c r="K153" s="21" t="n"/>
      <c r="L153" s="22">
        <f>IF(OR(J153="",K153=""),"",J153*K153)</f>
        <v/>
      </c>
      <c r="M153" s="19" t="n"/>
      <c r="N153" s="20" t="n"/>
      <c r="O153" s="20" t="n"/>
    </row>
    <row r="154">
      <c r="A154" s="16" t="n">
        <v>151</v>
      </c>
      <c r="B154" s="17" t="inlineStr">
        <is>
          <t>1.3.5.2</t>
        </is>
      </c>
      <c r="C154" s="18" t="inlineStr">
        <is>
          <t>Part 1 – General &amp; Programme</t>
        </is>
      </c>
      <c r="D154" s="18" t="inlineStr">
        <is>
          <t>1.3 CONCEPT OF OPERATIONS (CONOPS)</t>
        </is>
      </c>
      <c r="E154" s="18" t="inlineStr">
        <is>
          <t>1.3.5 INCIDENT RECORDS MANAGEMENT</t>
        </is>
      </c>
      <c r="F154" s="18" t="inlineStr">
        <is>
          <t>The CONTRACTOR delivered OSS911 solution shall ensure capabilities for Incident Records Management (IRM) which will comprise one or more people whose role will be to track all open incident records, once any initial dispatch operations have taken place. Their capabilities will be to:</t>
        </is>
      </c>
      <c r="G154" s="19" t="n"/>
      <c r="H154" s="20" t="n"/>
      <c r="I154" s="20" t="n"/>
      <c r="J154" s="19" t="n"/>
      <c r="K154" s="21" t="n"/>
      <c r="L154" s="22">
        <f>IF(OR(J154="",K154=""),"",J154*K154)</f>
        <v/>
      </c>
      <c r="M154" s="19" t="n"/>
      <c r="N154" s="20" t="n"/>
      <c r="O154" s="20" t="n"/>
    </row>
    <row r="155">
      <c r="A155" s="23" t="n">
        <v>152</v>
      </c>
      <c r="B155" s="23" t="inlineStr">
        <is>
          <t>1.3.5.2.1</t>
        </is>
      </c>
      <c r="C155" s="25" t="inlineStr">
        <is>
          <t>Part 1 – General &amp; Programme</t>
        </is>
      </c>
      <c r="D155" s="25" t="inlineStr">
        <is>
          <t>1.3 CONCEPT OF OPERATIONS (CONOPS)</t>
        </is>
      </c>
      <c r="E155" s="25" t="inlineStr">
        <is>
          <t>1.3.5 INCIDENT RECORDS MANAGEMENT</t>
        </is>
      </c>
      <c r="F155" s="25" t="inlineStr">
        <is>
          <t>Retrieve incident record to determine if incident has been classified properly.</t>
        </is>
      </c>
      <c r="G155" s="19" t="n"/>
      <c r="H155" s="20" t="n"/>
      <c r="I155" s="20" t="n"/>
      <c r="J155" s="19" t="n"/>
      <c r="K155" s="21" t="n"/>
      <c r="L155" s="22">
        <f>IF(OR(J155="",K155=""),"",J155*K155)</f>
        <v/>
      </c>
      <c r="M155" s="19" t="n"/>
      <c r="N155" s="20" t="n"/>
      <c r="O155" s="20" t="n"/>
    </row>
    <row r="156">
      <c r="A156" s="16" t="n">
        <v>153</v>
      </c>
      <c r="B156" s="16" t="inlineStr">
        <is>
          <t>1.3.5.2.2</t>
        </is>
      </c>
      <c r="C156" s="18" t="inlineStr">
        <is>
          <t>Part 1 – General &amp; Programme</t>
        </is>
      </c>
      <c r="D156" s="18" t="inlineStr">
        <is>
          <t>1.3 CONCEPT OF OPERATIONS (CONOPS)</t>
        </is>
      </c>
      <c r="E156" s="18" t="inlineStr">
        <is>
          <t>1.3.5 INCIDENT RECORDS MANAGEMENT</t>
        </is>
      </c>
      <c r="F156" s="18" t="inlineStr">
        <is>
          <t>Review recorded information and actions performed.</t>
        </is>
      </c>
      <c r="G156" s="19" t="n"/>
      <c r="H156" s="20" t="n"/>
      <c r="I156" s="20" t="n"/>
      <c r="J156" s="19" t="n"/>
      <c r="K156" s="21" t="n"/>
      <c r="L156" s="22">
        <f>IF(OR(J156="",K156=""),"",J156*K156)</f>
        <v/>
      </c>
      <c r="M156" s="19" t="n"/>
      <c r="N156" s="20" t="n"/>
      <c r="O156" s="20" t="n"/>
    </row>
    <row r="157">
      <c r="A157" s="23" t="n">
        <v>154</v>
      </c>
      <c r="B157" s="23" t="inlineStr">
        <is>
          <t>1.3.5.2.3</t>
        </is>
      </c>
      <c r="C157" s="25" t="inlineStr">
        <is>
          <t>Part 1 – General &amp; Programme</t>
        </is>
      </c>
      <c r="D157" s="25" t="inlineStr">
        <is>
          <t>1.3 CONCEPT OF OPERATIONS (CONOPS)</t>
        </is>
      </c>
      <c r="E157" s="25" t="inlineStr">
        <is>
          <t>1.3.5 INCIDENT RECORDS MANAGEMENT</t>
        </is>
      </c>
      <c r="F157" s="25" t="inlineStr">
        <is>
          <t>See the entire chronological record from creation to closure.</t>
        </is>
      </c>
      <c r="G157" s="19" t="n"/>
      <c r="H157" s="20" t="n"/>
      <c r="I157" s="20" t="n"/>
      <c r="J157" s="19" t="n"/>
      <c r="K157" s="21" t="n"/>
      <c r="L157" s="22">
        <f>IF(OR(J157="",K157=""),"",J157*K157)</f>
        <v/>
      </c>
      <c r="M157" s="19" t="n"/>
      <c r="N157" s="20" t="n"/>
      <c r="O157" s="20" t="n"/>
    </row>
    <row r="158">
      <c r="A158" s="16" t="n">
        <v>155</v>
      </c>
      <c r="B158" s="16" t="inlineStr">
        <is>
          <t>1.3.5.2.4</t>
        </is>
      </c>
      <c r="C158" s="18" t="inlineStr">
        <is>
          <t>Part 1 – General &amp; Programme</t>
        </is>
      </c>
      <c r="D158" s="18" t="inlineStr">
        <is>
          <t>1.3 CONCEPT OF OPERATIONS (CONOPS)</t>
        </is>
      </c>
      <c r="E158" s="18" t="inlineStr">
        <is>
          <t>1.3.5 INCIDENT RECORDS MANAGEMENT</t>
        </is>
      </c>
      <c r="F158" s="18" t="inlineStr">
        <is>
          <t>Display the results of any actions, or progress updates, are recorded on incident records.</t>
        </is>
      </c>
      <c r="G158" s="19" t="n"/>
      <c r="H158" s="20" t="n"/>
      <c r="I158" s="20" t="n"/>
      <c r="J158" s="19" t="n"/>
      <c r="K158" s="21" t="n"/>
      <c r="L158" s="22">
        <f>IF(OR(J158="",K158=""),"",J158*K158)</f>
        <v/>
      </c>
      <c r="M158" s="19" t="n"/>
      <c r="N158" s="20" t="n"/>
      <c r="O158" s="20" t="n"/>
    </row>
    <row r="159">
      <c r="A159" s="23" t="n">
        <v>156</v>
      </c>
      <c r="B159" s="23" t="inlineStr">
        <is>
          <t>1.3.5.2.5</t>
        </is>
      </c>
      <c r="C159" s="25" t="inlineStr">
        <is>
          <t>Part 1 – General &amp; Programme</t>
        </is>
      </c>
      <c r="D159" s="25" t="inlineStr">
        <is>
          <t>1.3 CONCEPT OF OPERATIONS (CONOPS)</t>
        </is>
      </c>
      <c r="E159" s="25" t="inlineStr">
        <is>
          <t>1.3.5 INCIDENT RECORDS MANAGEMENT</t>
        </is>
      </c>
      <c r="F159" s="25" t="inlineStr">
        <is>
          <t>Inform authorized personnel when the incident has been completed and all actions are either closed or progressed to the point where they can be considered such.</t>
        </is>
      </c>
      <c r="G159" s="19" t="n"/>
      <c r="H159" s="20" t="n"/>
      <c r="I159" s="20" t="n"/>
      <c r="J159" s="19" t="n"/>
      <c r="K159" s="21" t="n"/>
      <c r="L159" s="22">
        <f>IF(OR(J159="",K159=""),"",J159*K159)</f>
        <v/>
      </c>
      <c r="M159" s="19" t="n"/>
      <c r="N159" s="20" t="n"/>
      <c r="O159" s="20" t="n"/>
    </row>
    <row r="160">
      <c r="A160" s="16" t="n">
        <v>157</v>
      </c>
      <c r="B160" s="17" t="inlineStr">
        <is>
          <t>1.3.6.1</t>
        </is>
      </c>
      <c r="C160" s="18" t="inlineStr">
        <is>
          <t>Part 1 – General &amp; Programme</t>
        </is>
      </c>
      <c r="D160" s="18" t="inlineStr">
        <is>
          <t>1.3 CONCEPT OF OPERATIONS (CONOPS)</t>
        </is>
      </c>
      <c r="E160" s="18" t="inlineStr">
        <is>
          <t>1.3.6 OPERATIONAL SUPPORT LIAISONS</t>
        </is>
      </c>
      <c r="F160" s="18" t="inlineStr">
        <is>
          <t>The CONTRACTOR shall supply IRMS integrated solutions to enable the operational support liaisons to take care of liaising operations with their or other agencies that are required to participate in related situations.</t>
        </is>
      </c>
      <c r="G160" s="19" t="n"/>
      <c r="H160" s="20" t="n"/>
      <c r="I160" s="20" t="n"/>
      <c r="J160" s="19" t="n"/>
      <c r="K160" s="21" t="n"/>
      <c r="L160" s="22">
        <f>IF(OR(J160="",K160=""),"",J160*K160)</f>
        <v/>
      </c>
      <c r="M160" s="19" t="n"/>
      <c r="N160" s="20" t="n"/>
      <c r="O160" s="20" t="n"/>
    </row>
    <row r="161">
      <c r="A161" s="23" t="n">
        <v>158</v>
      </c>
      <c r="B161" s="24" t="inlineStr">
        <is>
          <t>1.3.6.2</t>
        </is>
      </c>
      <c r="C161" s="25" t="inlineStr">
        <is>
          <t>Part 1 – General &amp; Programme</t>
        </is>
      </c>
      <c r="D161" s="25" t="inlineStr">
        <is>
          <t>1.3 CONCEPT OF OPERATIONS (CONOPS)</t>
        </is>
      </c>
      <c r="E161" s="25" t="inlineStr">
        <is>
          <t>1.3.6 OPERATIONAL SUPPORT LIAISONS</t>
        </is>
      </c>
      <c r="F161" s="25" t="inlineStr">
        <is>
          <t>The CONTRACTOR IRMS solution shall ensure that each of the liaisons is able to view and provide updates to incidents that are related to his agency only unless mandated by the MOI authority to be able to have additional agency incidents’ view and edit capabilities.</t>
        </is>
      </c>
      <c r="G161" s="19" t="n"/>
      <c r="H161" s="20" t="n"/>
      <c r="I161" s="20" t="n"/>
      <c r="J161" s="19" t="n"/>
      <c r="K161" s="21" t="n"/>
      <c r="L161" s="22">
        <f>IF(OR(J161="",K161=""),"",J161*K161)</f>
        <v/>
      </c>
      <c r="M161" s="19" t="n"/>
      <c r="N161" s="20" t="n"/>
      <c r="O161" s="20" t="n"/>
    </row>
    <row r="162">
      <c r="A162" s="16" t="n">
        <v>159</v>
      </c>
      <c r="B162" s="17" t="inlineStr">
        <is>
          <t>1.3.7.1</t>
        </is>
      </c>
      <c r="C162" s="18" t="inlineStr">
        <is>
          <t>Part 1 – General &amp; Programme</t>
        </is>
      </c>
      <c r="D162" s="18" t="inlineStr">
        <is>
          <t>1.3 CONCEPT OF OPERATIONS (CONOPS)</t>
        </is>
      </c>
      <c r="E162" s="18" t="inlineStr">
        <is>
          <t>1.3.7 JOINT OPERATIONS AND CRISIS MANAGEMENT</t>
        </is>
      </c>
      <c r="F162" s="18" t="inlineStr">
        <is>
          <t>The CONTRACTOR shall supply IRMS integrated solutions for Disaster and Crisis management functionality that enables:</t>
        </is>
      </c>
      <c r="G162" s="19" t="n"/>
      <c r="H162" s="20" t="n"/>
      <c r="I162" s="20" t="n"/>
      <c r="J162" s="19" t="n"/>
      <c r="K162" s="21" t="n"/>
      <c r="L162" s="22">
        <f>IF(OR(J162="",K162=""),"",J162*K162)</f>
        <v/>
      </c>
      <c r="M162" s="19" t="n"/>
      <c r="N162" s="20" t="n"/>
      <c r="O162" s="20" t="n"/>
    </row>
    <row r="163">
      <c r="A163" s="23" t="n">
        <v>160</v>
      </c>
      <c r="B163" s="23" t="inlineStr">
        <is>
          <t>1.3.7.1.1</t>
        </is>
      </c>
      <c r="C163" s="25" t="inlineStr">
        <is>
          <t>Part 1 – General &amp; Programme</t>
        </is>
      </c>
      <c r="D163" s="25" t="inlineStr">
        <is>
          <t>1.3 CONCEPT OF OPERATIONS (CONOPS)</t>
        </is>
      </c>
      <c r="E163" s="25" t="inlineStr">
        <is>
          <t>1.3.7 JOINT OPERATIONS AND CRISIS MANAGEMENT</t>
        </is>
      </c>
      <c r="F163" s="25" t="inlineStr">
        <is>
          <t>Access to active and archived IRMS data in operational areas including but not limited to the crisis management meeting room.</t>
        </is>
      </c>
      <c r="G163" s="19" t="n"/>
      <c r="H163" s="20" t="n"/>
      <c r="I163" s="20" t="n"/>
      <c r="J163" s="19" t="n"/>
      <c r="K163" s="21" t="n"/>
      <c r="L163" s="22">
        <f>IF(OR(J163="",K163=""),"",J163*K163)</f>
        <v/>
      </c>
      <c r="M163" s="19" t="n"/>
      <c r="N163" s="20" t="n"/>
      <c r="O163" s="20" t="n"/>
    </row>
    <row r="164">
      <c r="A164" s="16" t="n">
        <v>161</v>
      </c>
      <c r="B164" s="16" t="inlineStr">
        <is>
          <t>1.3.7.1.2</t>
        </is>
      </c>
      <c r="C164" s="18" t="inlineStr">
        <is>
          <t>Part 1 – General &amp; Programme</t>
        </is>
      </c>
      <c r="D164" s="18" t="inlineStr">
        <is>
          <t>1.3 CONCEPT OF OPERATIONS (CONOPS)</t>
        </is>
      </c>
      <c r="E164" s="18" t="inlineStr">
        <is>
          <t>1.3.7 JOINT OPERATIONS AND CRISIS MANAGEMENT</t>
        </is>
      </c>
      <c r="F164" s="18" t="inlineStr">
        <is>
          <t>The capability to perform dispatch functionality of escalated incidents and crisis.</t>
        </is>
      </c>
      <c r="G164" s="19" t="n"/>
      <c r="H164" s="20" t="n"/>
      <c r="I164" s="20" t="n"/>
      <c r="J164" s="19" t="n"/>
      <c r="K164" s="21" t="n"/>
      <c r="L164" s="22">
        <f>IF(OR(J164="",K164=""),"",J164*K164)</f>
        <v/>
      </c>
      <c r="M164" s="19" t="n"/>
      <c r="N164" s="20" t="n"/>
      <c r="O164" s="20" t="n"/>
    </row>
    <row r="165">
      <c r="A165" s="23" t="n">
        <v>162</v>
      </c>
      <c r="B165" s="23" t="inlineStr">
        <is>
          <t>1.3.7.1.3</t>
        </is>
      </c>
      <c r="C165" s="25" t="inlineStr">
        <is>
          <t>Part 1 – General &amp; Programme</t>
        </is>
      </c>
      <c r="D165" s="25" t="inlineStr">
        <is>
          <t>1.3 CONCEPT OF OPERATIONS (CONOPS)</t>
        </is>
      </c>
      <c r="E165" s="25" t="inlineStr">
        <is>
          <t>1.3.7 JOINT OPERATIONS AND CRISIS MANAGEMENT</t>
        </is>
      </c>
      <c r="F165" s="25" t="inlineStr">
        <is>
          <t>The capability to support the joint operations liaisons functionality of the escalated incidents and crisis (which does not require dispatch function).</t>
        </is>
      </c>
      <c r="G165" s="19" t="n"/>
      <c r="H165" s="20" t="n"/>
      <c r="I165" s="20" t="n"/>
      <c r="J165" s="19" t="n"/>
      <c r="K165" s="21" t="n"/>
      <c r="L165" s="22">
        <f>IF(OR(J165="",K165=""),"",J165*K165)</f>
        <v/>
      </c>
      <c r="M165" s="19" t="n"/>
      <c r="N165" s="20" t="n"/>
      <c r="O165" s="20" t="n"/>
    </row>
    <row r="166">
      <c r="A166" s="16" t="n">
        <v>163</v>
      </c>
      <c r="B166" s="17" t="inlineStr">
        <is>
          <t>1.3.8.1</t>
        </is>
      </c>
      <c r="C166" s="18" t="inlineStr">
        <is>
          <t>Part 1 – General &amp; Programme</t>
        </is>
      </c>
      <c r="D166" s="18" t="inlineStr">
        <is>
          <t>1.3 CONCEPT OF OPERATIONS (CONOPS)</t>
        </is>
      </c>
      <c r="E166" s="18" t="inlineStr">
        <is>
          <t>1.3.8 AI-ENABLED FUNCTIONS</t>
        </is>
      </c>
      <c r="F166" s="18" t="inlineStr">
        <is>
          <t>For purposes of this RFP, 'Artificial Intelligence (AI)' refers to systems and solutions using machine learning, deep learning, natural language processing, computer vision, or similar techniques to perform tasks requiring human-like intelligence. This includes but is not limited to predictive analytics, automated classification, speech recognition, image analysis, and decision support. Rule-based automation without learning algorithms is excluded.</t>
        </is>
      </c>
      <c r="G166" s="19" t="n"/>
      <c r="H166" s="20" t="n"/>
      <c r="I166" s="20" t="n"/>
      <c r="J166" s="19" t="n"/>
      <c r="K166" s="21" t="n"/>
      <c r="L166" s="22">
        <f>IF(OR(J166="",K166=""),"",J166*K166)</f>
        <v/>
      </c>
      <c r="M166" s="19" t="n"/>
      <c r="N166" s="20" t="n"/>
      <c r="O166" s="20" t="n"/>
    </row>
    <row r="167">
      <c r="A167" s="23" t="n">
        <v>164</v>
      </c>
      <c r="B167" s="24" t="inlineStr">
        <is>
          <t>1.3.8.2</t>
        </is>
      </c>
      <c r="C167" s="25" t="inlineStr">
        <is>
          <t>Part 1 – General &amp; Programme</t>
        </is>
      </c>
      <c r="D167" s="25" t="inlineStr">
        <is>
          <t>1.3 CONCEPT OF OPERATIONS (CONOPS)</t>
        </is>
      </c>
      <c r="E167" s="25" t="inlineStr">
        <is>
          <t>1.3.8 AI-ENABLED FUNCTIONS</t>
        </is>
      </c>
      <c r="F167" s="25" t="inlineStr">
        <is>
          <t>The BIDDER shall refer to the AI-powered reference architecture in the appendix 11 for integrating the required AI-capabilities across the operational solutions.</t>
        </is>
      </c>
      <c r="G167" s="19" t="n"/>
      <c r="H167" s="20" t="n"/>
      <c r="I167" s="20" t="n"/>
      <c r="J167" s="19" t="n"/>
      <c r="K167" s="21" t="n"/>
      <c r="L167" s="22">
        <f>IF(OR(J167="",K167=""),"",J167*K167)</f>
        <v/>
      </c>
      <c r="M167" s="19" t="n"/>
      <c r="N167" s="20" t="n"/>
      <c r="O167" s="20" t="n"/>
    </row>
    <row r="168">
      <c r="A168" s="16" t="n">
        <v>165</v>
      </c>
      <c r="B168" s="17" t="inlineStr">
        <is>
          <t>1.3.8.3</t>
        </is>
      </c>
      <c r="C168" s="18" t="inlineStr">
        <is>
          <t>Part 1 – General &amp; Programme</t>
        </is>
      </c>
      <c r="D168" s="18" t="inlineStr">
        <is>
          <t>1.3 CONCEPT OF OPERATIONS (CONOPS)</t>
        </is>
      </c>
      <c r="E168" s="18" t="inlineStr">
        <is>
          <t>1.3.8 AI-ENABLED FUNCTIONS</t>
        </is>
      </c>
      <c r="F168" s="18" t="inlineStr">
        <is>
          <t>The BIDDER shall note that the reference architecture included in this RFP is provided for guidance and illustrative purposes only to help bidders understand the target technical direction and integration expectations.</t>
        </is>
      </c>
      <c r="G168" s="19" t="n"/>
      <c r="H168" s="20" t="n"/>
      <c r="I168" s="20" t="n"/>
      <c r="J168" s="19" t="n"/>
      <c r="K168" s="21" t="n"/>
      <c r="L168" s="22">
        <f>IF(OR(J168="",K168=""),"",J168*K168)</f>
        <v/>
      </c>
      <c r="M168" s="19" t="n"/>
      <c r="N168" s="20" t="n"/>
      <c r="O168" s="20" t="n"/>
    </row>
    <row r="169">
      <c r="A169" s="23" t="n">
        <v>166</v>
      </c>
      <c r="B169" s="24" t="inlineStr">
        <is>
          <t>1.3.8.4</t>
        </is>
      </c>
      <c r="C169" s="25" t="inlineStr">
        <is>
          <t>Part 1 – General &amp; Programme</t>
        </is>
      </c>
      <c r="D169" s="25" t="inlineStr">
        <is>
          <t>1.3 CONCEPT OF OPERATIONS (CONOPS)</t>
        </is>
      </c>
      <c r="E169" s="25" t="inlineStr">
        <is>
          <t>1.3.8 AI-ENABLED FUNCTIONS</t>
        </is>
      </c>
      <c r="F169" s="25" t="inlineStr">
        <is>
          <t>Based on the appendix 11, the BIDDER shall propose their architecture with their proposed solutions, systems and integrations mapped to it.</t>
        </is>
      </c>
      <c r="G169" s="19" t="n"/>
      <c r="H169" s="20" t="n"/>
      <c r="I169" s="20" t="n"/>
      <c r="J169" s="19" t="n"/>
      <c r="K169" s="21" t="n"/>
      <c r="L169" s="22">
        <f>IF(OR(J169="",K169=""),"",J169*K169)</f>
        <v/>
      </c>
      <c r="M169" s="19" t="n"/>
      <c r="N169" s="20" t="n"/>
      <c r="O169" s="20" t="n"/>
    </row>
    <row r="170">
      <c r="A170" s="16" t="n">
        <v>167</v>
      </c>
      <c r="B170" s="17" t="inlineStr">
        <is>
          <t>1.3.8.5</t>
        </is>
      </c>
      <c r="C170" s="18" t="inlineStr">
        <is>
          <t>Part 1 – General &amp; Programme</t>
        </is>
      </c>
      <c r="D170" s="18" t="inlineStr">
        <is>
          <t>1.3 CONCEPT OF OPERATIONS (CONOPS)</t>
        </is>
      </c>
      <c r="E170" s="18" t="inlineStr">
        <is>
          <t>1.3.8 AI-ENABLED FUNCTIONS</t>
        </is>
      </c>
      <c r="F170" s="18" t="inlineStr">
        <is>
          <t>The BIDDER shall describe their proposed architecture and their proposed AI capabilities and shall include the following:</t>
        </is>
      </c>
      <c r="G170" s="19" t="n"/>
      <c r="H170" s="20" t="n"/>
      <c r="I170" s="20" t="n"/>
      <c r="J170" s="19" t="n"/>
      <c r="K170" s="21" t="n"/>
      <c r="L170" s="22">
        <f>IF(OR(J170="",K170=""),"",J170*K170)</f>
        <v/>
      </c>
      <c r="M170" s="19" t="n"/>
      <c r="N170" s="20" t="n"/>
      <c r="O170" s="20" t="n"/>
    </row>
    <row r="171">
      <c r="A171" s="23" t="n">
        <v>168</v>
      </c>
      <c r="B171" s="23" t="inlineStr">
        <is>
          <t>1.3.8.5.1</t>
        </is>
      </c>
      <c r="C171" s="25" t="inlineStr">
        <is>
          <t>Part 1 – General &amp; Programme</t>
        </is>
      </c>
      <c r="D171" s="25" t="inlineStr">
        <is>
          <t>1.3 CONCEPT OF OPERATIONS (CONOPS)</t>
        </is>
      </c>
      <c r="E171" s="25" t="inlineStr">
        <is>
          <t>1.3.8 AI-ENABLED FUNCTIONS</t>
        </is>
      </c>
      <c r="F171" s="25" t="inlineStr">
        <is>
          <t>Human-in-the-loop controls</t>
        </is>
      </c>
      <c r="G171" s="19" t="n"/>
      <c r="H171" s="20" t="n"/>
      <c r="I171" s="20" t="n"/>
      <c r="J171" s="19" t="n"/>
      <c r="K171" s="21" t="n"/>
      <c r="L171" s="22">
        <f>IF(OR(J171="",K171=""),"",J171*K171)</f>
        <v/>
      </c>
      <c r="M171" s="19" t="n"/>
      <c r="N171" s="20" t="n"/>
      <c r="O171" s="20" t="n"/>
    </row>
    <row r="172">
      <c r="A172" s="16" t="n">
        <v>169</v>
      </c>
      <c r="B172" s="16" t="inlineStr">
        <is>
          <t>1.3.8.5.2</t>
        </is>
      </c>
      <c r="C172" s="18" t="inlineStr">
        <is>
          <t>Part 1 – General &amp; Programme</t>
        </is>
      </c>
      <c r="D172" s="18" t="inlineStr">
        <is>
          <t>1.3 CONCEPT OF OPERATIONS (CONOPS)</t>
        </is>
      </c>
      <c r="E172" s="18" t="inlineStr">
        <is>
          <t>1.3.8 AI-ENABLED FUNCTIONS</t>
        </is>
      </c>
      <c r="F172" s="18" t="inlineStr">
        <is>
          <t>Explainability for AI decisions</t>
        </is>
      </c>
      <c r="G172" s="19" t="n"/>
      <c r="H172" s="20" t="n"/>
      <c r="I172" s="20" t="n"/>
      <c r="J172" s="19" t="n"/>
      <c r="K172" s="21" t="n"/>
      <c r="L172" s="22">
        <f>IF(OR(J172="",K172=""),"",J172*K172)</f>
        <v/>
      </c>
      <c r="M172" s="19" t="n"/>
      <c r="N172" s="20" t="n"/>
      <c r="O172" s="20" t="n"/>
    </row>
    <row r="173">
      <c r="A173" s="23" t="n">
        <v>170</v>
      </c>
      <c r="B173" s="23" t="inlineStr">
        <is>
          <t>1.3.8.5.3</t>
        </is>
      </c>
      <c r="C173" s="25" t="inlineStr">
        <is>
          <t>Part 1 – General &amp; Programme</t>
        </is>
      </c>
      <c r="D173" s="25" t="inlineStr">
        <is>
          <t>1.3 CONCEPT OF OPERATIONS (CONOPS)</t>
        </is>
      </c>
      <c r="E173" s="25" t="inlineStr">
        <is>
          <t>1.3.8 AI-ENABLED FUNCTIONS</t>
        </is>
      </c>
      <c r="F173" s="25" t="inlineStr">
        <is>
          <t>Languages’ dialects support</t>
        </is>
      </c>
      <c r="G173" s="19" t="n"/>
      <c r="H173" s="20" t="n"/>
      <c r="I173" s="20" t="n"/>
      <c r="J173" s="19" t="n"/>
      <c r="K173" s="21" t="n"/>
      <c r="L173" s="22">
        <f>IF(OR(J173="",K173=""),"",J173*K173)</f>
        <v/>
      </c>
      <c r="M173" s="19" t="n"/>
      <c r="N173" s="20" t="n"/>
      <c r="O173" s="20" t="n"/>
    </row>
    <row r="174">
      <c r="A174" s="16" t="n">
        <v>171</v>
      </c>
      <c r="B174" s="16" t="inlineStr">
        <is>
          <t>1.3.8.5.4</t>
        </is>
      </c>
      <c r="C174" s="18" t="inlineStr">
        <is>
          <t>Part 1 – General &amp; Programme</t>
        </is>
      </c>
      <c r="D174" s="18" t="inlineStr">
        <is>
          <t>1.3 CONCEPT OF OPERATIONS (CONOPS)</t>
        </is>
      </c>
      <c r="E174" s="18" t="inlineStr">
        <is>
          <t>1.3.8 AI-ENABLED FUNCTIONS</t>
        </is>
      </c>
      <c r="F174" s="18" t="inlineStr">
        <is>
          <t>Integration capabilities</t>
        </is>
      </c>
      <c r="G174" s="19" t="n"/>
      <c r="H174" s="20" t="n"/>
      <c r="I174" s="20" t="n"/>
      <c r="J174" s="19" t="n"/>
      <c r="K174" s="21" t="n"/>
      <c r="L174" s="22">
        <f>IF(OR(J174="",K174=""),"",J174*K174)</f>
        <v/>
      </c>
      <c r="M174" s="19" t="n"/>
      <c r="N174" s="20" t="n"/>
      <c r="O174" s="20" t="n"/>
    </row>
    <row r="175">
      <c r="A175" s="23" t="n">
        <v>172</v>
      </c>
      <c r="B175" s="23" t="inlineStr">
        <is>
          <t>1.3.8.5.5</t>
        </is>
      </c>
      <c r="C175" s="25" t="inlineStr">
        <is>
          <t>Part 1 – General &amp; Programme</t>
        </is>
      </c>
      <c r="D175" s="25" t="inlineStr">
        <is>
          <t>1.3 CONCEPT OF OPERATIONS (CONOPS)</t>
        </is>
      </c>
      <c r="E175" s="25" t="inlineStr">
        <is>
          <t>1.3.8 AI-ENABLED FUNCTIONS</t>
        </is>
      </c>
      <c r="F175" s="25" t="inlineStr">
        <is>
          <t>Monitoring and management capabilities</t>
        </is>
      </c>
      <c r="G175" s="19" t="n"/>
      <c r="H175" s="20" t="n"/>
      <c r="I175" s="20" t="n"/>
      <c r="J175" s="19" t="n"/>
      <c r="K175" s="21" t="n"/>
      <c r="L175" s="22">
        <f>IF(OR(J175="",K175=""),"",J175*K175)</f>
        <v/>
      </c>
      <c r="M175" s="19" t="n"/>
      <c r="N175" s="20" t="n"/>
      <c r="O175" s="20" t="n"/>
    </row>
    <row r="176">
      <c r="A176" s="16" t="n">
        <v>173</v>
      </c>
      <c r="B176" s="16" t="inlineStr">
        <is>
          <t>1.3.8.5.6</t>
        </is>
      </c>
      <c r="C176" s="18" t="inlineStr">
        <is>
          <t>Part 1 – General &amp; Programme</t>
        </is>
      </c>
      <c r="D176" s="18" t="inlineStr">
        <is>
          <t>1.3 CONCEPT OF OPERATIONS (CONOPS)</t>
        </is>
      </c>
      <c r="E176" s="18" t="inlineStr">
        <is>
          <t>1.3.8 AI-ENABLED FUNCTIONS</t>
        </is>
      </c>
      <c r="F176" s="18" t="inlineStr">
        <is>
          <t>Similar deployments with metrics</t>
        </is>
      </c>
      <c r="G176" s="19" t="n"/>
      <c r="H176" s="20" t="n"/>
      <c r="I176" s="20" t="n"/>
      <c r="J176" s="19" t="n"/>
      <c r="K176" s="21" t="n"/>
      <c r="L176" s="22">
        <f>IF(OR(J176="",K176=""),"",J176*K176)</f>
        <v/>
      </c>
      <c r="M176" s="19" t="n"/>
      <c r="N176" s="20" t="n"/>
      <c r="O176" s="20" t="n"/>
    </row>
    <row r="177">
      <c r="A177" s="23" t="n">
        <v>174</v>
      </c>
      <c r="B177" s="24" t="inlineStr">
        <is>
          <t>1.3.8.6</t>
        </is>
      </c>
      <c r="C177" s="25" t="inlineStr">
        <is>
          <t>Part 1 – General &amp; Programme</t>
        </is>
      </c>
      <c r="D177" s="25" t="inlineStr">
        <is>
          <t>1.3 CONCEPT OF OPERATIONS (CONOPS)</t>
        </is>
      </c>
      <c r="E177" s="25" t="inlineStr">
        <is>
          <t>1.3.8 AI-ENABLED FUNCTIONS</t>
        </is>
      </c>
      <c r="F177" s="25" t="inlineStr">
        <is>
          <t>Apart from implementing the data, security and monitoring and management controls included in this RFP, the CONTRACTOR shall also include the following governance controls in their implementation for the AI solution including but not limited to:</t>
        </is>
      </c>
      <c r="G177" s="19" t="n"/>
      <c r="H177" s="20" t="n"/>
      <c r="I177" s="20" t="n"/>
      <c r="J177" s="19" t="n"/>
      <c r="K177" s="21" t="n"/>
      <c r="L177" s="22">
        <f>IF(OR(J177="",K177=""),"",J177*K177)</f>
        <v/>
      </c>
      <c r="M177" s="19" t="n"/>
      <c r="N177" s="20" t="n"/>
      <c r="O177" s="20" t="n"/>
    </row>
    <row r="178">
      <c r="A178" s="16" t="n">
        <v>175</v>
      </c>
      <c r="B178" s="16" t="inlineStr">
        <is>
          <t>1.3.8.6.1</t>
        </is>
      </c>
      <c r="C178" s="18" t="inlineStr">
        <is>
          <t>Part 1 – General &amp; Programme</t>
        </is>
      </c>
      <c r="D178" s="18" t="inlineStr">
        <is>
          <t>1.3 CONCEPT OF OPERATIONS (CONOPS)</t>
        </is>
      </c>
      <c r="E178" s="18" t="inlineStr">
        <is>
          <t>1.3.8 AI-ENABLED FUNCTIONS</t>
        </is>
      </c>
      <c r="F178" s="18" t="inlineStr">
        <is>
          <t>A Governance Board with defined roles and responsibilities providing strategy and oversight</t>
        </is>
      </c>
      <c r="G178" s="19" t="n"/>
      <c r="H178" s="20" t="n"/>
      <c r="I178" s="20" t="n"/>
      <c r="J178" s="19" t="n"/>
      <c r="K178" s="21" t="n"/>
      <c r="L178" s="22">
        <f>IF(OR(J178="",K178=""),"",J178*K178)</f>
        <v/>
      </c>
      <c r="M178" s="19" t="n"/>
      <c r="N178" s="20" t="n"/>
      <c r="O178" s="20" t="n"/>
    </row>
    <row r="179">
      <c r="A179" s="23" t="n">
        <v>176</v>
      </c>
      <c r="B179" s="23" t="inlineStr">
        <is>
          <t>1.3.8.6.2</t>
        </is>
      </c>
      <c r="C179" s="25" t="inlineStr">
        <is>
          <t>Part 1 – General &amp; Programme</t>
        </is>
      </c>
      <c r="D179" s="25" t="inlineStr">
        <is>
          <t>1.3 CONCEPT OF OPERATIONS (CONOPS)</t>
        </is>
      </c>
      <c r="E179" s="25" t="inlineStr">
        <is>
          <t>1.3.8 AI-ENABLED FUNCTIONS</t>
        </is>
      </c>
      <c r="F179" s="25" t="inlineStr">
        <is>
          <t>Human-in-the-loop</t>
        </is>
      </c>
      <c r="G179" s="19" t="n"/>
      <c r="H179" s="20" t="n"/>
      <c r="I179" s="20" t="n"/>
      <c r="J179" s="19" t="n"/>
      <c r="K179" s="21" t="n"/>
      <c r="L179" s="22">
        <f>IF(OR(J179="",K179=""),"",J179*K179)</f>
        <v/>
      </c>
      <c r="M179" s="19" t="n"/>
      <c r="N179" s="20" t="n"/>
      <c r="O179" s="20" t="n"/>
    </row>
    <row r="180">
      <c r="A180" s="16" t="n">
        <v>177</v>
      </c>
      <c r="B180" s="16" t="inlineStr">
        <is>
          <t>1.3.8.6.3</t>
        </is>
      </c>
      <c r="C180" s="18" t="inlineStr">
        <is>
          <t>Part 1 – General &amp; Programme</t>
        </is>
      </c>
      <c r="D180" s="18" t="inlineStr">
        <is>
          <t>1.3 CONCEPT OF OPERATIONS (CONOPS)</t>
        </is>
      </c>
      <c r="E180" s="18" t="inlineStr">
        <is>
          <t>1.3.8 AI-ENABLED FUNCTIONS</t>
        </is>
      </c>
      <c r="F180" s="18" t="inlineStr">
        <is>
          <t>Explainability for the AI solution to explain its actions and decisions</t>
        </is>
      </c>
      <c r="G180" s="19" t="n"/>
      <c r="H180" s="20" t="n"/>
      <c r="I180" s="20" t="n"/>
      <c r="J180" s="19" t="n"/>
      <c r="K180" s="21" t="n"/>
      <c r="L180" s="22">
        <f>IF(OR(J180="",K180=""),"",J180*K180)</f>
        <v/>
      </c>
      <c r="M180" s="19" t="n"/>
      <c r="N180" s="20" t="n"/>
      <c r="O180" s="20" t="n"/>
    </row>
    <row r="181">
      <c r="A181" s="23" t="n">
        <v>178</v>
      </c>
      <c r="B181" s="23" t="inlineStr">
        <is>
          <t>1.3.8.6.4</t>
        </is>
      </c>
      <c r="C181" s="25" t="inlineStr">
        <is>
          <t>Part 1 – General &amp; Programme</t>
        </is>
      </c>
      <c r="D181" s="25" t="inlineStr">
        <is>
          <t>1.3 CONCEPT OF OPERATIONS (CONOPS)</t>
        </is>
      </c>
      <c r="E181" s="25" t="inlineStr">
        <is>
          <t>1.3.8 AI-ENABLED FUNCTIONS</t>
        </is>
      </c>
      <c r="F181" s="25" t="inlineStr">
        <is>
          <t>Centralized logging with complete audit trail</t>
        </is>
      </c>
      <c r="G181" s="19" t="n"/>
      <c r="H181" s="20" t="n"/>
      <c r="I181" s="20" t="n"/>
      <c r="J181" s="19" t="n"/>
      <c r="K181" s="21" t="n"/>
      <c r="L181" s="22">
        <f>IF(OR(J181="",K181=""),"",J181*K181)</f>
        <v/>
      </c>
      <c r="M181" s="19" t="n"/>
      <c r="N181" s="20" t="n"/>
      <c r="O181" s="20" t="n"/>
    </row>
    <row r="182">
      <c r="A182" s="16" t="n">
        <v>179</v>
      </c>
      <c r="B182" s="16" t="inlineStr">
        <is>
          <t>1.3.8.6.5</t>
        </is>
      </c>
      <c r="C182" s="18" t="inlineStr">
        <is>
          <t>Part 1 – General &amp; Programme</t>
        </is>
      </c>
      <c r="D182" s="18" t="inlineStr">
        <is>
          <t>1.3 CONCEPT OF OPERATIONS (CONOPS)</t>
        </is>
      </c>
      <c r="E182" s="18" t="inlineStr">
        <is>
          <t>1.3.8 AI-ENABLED FUNCTIONS</t>
        </is>
      </c>
      <c r="F182" s="18" t="inlineStr">
        <is>
          <t>Compliance to PDPL and SDAIA policies</t>
        </is>
      </c>
      <c r="G182" s="19" t="n"/>
      <c r="H182" s="20" t="n"/>
      <c r="I182" s="20" t="n"/>
      <c r="J182" s="19" t="n"/>
      <c r="K182" s="21" t="n"/>
      <c r="L182" s="22">
        <f>IF(OR(J182="",K182=""),"",J182*K182)</f>
        <v/>
      </c>
      <c r="M182" s="19" t="n"/>
      <c r="N182" s="20" t="n"/>
      <c r="O182" s="20" t="n"/>
    </row>
    <row r="183">
      <c r="A183" s="23" t="n">
        <v>180</v>
      </c>
      <c r="B183" s="23" t="inlineStr">
        <is>
          <t>1.3.8.6.6</t>
        </is>
      </c>
      <c r="C183" s="25" t="inlineStr">
        <is>
          <t>Part 1 – General &amp; Programme</t>
        </is>
      </c>
      <c r="D183" s="25" t="inlineStr">
        <is>
          <t>1.3 CONCEPT OF OPERATIONS (CONOPS)</t>
        </is>
      </c>
      <c r="E183" s="25" t="inlineStr">
        <is>
          <t>1.3.8 AI-ENABLED FUNCTIONS</t>
        </is>
      </c>
      <c r="F183" s="25" t="inlineStr">
        <is>
          <t>Continuous bias monitoring for bias reduction and fairness</t>
        </is>
      </c>
      <c r="G183" s="19" t="n"/>
      <c r="H183" s="20" t="n"/>
      <c r="I183" s="20" t="n"/>
      <c r="J183" s="19" t="n"/>
      <c r="K183" s="21" t="n"/>
      <c r="L183" s="22">
        <f>IF(OR(J183="",K183=""),"",J183*K183)</f>
        <v/>
      </c>
      <c r="M183" s="19" t="n"/>
      <c r="N183" s="20" t="n"/>
      <c r="O183" s="20" t="n"/>
    </row>
    <row r="184">
      <c r="A184" s="16" t="n">
        <v>181</v>
      </c>
      <c r="B184" s="16" t="inlineStr">
        <is>
          <t>1.3.8.6.7</t>
        </is>
      </c>
      <c r="C184" s="18" t="inlineStr">
        <is>
          <t>Part 1 – General &amp; Programme</t>
        </is>
      </c>
      <c r="D184" s="18" t="inlineStr">
        <is>
          <t>1.3 CONCEPT OF OPERATIONS (CONOPS)</t>
        </is>
      </c>
      <c r="E184" s="18" t="inlineStr">
        <is>
          <t>1.3.8 AI-ENABLED FUNCTIONS</t>
        </is>
      </c>
      <c r="F184" s="18" t="inlineStr">
        <is>
          <t>Emergency Kill switch with the capability to immediately suspend or disable AI decision-making and switch to manual or fallback processes</t>
        </is>
      </c>
      <c r="G184" s="19" t="n"/>
      <c r="H184" s="20" t="n"/>
      <c r="I184" s="20" t="n"/>
      <c r="J184" s="19" t="n"/>
      <c r="K184" s="21" t="n"/>
      <c r="L184" s="22">
        <f>IF(OR(J184="",K184=""),"",J184*K184)</f>
        <v/>
      </c>
      <c r="M184" s="19" t="n"/>
      <c r="N184" s="20" t="n"/>
      <c r="O184" s="20" t="n"/>
    </row>
    <row r="185">
      <c r="A185" s="23" t="n">
        <v>182</v>
      </c>
      <c r="B185" s="24" t="inlineStr">
        <is>
          <t>1.3.8.7</t>
        </is>
      </c>
      <c r="C185" s="25" t="inlineStr">
        <is>
          <t>Part 1 – General &amp; Programme</t>
        </is>
      </c>
      <c r="D185" s="25" t="inlineStr">
        <is>
          <t>1.3 CONCEPT OF OPERATIONS (CONOPS)</t>
        </is>
      </c>
      <c r="E185" s="25" t="inlineStr">
        <is>
          <t>1.3.8 AI-ENABLED FUNCTIONS</t>
        </is>
      </c>
      <c r="F185" s="25" t="inlineStr">
        <is>
          <t>The CONTRACTOR delivered OSS911 solutions shall include the following AI-enabled functional capabilities integrated into all the OSS911 systems and solutions delivered by the CONTRACTOR:</t>
        </is>
      </c>
      <c r="G185" s="19" t="n"/>
      <c r="H185" s="20" t="n"/>
      <c r="I185" s="20" t="n"/>
      <c r="J185" s="19" t="n"/>
      <c r="K185" s="21" t="n"/>
      <c r="L185" s="22">
        <f>IF(OR(J185="",K185=""),"",J185*K185)</f>
        <v/>
      </c>
      <c r="M185" s="19" t="n"/>
      <c r="N185" s="20" t="n"/>
      <c r="O185" s="20" t="n"/>
    </row>
    <row r="186">
      <c r="A186" s="16" t="n">
        <v>183</v>
      </c>
      <c r="B186" s="16" t="inlineStr">
        <is>
          <t>1.3.8.7.1</t>
        </is>
      </c>
      <c r="C186" s="18" t="inlineStr">
        <is>
          <t>Part 1 – General &amp; Programme</t>
        </is>
      </c>
      <c r="D186" s="18" t="inlineStr">
        <is>
          <t>1.3 CONCEPT OF OPERATIONS (CONOPS)</t>
        </is>
      </c>
      <c r="E186" s="18" t="inlineStr">
        <is>
          <t>1.3.8 AI-ENABLED FUNCTIONS</t>
        </is>
      </c>
      <c r="F186" s="18" t="inlineStr">
        <is>
          <t>Live on-the-fly real-time transcription of the voice to text, from the voice in the following defined languages (all Arabic dialects of Saudi Arabia, all commonly spoken English dialects, Urdu, Bengali, Hindi, Punjabi, Pashto, etc. with the final list to be determined by the MOI) to Arabic and English on the authorized OSS911 personnel system displays, and to include the transcribed text as part of the recorded conversation, and in case of incident/event creation, as a part of the event chronology mapped to the different speakers in the conversation with timestamps.</t>
        </is>
      </c>
      <c r="G186" s="19" t="n"/>
      <c r="H186" s="20" t="n"/>
      <c r="I186" s="20" t="n"/>
      <c r="J186" s="19" t="n"/>
      <c r="K186" s="21" t="n"/>
      <c r="L186" s="22">
        <f>IF(OR(J186="",K186=""),"",J186*K186)</f>
        <v/>
      </c>
      <c r="M186" s="19" t="n"/>
      <c r="N186" s="20" t="n"/>
      <c r="O186" s="20" t="n"/>
    </row>
    <row r="187">
      <c r="A187" s="23" t="n">
        <v>184</v>
      </c>
      <c r="B187" s="23" t="inlineStr">
        <is>
          <t>1.3.8.7.2</t>
        </is>
      </c>
      <c r="C187" s="25" t="inlineStr">
        <is>
          <t>Part 1 – General &amp; Programme</t>
        </is>
      </c>
      <c r="D187" s="25" t="inlineStr">
        <is>
          <t>1.3 CONCEPT OF OPERATIONS (CONOPS)</t>
        </is>
      </c>
      <c r="E187" s="25" t="inlineStr">
        <is>
          <t>1.3.8 AI-ENABLED FUNCTIONS</t>
        </is>
      </c>
      <c r="F187" s="25" t="inlineStr">
        <is>
          <t>Such a transcription should include the ability to identify and tag keywords as relevant to OSS911 defined incident/event types and subtypes and call types and subtypes.</t>
        </is>
      </c>
      <c r="G187" s="19" t="n"/>
      <c r="H187" s="20" t="n"/>
      <c r="I187" s="20" t="n"/>
      <c r="J187" s="19" t="n"/>
      <c r="K187" s="21" t="n"/>
      <c r="L187" s="22">
        <f>IF(OR(J187="",K187=""),"",J187*K187)</f>
        <v/>
      </c>
      <c r="M187" s="19" t="n"/>
      <c r="N187" s="20" t="n"/>
      <c r="O187" s="20" t="n"/>
    </row>
    <row r="188">
      <c r="A188" s="16" t="n">
        <v>185</v>
      </c>
      <c r="B188" s="16" t="inlineStr">
        <is>
          <t>1.3.8.7.3</t>
        </is>
      </c>
      <c r="C188" s="18" t="inlineStr">
        <is>
          <t>Part 1 – General &amp; Programme</t>
        </is>
      </c>
      <c r="D188" s="18" t="inlineStr">
        <is>
          <t>1.3 CONCEPT OF OPERATIONS (CONOPS)</t>
        </is>
      </c>
      <c r="E188" s="18" t="inlineStr">
        <is>
          <t>1.3.8 AI-ENABLED FUNCTIONS</t>
        </is>
      </c>
      <c r="F188" s="18" t="inlineStr">
        <is>
          <t>Further, from the location information captured in transcription, the transcription shall identify situational awareness from information contained in MOI and OSS911 databases as relevant to locations captured and should then display this information in the relevant areas within the telephony caller information dialog box and in the incident/event card display.</t>
        </is>
      </c>
      <c r="G188" s="19" t="n"/>
      <c r="H188" s="20" t="n"/>
      <c r="I188" s="20" t="n"/>
      <c r="J188" s="19" t="n"/>
      <c r="K188" s="21" t="n"/>
      <c r="L188" s="22">
        <f>IF(OR(J188="",K188=""),"",J188*K188)</f>
        <v/>
      </c>
      <c r="M188" s="19" t="n"/>
      <c r="N188" s="20" t="n"/>
      <c r="O188" s="20" t="n"/>
    </row>
    <row r="189">
      <c r="A189" s="23" t="n">
        <v>186</v>
      </c>
      <c r="B189" s="23" t="inlineStr">
        <is>
          <t>1.3.8.7.4</t>
        </is>
      </c>
      <c r="C189" s="25" t="inlineStr">
        <is>
          <t>Part 1 – General &amp; Programme</t>
        </is>
      </c>
      <c r="D189" s="25" t="inlineStr">
        <is>
          <t>1.3 CONCEPT OF OPERATIONS (CONOPS)</t>
        </is>
      </c>
      <c r="E189" s="25" t="inlineStr">
        <is>
          <t>1.3.8 AI-ENABLED FUNCTIONS</t>
        </is>
      </c>
      <c r="F189" s="25" t="inlineStr">
        <is>
          <t>Live on-the-fly real-time speech analysis and triage capabilities to identify the voice and the speakers therein, tag voice streams by speakers, identify emotions and sentiments within the voice and to present these to the authorized OSS911 operational personnel within the telephony caller information dialog box and in the incident/event card display.</t>
        </is>
      </c>
      <c r="G189" s="19" t="n"/>
      <c r="H189" s="20" t="n"/>
      <c r="I189" s="20" t="n"/>
      <c r="J189" s="19" t="n"/>
      <c r="K189" s="21" t="n"/>
      <c r="L189" s="22">
        <f>IF(OR(J189="",K189=""),"",J189*K189)</f>
        <v/>
      </c>
      <c r="M189" s="19" t="n"/>
      <c r="N189" s="20" t="n"/>
      <c r="O189" s="20" t="n"/>
    </row>
    <row r="190">
      <c r="A190" s="16" t="n">
        <v>187</v>
      </c>
      <c r="B190" s="16" t="inlineStr">
        <is>
          <t>1.3.8.7.5</t>
        </is>
      </c>
      <c r="C190" s="18" t="inlineStr">
        <is>
          <t>Part 1 – General &amp; Programme</t>
        </is>
      </c>
      <c r="D190" s="18" t="inlineStr">
        <is>
          <t>1.3 CONCEPT OF OPERATIONS (CONOPS)</t>
        </is>
      </c>
      <c r="E190" s="18" t="inlineStr">
        <is>
          <t>1.3.8 AI-ENABLED FUNCTIONS</t>
        </is>
      </c>
      <c r="F190" s="18" t="inlineStr">
        <is>
          <t>On-Demand offline interactive support for the authorized OSS911 personnel in the form of SOPs, response plan guidance and systems knowhow.</t>
        </is>
      </c>
      <c r="G190" s="19" t="n"/>
      <c r="H190" s="20" t="n"/>
      <c r="I190" s="20" t="n"/>
      <c r="J190" s="19" t="n"/>
      <c r="K190" s="21" t="n"/>
      <c r="L190" s="22">
        <f>IF(OR(J190="",K190=""),"",J190*K190)</f>
        <v/>
      </c>
      <c r="M190" s="19" t="n"/>
      <c r="N190" s="20" t="n"/>
      <c r="O190" s="20" t="n"/>
    </row>
    <row r="191">
      <c r="A191" s="23" t="n">
        <v>188</v>
      </c>
      <c r="B191" s="23" t="inlineStr">
        <is>
          <t>1.3.8.7.6</t>
        </is>
      </c>
      <c r="C191" s="25" t="inlineStr">
        <is>
          <t>Part 1 – General &amp; Programme</t>
        </is>
      </c>
      <c r="D191" s="25" t="inlineStr">
        <is>
          <t>1.3 CONCEPT OF OPERATIONS (CONOPS)</t>
        </is>
      </c>
      <c r="E191" s="25" t="inlineStr">
        <is>
          <t>1.3.8 AI-ENABLED FUNCTIONS</t>
        </is>
      </c>
      <c r="F191" s="25" t="inlineStr">
        <is>
          <t>Based on the voice and transcribed text, the AI capability shall provide silent listening and in-call real-time guidance and prompt to the authorized OSS911 personnel involved in voice and text conversations.</t>
        </is>
      </c>
      <c r="G191" s="19" t="n"/>
      <c r="H191" s="20" t="n"/>
      <c r="I191" s="20" t="n"/>
      <c r="J191" s="19" t="n"/>
      <c r="K191" s="21" t="n"/>
      <c r="L191" s="22">
        <f>IF(OR(J191="",K191=""),"",J191*K191)</f>
        <v/>
      </c>
      <c r="M191" s="19" t="n"/>
      <c r="N191" s="20" t="n"/>
      <c r="O191" s="20" t="n"/>
    </row>
    <row r="192">
      <c r="A192" s="16" t="n">
        <v>189</v>
      </c>
      <c r="B192" s="16" t="inlineStr">
        <is>
          <t>1.3.8.7.7</t>
        </is>
      </c>
      <c r="C192" s="18" t="inlineStr">
        <is>
          <t>Part 1 – General &amp; Programme</t>
        </is>
      </c>
      <c r="D192" s="18" t="inlineStr">
        <is>
          <t>1.3 CONCEPT OF OPERATIONS (CONOPS)</t>
        </is>
      </c>
      <c r="E192" s="18" t="inlineStr">
        <is>
          <t>1.3.8 AI-ENABLED FUNCTIONS</t>
        </is>
      </c>
      <c r="F192" s="18" t="inlineStr">
        <is>
          <t>Further, the guidance and prompts themselves, along with the OSS911 personnel actions on them shall be stored as part of the recorded conversation and in case of incident/event creation, as part of the event chronology mapped to the individual actions and action-taker.</t>
        </is>
      </c>
      <c r="G192" s="19" t="n"/>
      <c r="H192" s="20" t="n"/>
      <c r="I192" s="20" t="n"/>
      <c r="J192" s="19" t="n"/>
      <c r="K192" s="21" t="n"/>
      <c r="L192" s="22">
        <f>IF(OR(J192="",K192=""),"",J192*K192)</f>
        <v/>
      </c>
      <c r="M192" s="19" t="n"/>
      <c r="N192" s="20" t="n"/>
      <c r="O192" s="20" t="n"/>
    </row>
    <row r="193">
      <c r="A193" s="23" t="n">
        <v>190</v>
      </c>
      <c r="B193" s="23" t="inlineStr">
        <is>
          <t>1.3.8.7.8</t>
        </is>
      </c>
      <c r="C193" s="25" t="inlineStr">
        <is>
          <t>Part 1 – General &amp; Programme</t>
        </is>
      </c>
      <c r="D193" s="25" t="inlineStr">
        <is>
          <t>1.3 CONCEPT OF OPERATIONS (CONOPS)</t>
        </is>
      </c>
      <c r="E193" s="25" t="inlineStr">
        <is>
          <t>1.3.8 AI-ENABLED FUNCTIONS</t>
        </is>
      </c>
      <c r="F193" s="25" t="inlineStr">
        <is>
          <t>Live on-the-fly real-time quality monitoring and reporting capability for authorized OSS911 personnel including speech analysis as defined in this RFP, OSS911 operations’ functional personnel performance assessment with real-time data for real- time insights, visualizations of KPIs, and ad-hoc reports generation.</t>
        </is>
      </c>
      <c r="G193" s="19" t="n"/>
      <c r="H193" s="20" t="n"/>
      <c r="I193" s="20" t="n"/>
      <c r="J193" s="19" t="n"/>
      <c r="K193" s="21" t="n"/>
      <c r="L193" s="22">
        <f>IF(OR(J193="",K193=""),"",J193*K193)</f>
        <v/>
      </c>
      <c r="M193" s="19" t="n"/>
      <c r="N193" s="20" t="n"/>
      <c r="O193" s="20" t="n"/>
    </row>
    <row r="194">
      <c r="A194" s="16" t="n">
        <v>191</v>
      </c>
      <c r="B194" s="16" t="inlineStr">
        <is>
          <t>1.3.8.7.9</t>
        </is>
      </c>
      <c r="C194" s="18" t="inlineStr">
        <is>
          <t>Part 1 – General &amp; Programme</t>
        </is>
      </c>
      <c r="D194" s="18" t="inlineStr">
        <is>
          <t>1.3 CONCEPT OF OPERATIONS (CONOPS)</t>
        </is>
      </c>
      <c r="E194" s="18" t="inlineStr">
        <is>
          <t>1.3.8 AI-ENABLED FUNCTIONS</t>
        </is>
      </c>
      <c r="F194" s="18" t="inlineStr">
        <is>
          <t>Capability to handle non-emergent calls and demands till closure using the corresponding SOP and response plan, once these calls and demands are identified and tagged as such by authorized OSS911 operational personnel.</t>
        </is>
      </c>
      <c r="G194" s="19" t="n"/>
      <c r="H194" s="20" t="n"/>
      <c r="I194" s="20" t="n"/>
      <c r="J194" s="19" t="n"/>
      <c r="K194" s="21" t="n"/>
      <c r="L194" s="22">
        <f>IF(OR(J194="",K194=""),"",J194*K194)</f>
        <v/>
      </c>
      <c r="M194" s="19" t="n"/>
      <c r="N194" s="20" t="n"/>
      <c r="O194" s="20" t="n"/>
    </row>
    <row r="195">
      <c r="A195" s="23" t="n">
        <v>192</v>
      </c>
      <c r="B195" s="23" t="inlineStr">
        <is>
          <t>1.3.8.7.10</t>
        </is>
      </c>
      <c r="C195" s="25" t="inlineStr">
        <is>
          <t>Part 1 – General &amp; Programme</t>
        </is>
      </c>
      <c r="D195" s="25" t="inlineStr">
        <is>
          <t>1.3 CONCEPT OF OPERATIONS (CONOPS)</t>
        </is>
      </c>
      <c r="E195" s="25" t="inlineStr">
        <is>
          <t>1.3.8 AI-ENABLED FUNCTIONS</t>
        </is>
      </c>
      <c r="F195" s="25" t="inlineStr">
        <is>
          <t>Capability to automatically generate request, for configurable number of attempts, for calling the caller automatically using an interactive voice response (IVR) capability for feedback based on predefined rules and using the language of choice (Arabic and English).</t>
        </is>
      </c>
      <c r="G195" s="19" t="n"/>
      <c r="H195" s="20" t="n"/>
      <c r="I195" s="20" t="n"/>
      <c r="J195" s="19" t="n"/>
      <c r="K195" s="21" t="n"/>
      <c r="L195" s="22">
        <f>IF(OR(J195="",K195=""),"",J195*K195)</f>
        <v/>
      </c>
      <c r="M195" s="19" t="n"/>
      <c r="N195" s="20" t="n"/>
      <c r="O195" s="20" t="n"/>
    </row>
    <row r="196">
      <c r="A196" s="16" t="n">
        <v>193</v>
      </c>
      <c r="B196" s="16" t="inlineStr">
        <is>
          <t>1.3.8.7.11</t>
        </is>
      </c>
      <c r="C196" s="18" t="inlineStr">
        <is>
          <t>Part 1 – General &amp; Programme</t>
        </is>
      </c>
      <c r="D196" s="18" t="inlineStr">
        <is>
          <t>1.3 CONCEPT OF OPERATIONS (CONOPS)</t>
        </is>
      </c>
      <c r="E196" s="18" t="inlineStr">
        <is>
          <t>1.3.8 AI-ENABLED FUNCTIONS</t>
        </is>
      </c>
      <c r="F196" s="18" t="inlineStr">
        <is>
          <t>Capability in the IVR call back scenarios to have the option of scheduling a convenient time with the caller for making the call back for feedback.</t>
        </is>
      </c>
      <c r="G196" s="19" t="n"/>
      <c r="H196" s="20" t="n"/>
      <c r="I196" s="20" t="n"/>
      <c r="J196" s="19" t="n"/>
      <c r="K196" s="21" t="n"/>
      <c r="L196" s="22">
        <f>IF(OR(J196="",K196=""),"",J196*K196)</f>
        <v/>
      </c>
      <c r="M196" s="19" t="n"/>
      <c r="N196" s="20" t="n"/>
      <c r="O196" s="20" t="n"/>
    </row>
    <row r="197">
      <c r="A197" s="23" t="n">
        <v>194</v>
      </c>
      <c r="B197" s="23" t="inlineStr">
        <is>
          <t>1.3.8.7.12</t>
        </is>
      </c>
      <c r="C197" s="25" t="inlineStr">
        <is>
          <t>Part 1 – General &amp; Programme</t>
        </is>
      </c>
      <c r="D197" s="25" t="inlineStr">
        <is>
          <t>1.3 CONCEPT OF OPERATIONS (CONOPS)</t>
        </is>
      </c>
      <c r="E197" s="25" t="inlineStr">
        <is>
          <t>1.3.8 AI-ENABLED FUNCTIONS</t>
        </is>
      </c>
      <c r="F197" s="25" t="inlineStr">
        <is>
          <t>Capability to capture and store the received feedback, to transcribe it (if needed), and to link it to the related event IDs, for reporting and analysis by authorized OSS911 personnel.</t>
        </is>
      </c>
      <c r="G197" s="19" t="n"/>
      <c r="H197" s="20" t="n"/>
      <c r="I197" s="20" t="n"/>
      <c r="J197" s="19" t="n"/>
      <c r="K197" s="21" t="n"/>
      <c r="L197" s="22">
        <f>IF(OR(J197="",K197=""),"",J197*K197)</f>
        <v/>
      </c>
      <c r="M197" s="19" t="n"/>
      <c r="N197" s="20" t="n"/>
      <c r="O197" s="20" t="n"/>
    </row>
    <row r="198">
      <c r="A198" s="16" t="n">
        <v>195</v>
      </c>
      <c r="B198" s="16" t="inlineStr">
        <is>
          <t>1.3.8.7.13</t>
        </is>
      </c>
      <c r="C198" s="18" t="inlineStr">
        <is>
          <t>Part 1 – General &amp; Programme</t>
        </is>
      </c>
      <c r="D198" s="18" t="inlineStr">
        <is>
          <t>1.3 CONCEPT OF OPERATIONS (CONOPS)</t>
        </is>
      </c>
      <c r="E198" s="18" t="inlineStr">
        <is>
          <t>1.3.8 AI-ENABLED FUNCTIONS</t>
        </is>
      </c>
      <c r="F198" s="18" t="inlineStr">
        <is>
          <t>E-Assist feature to enable callers to upload their location relating to their call for help, to be able to chat with authorized OSS911 personnel and to upload supporting material including doc/voice/video/image files that add information to their call.</t>
        </is>
      </c>
      <c r="G198" s="19" t="n"/>
      <c r="H198" s="20" t="n"/>
      <c r="I198" s="20" t="n"/>
      <c r="J198" s="19" t="n"/>
      <c r="K198" s="21" t="n"/>
      <c r="L198" s="22">
        <f>IF(OR(J198="",K198=""),"",J198*K198)</f>
        <v/>
      </c>
      <c r="M198" s="19" t="n"/>
      <c r="N198" s="20" t="n"/>
      <c r="O198" s="20" t="n"/>
    </row>
    <row r="199">
      <c r="A199" s="23" t="n">
        <v>196</v>
      </c>
      <c r="B199" s="23" t="inlineStr">
        <is>
          <t>1.3.8.7.14</t>
        </is>
      </c>
      <c r="C199" s="25" t="inlineStr">
        <is>
          <t>Part 1 – General &amp; Programme</t>
        </is>
      </c>
      <c r="D199" s="25" t="inlineStr">
        <is>
          <t>1.3 CONCEPT OF OPERATIONS (CONOPS)</t>
        </is>
      </c>
      <c r="E199" s="25" t="inlineStr">
        <is>
          <t>1.3.8 AI-ENABLED FUNCTIONS</t>
        </is>
      </c>
      <c r="F199" s="25" t="inlineStr">
        <is>
          <t>Capability to intelligently analyze the incoming call details (voice, text or both) and assist in smart incident classification and smart prioritization as assistance to OSS911 operational personnel.</t>
        </is>
      </c>
      <c r="G199" s="19" t="n"/>
      <c r="H199" s="20" t="n"/>
      <c r="I199" s="20" t="n"/>
      <c r="J199" s="19" t="n"/>
      <c r="K199" s="21" t="n"/>
      <c r="L199" s="22">
        <f>IF(OR(J199="",K199=""),"",J199*K199)</f>
        <v/>
      </c>
      <c r="M199" s="19" t="n"/>
      <c r="N199" s="20" t="n"/>
      <c r="O199" s="20" t="n"/>
    </row>
    <row r="200">
      <c r="A200" s="16" t="n">
        <v>197</v>
      </c>
      <c r="B200" s="16" t="inlineStr">
        <is>
          <t>1.3.8.7.15</t>
        </is>
      </c>
      <c r="C200" s="18" t="inlineStr">
        <is>
          <t>Part 1 – General &amp; Programme</t>
        </is>
      </c>
      <c r="D200" s="18" t="inlineStr">
        <is>
          <t>1.3 CONCEPT OF OPERATIONS (CONOPS)</t>
        </is>
      </c>
      <c r="E200" s="18" t="inlineStr">
        <is>
          <t>1.3.8 AI-ENABLED FUNCTIONS</t>
        </is>
      </c>
      <c r="F200" s="18" t="inlineStr">
        <is>
          <t>Capability to intelligently analyze the OSS911 solutions (all OSS911 systems, all OSS911 databases, all OSS911 integrations, all OSS911 interfaces, all OSS911 network infrastructure, all OSS911 cybersecurity, and other elements) for any symptoms or faults and to automatically alert the authorized OSS911 personnel and the capability to take corrective actions automatically such that they do not cause any other impact.</t>
        </is>
      </c>
      <c r="G200" s="19" t="n"/>
      <c r="H200" s="20" t="n"/>
      <c r="I200" s="20" t="n"/>
      <c r="J200" s="19" t="n"/>
      <c r="K200" s="21" t="n"/>
      <c r="L200" s="22">
        <f>IF(OR(J200="",K200=""),"",J200*K200)</f>
        <v/>
      </c>
      <c r="M200" s="19" t="n"/>
      <c r="N200" s="20" t="n"/>
      <c r="O200" s="20" t="n"/>
    </row>
    <row r="201">
      <c r="A201" s="23" t="n">
        <v>198</v>
      </c>
      <c r="B201" s="23" t="inlineStr">
        <is>
          <t>1.3.8.7.16</t>
        </is>
      </c>
      <c r="C201" s="25" t="inlineStr">
        <is>
          <t>Part 1 – General &amp; Programme</t>
        </is>
      </c>
      <c r="D201" s="25" t="inlineStr">
        <is>
          <t>1.3 CONCEPT OF OPERATIONS (CONOPS)</t>
        </is>
      </c>
      <c r="E201" s="25" t="inlineStr">
        <is>
          <t>1.3.8 AI-ENABLED FUNCTIONS</t>
        </is>
      </c>
      <c r="F201" s="25" t="inlineStr">
        <is>
          <t>Capability for authorized personnel to flag incoming calls on the predefined 9XX numbers as possible spam and/or malicious calls based on configurable rules and providing visual and audible alerts to the authorized personnel with the details including but not limited to the caller details including caller ID, called number, location, previous calls count, previous calls details.</t>
        </is>
      </c>
      <c r="G201" s="19" t="n"/>
      <c r="H201" s="20" t="n"/>
      <c r="I201" s="20" t="n"/>
      <c r="J201" s="19" t="n"/>
      <c r="K201" s="21" t="n"/>
      <c r="L201" s="22">
        <f>IF(OR(J201="",K201=""),"",J201*K201)</f>
        <v/>
      </c>
      <c r="M201" s="19" t="n"/>
      <c r="N201" s="20" t="n"/>
      <c r="O201" s="20" t="n"/>
    </row>
    <row r="202">
      <c r="A202" s="16" t="n">
        <v>199</v>
      </c>
      <c r="B202" s="16" t="inlineStr">
        <is>
          <t>1.3.8.7.17</t>
        </is>
      </c>
      <c r="C202" s="18" t="inlineStr">
        <is>
          <t>Part 1 – General &amp; Programme</t>
        </is>
      </c>
      <c r="D202" s="18" t="inlineStr">
        <is>
          <t>1.3 CONCEPT OF OPERATIONS (CONOPS)</t>
        </is>
      </c>
      <c r="E202" s="18" t="inlineStr">
        <is>
          <t>1.3.8 AI-ENABLED FUNCTIONS</t>
        </is>
      </c>
      <c r="F202" s="18" t="inlineStr">
        <is>
          <t>Capability for adaptive learning within the various OSS911 systems based on previous calls and incidents, and based on previous outcomes, enabling these systems to become more accurate and effective over time.</t>
        </is>
      </c>
      <c r="G202" s="19" t="n"/>
      <c r="H202" s="20" t="n"/>
      <c r="I202" s="20" t="n"/>
      <c r="J202" s="19" t="n"/>
      <c r="K202" s="21" t="n"/>
      <c r="L202" s="22">
        <f>IF(OR(J202="",K202=""),"",J202*K202)</f>
        <v/>
      </c>
      <c r="M202" s="19" t="n"/>
      <c r="N202" s="20" t="n"/>
      <c r="O202" s="20" t="n"/>
    </row>
    <row r="203">
      <c r="A203" s="23" t="n">
        <v>200</v>
      </c>
      <c r="B203" s="23" t="inlineStr">
        <is>
          <t>1.3.8.7.18</t>
        </is>
      </c>
      <c r="C203" s="25" t="inlineStr">
        <is>
          <t>Part 1 – General &amp; Programme</t>
        </is>
      </c>
      <c r="D203" s="25" t="inlineStr">
        <is>
          <t>1.3 CONCEPT OF OPERATIONS (CONOPS)</t>
        </is>
      </c>
      <c r="E203" s="25" t="inlineStr">
        <is>
          <t>1.3.8 AI-ENABLED FUNCTIONS</t>
        </is>
      </c>
      <c r="F203" s="25" t="inlineStr">
        <is>
          <t>Capability to generate warnings and alerts to authorized operational personnel based on predefined trigger mechanisms – for example: based on high-priority incidents/events, based on severity warnings from linked warning systems and/or data sources, etc.</t>
        </is>
      </c>
      <c r="G203" s="19" t="n"/>
      <c r="H203" s="20" t="n"/>
      <c r="I203" s="20" t="n"/>
      <c r="J203" s="19" t="n"/>
      <c r="K203" s="21" t="n"/>
      <c r="L203" s="22">
        <f>IF(OR(J203="",K203=""),"",J203*K203)</f>
        <v/>
      </c>
      <c r="M203" s="19" t="n"/>
      <c r="N203" s="20" t="n"/>
      <c r="O203" s="20" t="n"/>
    </row>
    <row r="204">
      <c r="A204" s="16" t="n">
        <v>201</v>
      </c>
      <c r="B204" s="16" t="inlineStr">
        <is>
          <t>1.3.8.7.19</t>
        </is>
      </c>
      <c r="C204" s="18" t="inlineStr">
        <is>
          <t>Part 1 – General &amp; Programme</t>
        </is>
      </c>
      <c r="D204" s="18" t="inlineStr">
        <is>
          <t>1.3 CONCEPT OF OPERATIONS (CONOPS)</t>
        </is>
      </c>
      <c r="E204" s="18" t="inlineStr">
        <is>
          <t>1.3.8 AI-ENABLED FUNCTIONS</t>
        </is>
      </c>
      <c r="F204" s="18" t="inlineStr">
        <is>
          <t>Capability to expose all OSS911 systems and databases via secure REST APIs for integrations.</t>
        </is>
      </c>
      <c r="G204" s="19" t="n"/>
      <c r="H204" s="20" t="n"/>
      <c r="I204" s="20" t="n"/>
      <c r="J204" s="19" t="n"/>
      <c r="K204" s="21" t="n"/>
      <c r="L204" s="22">
        <f>IF(OR(J204="",K204=""),"",J204*K204)</f>
        <v/>
      </c>
      <c r="M204" s="19" t="n"/>
      <c r="N204" s="20" t="n"/>
      <c r="O204" s="20" t="n"/>
    </row>
    <row r="205">
      <c r="A205" s="23" t="n">
        <v>202</v>
      </c>
      <c r="B205" s="23" t="inlineStr">
        <is>
          <t>1.3.8.7.20</t>
        </is>
      </c>
      <c r="C205" s="25" t="inlineStr">
        <is>
          <t>Part 1 – General &amp; Programme</t>
        </is>
      </c>
      <c r="D205" s="25" t="inlineStr">
        <is>
          <t>1.3 CONCEPT OF OPERATIONS (CONOPS)</t>
        </is>
      </c>
      <c r="E205" s="25" t="inlineStr">
        <is>
          <t>1.3.8 AI-ENABLED FUNCTIONS</t>
        </is>
      </c>
      <c r="F205" s="25" t="inlineStr">
        <is>
          <t>Capability to integrate all OSS911 systems and databases via secure REST APIs and Webhooks.</t>
        </is>
      </c>
      <c r="G205" s="19" t="n"/>
      <c r="H205" s="20" t="n"/>
      <c r="I205" s="20" t="n"/>
      <c r="J205" s="19" t="n"/>
      <c r="K205" s="21" t="n"/>
      <c r="L205" s="22">
        <f>IF(OR(J205="",K205=""),"",J205*K205)</f>
        <v/>
      </c>
      <c r="M205" s="19" t="n"/>
      <c r="N205" s="20" t="n"/>
      <c r="O205" s="20" t="n"/>
    </row>
    <row r="206">
      <c r="A206" s="16" t="n">
        <v>203</v>
      </c>
      <c r="B206" s="16" t="inlineStr">
        <is>
          <t>1.3.8.7.21</t>
        </is>
      </c>
      <c r="C206" s="18" t="inlineStr">
        <is>
          <t>Part 1 – General &amp; Programme</t>
        </is>
      </c>
      <c r="D206" s="18" t="inlineStr">
        <is>
          <t>1.3 CONCEPT OF OPERATIONS (CONOPS)</t>
        </is>
      </c>
      <c r="E206" s="18" t="inlineStr">
        <is>
          <t>1.3.8 AI-ENABLED FUNCTIONS</t>
        </is>
      </c>
      <c r="F206" s="18" t="inlineStr">
        <is>
          <t>Capability for authorized external systems to be able to interact with the OSS911 solutions to create and update incidents/events and to create and update alarms within the respective OSS911 systems.</t>
        </is>
      </c>
      <c r="G206" s="19" t="n"/>
      <c r="H206" s="20" t="n"/>
      <c r="I206" s="20" t="n"/>
      <c r="J206" s="19" t="n"/>
      <c r="K206" s="21" t="n"/>
      <c r="L206" s="22">
        <f>IF(OR(J206="",K206=""),"",J206*K206)</f>
        <v/>
      </c>
      <c r="M206" s="19" t="n"/>
      <c r="N206" s="20" t="n"/>
      <c r="O206" s="20" t="n"/>
    </row>
    <row r="207">
      <c r="A207" s="23" t="n">
        <v>204</v>
      </c>
      <c r="B207" s="23" t="inlineStr">
        <is>
          <t>1.3.8.7.22</t>
        </is>
      </c>
      <c r="C207" s="25" t="inlineStr">
        <is>
          <t>Part 1 – General &amp; Programme</t>
        </is>
      </c>
      <c r="D207" s="25" t="inlineStr">
        <is>
          <t>1.3 CONCEPT OF OPERATIONS (CONOPS)</t>
        </is>
      </c>
      <c r="E207" s="25" t="inlineStr">
        <is>
          <t>1.3.8 AI-ENABLED FUNCTIONS</t>
        </is>
      </c>
      <c r="F207" s="25" t="inlineStr">
        <is>
          <t>Capability for smart management and assurance to the OSS911 personnel of the OSS911 solutions, systems, applications, databases, integrations and technical infrastructure using a knowledgebase of frequently asked questions and their solutions.</t>
        </is>
      </c>
      <c r="G207" s="19" t="n"/>
      <c r="H207" s="20" t="n"/>
      <c r="I207" s="20" t="n"/>
      <c r="J207" s="19" t="n"/>
      <c r="K207" s="21" t="n"/>
      <c r="L207" s="22">
        <f>IF(OR(J207="",K207=""),"",J207*K207)</f>
        <v/>
      </c>
      <c r="M207" s="19" t="n"/>
      <c r="N207" s="20" t="n"/>
      <c r="O207" s="20" t="n"/>
    </row>
    <row r="208">
      <c r="A208" s="16" t="n">
        <v>205</v>
      </c>
      <c r="B208" s="16" t="inlineStr">
        <is>
          <t>1.3.8.7.23</t>
        </is>
      </c>
      <c r="C208" s="18" t="inlineStr">
        <is>
          <t>Part 1 – General &amp; Programme</t>
        </is>
      </c>
      <c r="D208" s="18" t="inlineStr">
        <is>
          <t>1.3 CONCEPT OF OPERATIONS (CONOPS)</t>
        </is>
      </c>
      <c r="E208" s="18" t="inlineStr">
        <is>
          <t>1.3.8 AI-ENABLED FUNCTIONS</t>
        </is>
      </c>
      <c r="F208" s="18" t="inlineStr">
        <is>
          <t>Capability for the management solution to send smart alerts to the authorized personnel based on performance alerts for OSS911 solutions, systems, applications, databases, integrations and technical infrastructure.</t>
        </is>
      </c>
      <c r="G208" s="19" t="n"/>
      <c r="H208" s="20" t="n"/>
      <c r="I208" s="20" t="n"/>
      <c r="J208" s="19" t="n"/>
      <c r="K208" s="21" t="n"/>
      <c r="L208" s="22">
        <f>IF(OR(J208="",K208=""),"",J208*K208)</f>
        <v/>
      </c>
      <c r="M208" s="19" t="n"/>
      <c r="N208" s="20" t="n"/>
      <c r="O208" s="20" t="n"/>
    </row>
    <row r="209">
      <c r="A209" s="23" t="n">
        <v>206</v>
      </c>
      <c r="B209" s="23" t="inlineStr">
        <is>
          <t>1.3.8.7.24</t>
        </is>
      </c>
      <c r="C209" s="25" t="inlineStr">
        <is>
          <t>Part 1 – General &amp; Programme</t>
        </is>
      </c>
      <c r="D209" s="25" t="inlineStr">
        <is>
          <t>1.3 CONCEPT OF OPERATIONS (CONOPS)</t>
        </is>
      </c>
      <c r="E209" s="25" t="inlineStr">
        <is>
          <t>1.3.8 AI-ENABLED FUNCTIONS</t>
        </is>
      </c>
      <c r="F209" s="25" t="inlineStr">
        <is>
          <t>Capability to decipher electronically and include in the OSS911 systems for operation use, the SOPs, plans and operational documents that may exist in paper format, and to analyze them and present them to the operators using AI-tools if they are relevant to the incident/event.</t>
        </is>
      </c>
      <c r="G209" s="19" t="n"/>
      <c r="H209" s="20" t="n"/>
      <c r="I209" s="20" t="n"/>
      <c r="J209" s="19" t="n"/>
      <c r="K209" s="21" t="n"/>
      <c r="L209" s="22">
        <f>IF(OR(J209="",K209=""),"",J209*K209)</f>
        <v/>
      </c>
      <c r="M209" s="19" t="n"/>
      <c r="N209" s="20" t="n"/>
      <c r="O209" s="20" t="n"/>
    </row>
    <row r="210">
      <c r="A210" s="16" t="n">
        <v>207</v>
      </c>
      <c r="B210" s="16" t="inlineStr">
        <is>
          <t>1.3.8.7.25</t>
        </is>
      </c>
      <c r="C210" s="18" t="inlineStr">
        <is>
          <t>Part 1 – General &amp; Programme</t>
        </is>
      </c>
      <c r="D210" s="18" t="inlineStr">
        <is>
          <t>1.3 CONCEPT OF OPERATIONS (CONOPS)</t>
        </is>
      </c>
      <c r="E210" s="18" t="inlineStr">
        <is>
          <t>1.3.8 AI-ENABLED FUNCTIONS</t>
        </is>
      </c>
      <c r="F210" s="18" t="inlineStr">
        <is>
          <t>Capability of real-time data ingestion and processing for capturing, streaming and processing spatial and non-spatial data for analysis by demography, geography and for smarter decision making, rapid analysis and for predictive modeling and analysis.</t>
        </is>
      </c>
      <c r="G210" s="19" t="n"/>
      <c r="H210" s="20" t="n"/>
      <c r="I210" s="20" t="n"/>
      <c r="J210" s="19" t="n"/>
      <c r="K210" s="21" t="n"/>
      <c r="L210" s="22">
        <f>IF(OR(J210="",K210=""),"",J210*K210)</f>
        <v/>
      </c>
      <c r="M210" s="19" t="n"/>
      <c r="N210" s="20" t="n"/>
      <c r="O210" s="20" t="n"/>
    </row>
    <row r="211">
      <c r="A211" s="23" t="n">
        <v>208</v>
      </c>
      <c r="B211" s="23" t="inlineStr">
        <is>
          <t>1.3.8.7.26</t>
        </is>
      </c>
      <c r="C211" s="25" t="inlineStr">
        <is>
          <t>Part 1 – General &amp; Programme</t>
        </is>
      </c>
      <c r="D211" s="25" t="inlineStr">
        <is>
          <t>1.3 CONCEPT OF OPERATIONS (CONOPS)</t>
        </is>
      </c>
      <c r="E211" s="25" t="inlineStr">
        <is>
          <t>1.3.8 AI-ENABLED FUNCTIONS</t>
        </is>
      </c>
      <c r="F211" s="25" t="inlineStr">
        <is>
          <t>Capability with Webhooks, Open APIs, plug-ins and built-in tools for machine learning within the OSS911 solutions to integrate for prediction and analysis with external AI frameworks, data science tools and ML platforms.</t>
        </is>
      </c>
      <c r="G211" s="19" t="n"/>
      <c r="H211" s="20" t="n"/>
      <c r="I211" s="20" t="n"/>
      <c r="J211" s="19" t="n"/>
      <c r="K211" s="21" t="n"/>
      <c r="L211" s="22">
        <f>IF(OR(J211="",K211=""),"",J211*K211)</f>
        <v/>
      </c>
      <c r="M211" s="19" t="n"/>
      <c r="N211" s="20" t="n"/>
      <c r="O211" s="20" t="n"/>
    </row>
    <row r="212">
      <c r="A212" s="16" t="n">
        <v>209</v>
      </c>
      <c r="B212" s="16" t="inlineStr">
        <is>
          <t>1.3.8.7.27</t>
        </is>
      </c>
      <c r="C212" s="18" t="inlineStr">
        <is>
          <t>Part 1 – General &amp; Programme</t>
        </is>
      </c>
      <c r="D212" s="18" t="inlineStr">
        <is>
          <t>1.3 CONCEPT OF OPERATIONS (CONOPS)</t>
        </is>
      </c>
      <c r="E212" s="18" t="inlineStr">
        <is>
          <t>1.3.8 AI-ENABLED FUNCTIONS</t>
        </is>
      </c>
      <c r="F212" s="18" t="inlineStr">
        <is>
          <t>Capability for AI-powered natural language assistants to assist in common tasks with real-time structured and unstructured data including but not limited to tasks such as querying, analyzing and generating insights, visualizations and reports in real-time using natural language prompts (for all dialects of Arabic, and for English).</t>
        </is>
      </c>
      <c r="G212" s="19" t="n"/>
      <c r="H212" s="20" t="n"/>
      <c r="I212" s="20" t="n"/>
      <c r="J212" s="19" t="n"/>
      <c r="K212" s="21" t="n"/>
      <c r="L212" s="22">
        <f>IF(OR(J212="",K212=""),"",J212*K212)</f>
        <v/>
      </c>
      <c r="M212" s="19" t="n"/>
      <c r="N212" s="20" t="n"/>
      <c r="O212" s="20" t="n"/>
    </row>
    <row r="213">
      <c r="A213" s="23" t="n">
        <v>210</v>
      </c>
      <c r="B213" s="23" t="inlineStr">
        <is>
          <t>1.3.8.7.28</t>
        </is>
      </c>
      <c r="C213" s="25" t="inlineStr">
        <is>
          <t>Part 1 – General &amp; Programme</t>
        </is>
      </c>
      <c r="D213" s="25" t="inlineStr">
        <is>
          <t>1.3 CONCEPT OF OPERATIONS (CONOPS)</t>
        </is>
      </c>
      <c r="E213" s="25" t="inlineStr">
        <is>
          <t>1.3.8 AI-ENABLED FUNCTIONS</t>
        </is>
      </c>
      <c r="F213" s="25" t="inlineStr">
        <is>
          <t>Capability for AI-powered real-time dispatch impact analysis providing simulation, and coverage analysis that is based on unit positions, potential assignment and demand patterns resulting in optimal coverage maps, impact analysis vis-à-vis the response times and possible gap alerts.</t>
        </is>
      </c>
      <c r="G213" s="19" t="n"/>
      <c r="H213" s="20" t="n"/>
      <c r="I213" s="20" t="n"/>
      <c r="J213" s="19" t="n"/>
      <c r="K213" s="21" t="n"/>
      <c r="L213" s="22">
        <f>IF(OR(J213="",K213=""),"",J213*K213)</f>
        <v/>
      </c>
      <c r="M213" s="19" t="n"/>
      <c r="N213" s="20" t="n"/>
      <c r="O213" s="20" t="n"/>
    </row>
    <row r="214">
      <c r="A214" s="16" t="n">
        <v>211</v>
      </c>
      <c r="B214" s="16" t="inlineStr">
        <is>
          <t>1.3.8.7.29</t>
        </is>
      </c>
      <c r="C214" s="18" t="inlineStr">
        <is>
          <t>Part 1 – General &amp; Programme</t>
        </is>
      </c>
      <c r="D214" s="18" t="inlineStr">
        <is>
          <t>1.3 CONCEPT OF OPERATIONS (CONOPS)</t>
        </is>
      </c>
      <c r="E214" s="18" t="inlineStr">
        <is>
          <t>1.3.8 AI-ENABLED FUNCTIONS</t>
        </is>
      </c>
      <c r="F214" s="18" t="inlineStr">
        <is>
          <t>Capability for AI-powered real-time report generation based on calls and events data including reports for call handling efficiency, operator utilization, briefings, situation reports for authorized MOI persons – with the reports, their contents, the format and the distribution to be defined by the CONTRACTOR with the MOI during the design phase of the contract.</t>
        </is>
      </c>
      <c r="G214" s="19" t="n"/>
      <c r="H214" s="20" t="n"/>
      <c r="I214" s="20" t="n"/>
      <c r="J214" s="19" t="n"/>
      <c r="K214" s="21" t="n"/>
      <c r="L214" s="22">
        <f>IF(OR(J214="",K214=""),"",J214*K214)</f>
        <v/>
      </c>
      <c r="M214" s="19" t="n"/>
      <c r="N214" s="20" t="n"/>
      <c r="O214" s="20" t="n"/>
    </row>
    <row r="215">
      <c r="A215" s="23" t="n">
        <v>212</v>
      </c>
      <c r="B215" s="23" t="inlineStr">
        <is>
          <t>1.3.8.7.30</t>
        </is>
      </c>
      <c r="C215" s="25" t="inlineStr">
        <is>
          <t>Part 1 – General &amp; Programme</t>
        </is>
      </c>
      <c r="D215" s="25" t="inlineStr">
        <is>
          <t>1.3 CONCEPT OF OPERATIONS (CONOPS)</t>
        </is>
      </c>
      <c r="E215" s="25" t="inlineStr">
        <is>
          <t>1.3.8 AI-ENABLED FUNCTIONS</t>
        </is>
      </c>
      <c r="F215" s="25" t="inlineStr">
        <is>
          <t>Capability for AI-powered real-time analysis of incident details, location history and the environment to present to the operators a risk assessment as supplemental information for dispatch decision support.</t>
        </is>
      </c>
      <c r="G215" s="19" t="n"/>
      <c r="H215" s="20" t="n"/>
      <c r="I215" s="20" t="n"/>
      <c r="J215" s="19" t="n"/>
      <c r="K215" s="21" t="n"/>
      <c r="L215" s="22">
        <f>IF(OR(J215="",K215=""),"",J215*K215)</f>
        <v/>
      </c>
      <c r="M215" s="19" t="n"/>
      <c r="N215" s="20" t="n"/>
      <c r="O215" s="20" t="n"/>
    </row>
    <row r="216">
      <c r="A216" s="16" t="n">
        <v>213</v>
      </c>
      <c r="B216" s="16" t="inlineStr">
        <is>
          <t>1.3.8.7.31</t>
        </is>
      </c>
      <c r="C216" s="18" t="inlineStr">
        <is>
          <t>Part 1 – General &amp; Programme</t>
        </is>
      </c>
      <c r="D216" s="18" t="inlineStr">
        <is>
          <t>1.3 CONCEPT OF OPERATIONS (CONOPS)</t>
        </is>
      </c>
      <c r="E216" s="18" t="inlineStr">
        <is>
          <t>1.3.8 AI-ENABLED FUNCTIONS</t>
        </is>
      </c>
      <c r="F216" s="18" t="inlineStr">
        <is>
          <t>Capability for sharing event-related data using text, speech-to-text, summarization, entity extraction and report generation for the voice recordings, event-related notes and information including multimedia with MOI-authorized apps so as to be able to generate summarized reports via the app.</t>
        </is>
      </c>
      <c r="G216" s="19" t="n"/>
      <c r="H216" s="20" t="n"/>
      <c r="I216" s="20" t="n"/>
      <c r="J216" s="19" t="n"/>
      <c r="K216" s="21" t="n"/>
      <c r="L216" s="22">
        <f>IF(OR(J216="",K216=""),"",J216*K216)</f>
        <v/>
      </c>
      <c r="M216" s="19" t="n"/>
      <c r="N216" s="20" t="n"/>
      <c r="O216" s="20" t="n"/>
    </row>
    <row r="217">
      <c r="A217" s="23" t="n">
        <v>214</v>
      </c>
      <c r="B217" s="23" t="inlineStr">
        <is>
          <t>1.3.8.7.32</t>
        </is>
      </c>
      <c r="C217" s="25" t="inlineStr">
        <is>
          <t>Part 1 – General &amp; Programme</t>
        </is>
      </c>
      <c r="D217" s="25" t="inlineStr">
        <is>
          <t>1.3 CONCEPT OF OPERATIONS (CONOPS)</t>
        </is>
      </c>
      <c r="E217" s="25" t="inlineStr">
        <is>
          <t>1.3.8 AI-ENABLED FUNCTIONS</t>
        </is>
      </c>
      <c r="F217" s="25" t="inlineStr">
        <is>
          <t>Capability for AI-powered demand and utilization patterns for units’ optimization and positioning using historical events and units’ data and patterns.</t>
        </is>
      </c>
      <c r="G217" s="19" t="n"/>
      <c r="H217" s="20" t="n"/>
      <c r="I217" s="20" t="n"/>
      <c r="J217" s="19" t="n"/>
      <c r="K217" s="21" t="n"/>
      <c r="L217" s="22">
        <f>IF(OR(J217="",K217=""),"",J217*K217)</f>
        <v/>
      </c>
      <c r="M217" s="19" t="n"/>
      <c r="N217" s="20" t="n"/>
      <c r="O217" s="20" t="n"/>
    </row>
    <row r="218">
      <c r="A218" s="16" t="n">
        <v>215</v>
      </c>
      <c r="B218" s="17" t="inlineStr">
        <is>
          <t>1.3.8.8</t>
        </is>
      </c>
      <c r="C218" s="18" t="inlineStr">
        <is>
          <t>Part 1 – General &amp; Programme</t>
        </is>
      </c>
      <c r="D218" s="18" t="inlineStr">
        <is>
          <t>1.3 CONCEPT OF OPERATIONS (CONOPS)</t>
        </is>
      </c>
      <c r="E218" s="18" t="inlineStr">
        <is>
          <t>1.3.8 AI-ENABLED FUNCTIONS</t>
        </is>
      </c>
      <c r="F218" s="18" t="inlineStr">
        <is>
          <t>For each of the functional capabilities delivered by the CONTRACTOR through their AI solutions, the CONTRACTOR will agree a set of metrics and KPIs with the MOI during the design stage of the project, and shall implement them prior to go-live of these capabilities.</t>
        </is>
      </c>
      <c r="G218" s="19" t="n"/>
      <c r="H218" s="20" t="n"/>
      <c r="I218" s="20" t="n"/>
      <c r="J218" s="19" t="n"/>
      <c r="K218" s="21" t="n"/>
      <c r="L218" s="22">
        <f>IF(OR(J218="",K218=""),"",J218*K218)</f>
        <v/>
      </c>
      <c r="M218" s="19" t="n"/>
      <c r="N218" s="20" t="n"/>
      <c r="O218" s="20" t="n"/>
    </row>
    <row r="219">
      <c r="A219" s="23" t="n">
        <v>216</v>
      </c>
      <c r="B219" s="24" t="inlineStr">
        <is>
          <t>1.3.8.9</t>
        </is>
      </c>
      <c r="C219" s="25" t="inlineStr">
        <is>
          <t>Part 1 – General &amp; Programme</t>
        </is>
      </c>
      <c r="D219" s="25" t="inlineStr">
        <is>
          <t>1.3 CONCEPT OF OPERATIONS (CONOPS)</t>
        </is>
      </c>
      <c r="E219" s="25" t="inlineStr">
        <is>
          <t>1.3.8 AI-ENABLED FUNCTIONS</t>
        </is>
      </c>
      <c r="F219" s="25" t="inlineStr">
        <is>
          <t>The CONTRACTOR shall continually provide reports relating to the accuracy, reliability and safety for the metrics from each of the capabilities including but not limited to data labeling accuracy, precision, false negatives and positives, word error rate, location extraction, confidence levels, uncertainty thresholds, overrides, bias deviations, latency etc.</t>
        </is>
      </c>
      <c r="G219" s="19" t="n"/>
      <c r="H219" s="20" t="n"/>
      <c r="I219" s="20" t="n"/>
      <c r="J219" s="19" t="n"/>
      <c r="K219" s="21" t="n"/>
      <c r="L219" s="22">
        <f>IF(OR(J219="",K219=""),"",J219*K219)</f>
        <v/>
      </c>
      <c r="M219" s="19" t="n"/>
      <c r="N219" s="20" t="n"/>
      <c r="O219" s="20" t="n"/>
    </row>
    <row r="220">
      <c r="A220" s="16" t="n">
        <v>217</v>
      </c>
      <c r="B220" s="17" t="inlineStr">
        <is>
          <t>1.4.1.1</t>
        </is>
      </c>
      <c r="C220" s="18" t="inlineStr">
        <is>
          <t>Part 1 – General &amp; Programme</t>
        </is>
      </c>
      <c r="D220" s="18" t="inlineStr">
        <is>
          <t>1.4 PROJECT MANAGEMENT</t>
        </is>
      </c>
      <c r="E220" s="18" t="inlineStr">
        <is>
          <t>—</t>
        </is>
      </c>
      <c r="F220" s="18" t="inlineStr">
        <is>
          <t>The BIDDER shall provide a Project Management Plan that demonstrates to MOI their understanding of the requirements, and their ability to manage and deliver all the work as per the requirements.</t>
        </is>
      </c>
      <c r="G220" s="19" t="n"/>
      <c r="H220" s="20" t="n"/>
      <c r="I220" s="20" t="n"/>
      <c r="J220" s="19" t="n"/>
      <c r="K220" s="21" t="n"/>
      <c r="L220" s="22">
        <f>IF(OR(J220="",K220=""),"",J220*K220)</f>
        <v/>
      </c>
      <c r="M220" s="19" t="n"/>
      <c r="N220" s="20" t="n"/>
      <c r="O220" s="20" t="n"/>
    </row>
    <row r="221">
      <c r="A221" s="23" t="n">
        <v>218</v>
      </c>
      <c r="B221" s="24" t="inlineStr">
        <is>
          <t>1.4.1.2</t>
        </is>
      </c>
      <c r="C221" s="25" t="inlineStr">
        <is>
          <t>Part 1 – General &amp; Programme</t>
        </is>
      </c>
      <c r="D221" s="25" t="inlineStr">
        <is>
          <t>1.4 PROJECT MANAGEMENT</t>
        </is>
      </c>
      <c r="E221" s="25" t="inlineStr">
        <is>
          <t>—</t>
        </is>
      </c>
      <c r="F221" s="25" t="inlineStr">
        <is>
          <t>The BIDDER shall propose a delivery Governance and Organization, headed by their Project Management Office, demonstrating how they will:</t>
        </is>
      </c>
      <c r="G221" s="19" t="n"/>
      <c r="H221" s="20" t="n"/>
      <c r="I221" s="20" t="n"/>
      <c r="J221" s="19" t="n"/>
      <c r="K221" s="21" t="n"/>
      <c r="L221" s="22">
        <f>IF(OR(J221="",K221=""),"",J221*K221)</f>
        <v/>
      </c>
      <c r="M221" s="19" t="n"/>
      <c r="N221" s="20" t="n"/>
      <c r="O221" s="20" t="n"/>
    </row>
    <row r="222">
      <c r="A222" s="16" t="n">
        <v>219</v>
      </c>
      <c r="B222" s="16" t="inlineStr">
        <is>
          <t>1.4.1.2.1</t>
        </is>
      </c>
      <c r="C222" s="18" t="inlineStr">
        <is>
          <t>Part 1 – General &amp; Programme</t>
        </is>
      </c>
      <c r="D222" s="18" t="inlineStr">
        <is>
          <t>1.4 PROJECT MANAGEMENT</t>
        </is>
      </c>
      <c r="E222" s="18" t="inlineStr">
        <is>
          <t>—</t>
        </is>
      </c>
      <c r="F222" s="18" t="inlineStr">
        <is>
          <t>Establish the Governance and Organization following commencement of the engagement.</t>
        </is>
      </c>
      <c r="G222" s="19" t="n"/>
      <c r="H222" s="20" t="n"/>
      <c r="I222" s="20" t="n"/>
      <c r="J222" s="19" t="n"/>
      <c r="K222" s="21" t="n"/>
      <c r="L222" s="22">
        <f>IF(OR(J222="",K222=""),"",J222*K222)</f>
        <v/>
      </c>
      <c r="M222" s="19" t="n"/>
      <c r="N222" s="20" t="n"/>
      <c r="O222" s="20" t="n"/>
    </row>
    <row r="223">
      <c r="A223" s="23" t="n">
        <v>220</v>
      </c>
      <c r="B223" s="23" t="inlineStr">
        <is>
          <t>1.4.1.2.2</t>
        </is>
      </c>
      <c r="C223" s="25" t="inlineStr">
        <is>
          <t>Part 1 – General &amp; Programme</t>
        </is>
      </c>
      <c r="D223" s="25" t="inlineStr">
        <is>
          <t>1.4 PROJECT MANAGEMENT</t>
        </is>
      </c>
      <c r="E223" s="25" t="inlineStr">
        <is>
          <t>—</t>
        </is>
      </c>
      <c r="F223" s="25" t="inlineStr">
        <is>
          <t>Manage the entire project successfully.</t>
        </is>
      </c>
      <c r="G223" s="19" t="n"/>
      <c r="H223" s="20" t="n"/>
      <c r="I223" s="20" t="n"/>
      <c r="J223" s="19" t="n"/>
      <c r="K223" s="21" t="n"/>
      <c r="L223" s="22">
        <f>IF(OR(J223="",K223=""),"",J223*K223)</f>
        <v/>
      </c>
      <c r="M223" s="19" t="n"/>
      <c r="N223" s="20" t="n"/>
      <c r="O223" s="20" t="n"/>
    </row>
    <row r="224">
      <c r="A224" s="16" t="n">
        <v>221</v>
      </c>
      <c r="B224" s="16" t="inlineStr">
        <is>
          <t>1.4.1.2.3</t>
        </is>
      </c>
      <c r="C224" s="18" t="inlineStr">
        <is>
          <t>Part 1 – General &amp; Programme</t>
        </is>
      </c>
      <c r="D224" s="18" t="inlineStr">
        <is>
          <t>1.4 PROJECT MANAGEMENT</t>
        </is>
      </c>
      <c r="E224" s="18" t="inlineStr">
        <is>
          <t>—</t>
        </is>
      </c>
      <c r="F224" s="18" t="inlineStr">
        <is>
          <t>Implement a full range of effective project management techniques and tools, and associated reporting and communications.</t>
        </is>
      </c>
      <c r="G224" s="19" t="n"/>
      <c r="H224" s="20" t="n"/>
      <c r="I224" s="20" t="n"/>
      <c r="J224" s="19" t="n"/>
      <c r="K224" s="21" t="n"/>
      <c r="L224" s="22">
        <f>IF(OR(J224="",K224=""),"",J224*K224)</f>
        <v/>
      </c>
      <c r="M224" s="19" t="n"/>
      <c r="N224" s="20" t="n"/>
      <c r="O224" s="20" t="n"/>
    </row>
    <row r="225">
      <c r="A225" s="23" t="n">
        <v>222</v>
      </c>
      <c r="B225" s="23" t="inlineStr">
        <is>
          <t>1.4.1.2.4</t>
        </is>
      </c>
      <c r="C225" s="25" t="inlineStr">
        <is>
          <t>Part 1 – General &amp; Programme</t>
        </is>
      </c>
      <c r="D225" s="25" t="inlineStr">
        <is>
          <t>1.4 PROJECT MANAGEMENT</t>
        </is>
      </c>
      <c r="E225" s="25" t="inlineStr">
        <is>
          <t>—</t>
        </is>
      </c>
      <c r="F225" s="25" t="inlineStr">
        <is>
          <t>Provide full, open and frequent communications and reporting on all aspects of the project</t>
        </is>
      </c>
      <c r="G225" s="19" t="n"/>
      <c r="H225" s="20" t="n"/>
      <c r="I225" s="20" t="n"/>
      <c r="J225" s="19" t="n"/>
      <c r="K225" s="21" t="n"/>
      <c r="L225" s="22">
        <f>IF(OR(J225="",K225=""),"",J225*K225)</f>
        <v/>
      </c>
      <c r="M225" s="19" t="n"/>
      <c r="N225" s="20" t="n"/>
      <c r="O225" s="20" t="n"/>
    </row>
    <row r="226">
      <c r="A226" s="16" t="n">
        <v>223</v>
      </c>
      <c r="B226" s="17" t="inlineStr">
        <is>
          <t>1.4.1.3</t>
        </is>
      </c>
      <c r="C226" s="18" t="inlineStr">
        <is>
          <t>Part 1 – General &amp; Programme</t>
        </is>
      </c>
      <c r="D226" s="18" t="inlineStr">
        <is>
          <t>1.4 PROJECT MANAGEMENT</t>
        </is>
      </c>
      <c r="E226" s="18" t="inlineStr">
        <is>
          <t>—</t>
        </is>
      </c>
      <c r="F226" s="18" t="inlineStr">
        <is>
          <t>The BIDDER shall propose key governance processes including as a minimum: Project Resource Management, Issue Management, Risk Management, Contract Management, Project Change Management, Project Configuration Management, Quality Management, Reporting, Organizational Change Readiness Management, Communications, Project Financial Management, Project Training Management and Stakeholder Management.</t>
        </is>
      </c>
      <c r="G226" s="19" t="n"/>
      <c r="H226" s="20" t="n"/>
      <c r="I226" s="20" t="n"/>
      <c r="J226" s="19" t="n"/>
      <c r="K226" s="21" t="n"/>
      <c r="L226" s="22">
        <f>IF(OR(J226="",K226=""),"",J226*K226)</f>
        <v/>
      </c>
      <c r="M226" s="19" t="n"/>
      <c r="N226" s="20" t="n"/>
      <c r="O226" s="20" t="n"/>
    </row>
    <row r="227">
      <c r="A227" s="23" t="n">
        <v>224</v>
      </c>
      <c r="B227" s="24" t="inlineStr">
        <is>
          <t>1.4.1.4</t>
        </is>
      </c>
      <c r="C227" s="25" t="inlineStr">
        <is>
          <t>Part 1 – General &amp; Programme</t>
        </is>
      </c>
      <c r="D227" s="25" t="inlineStr">
        <is>
          <t>1.4 PROJECT MANAGEMENT</t>
        </is>
      </c>
      <c r="E227" s="25" t="inlineStr">
        <is>
          <t>—</t>
        </is>
      </c>
      <c r="F227" s="25" t="inlineStr">
        <is>
          <t>The BIDDER shall include a concise practical description of their proposed project management methodology and framework within their proposal with examples.</t>
        </is>
      </c>
      <c r="G227" s="19" t="n"/>
      <c r="H227" s="20" t="n"/>
      <c r="I227" s="20" t="n"/>
      <c r="J227" s="19" t="n"/>
      <c r="K227" s="21" t="n"/>
      <c r="L227" s="22">
        <f>IF(OR(J227="",K227=""),"",J227*K227)</f>
        <v/>
      </c>
      <c r="M227" s="19" t="n"/>
      <c r="N227" s="20" t="n"/>
      <c r="O227" s="20" t="n"/>
    </row>
    <row r="228">
      <c r="A228" s="16" t="n">
        <v>225</v>
      </c>
      <c r="B228" s="17" t="inlineStr">
        <is>
          <t>1.4.1.5</t>
        </is>
      </c>
      <c r="C228" s="18" t="inlineStr">
        <is>
          <t>Part 1 – General &amp; Programme</t>
        </is>
      </c>
      <c r="D228" s="18" t="inlineStr">
        <is>
          <t>1.4 PROJECT MANAGEMENT</t>
        </is>
      </c>
      <c r="E228" s="18" t="inlineStr">
        <is>
          <t>—</t>
        </is>
      </c>
      <c r="F228" s="18" t="inlineStr">
        <is>
          <t>The BIDDER shall address these requirements in their proposals in a practical manner, specific to the challenges of the OSS911 Program, and not in a high-level generic manner.</t>
        </is>
      </c>
      <c r="G228" s="19" t="n"/>
      <c r="H228" s="20" t="n"/>
      <c r="I228" s="20" t="n"/>
      <c r="J228" s="19" t="n"/>
      <c r="K228" s="21" t="n"/>
      <c r="L228" s="22">
        <f>IF(OR(J228="",K228=""),"",J228*K228)</f>
        <v/>
      </c>
      <c r="M228" s="19" t="n"/>
      <c r="N228" s="20" t="n"/>
      <c r="O228" s="20" t="n"/>
    </row>
    <row r="229">
      <c r="A229" s="23" t="n">
        <v>226</v>
      </c>
      <c r="B229" s="24" t="inlineStr">
        <is>
          <t>1.4.1.6</t>
        </is>
      </c>
      <c r="C229" s="25" t="inlineStr">
        <is>
          <t>Part 1 – General &amp; Programme</t>
        </is>
      </c>
      <c r="D229" s="25" t="inlineStr">
        <is>
          <t>1.4 PROJECT MANAGEMENT</t>
        </is>
      </c>
      <c r="E229" s="25" t="inlineStr">
        <is>
          <t>—</t>
        </is>
      </c>
      <c r="F229" s="25" t="inlineStr">
        <is>
          <t>As part of the proposal, the BIDDER shall supply a Microsoft Project-based preliminary program schedule detailed up to activity level.</t>
        </is>
      </c>
      <c r="G229" s="19" t="n"/>
      <c r="H229" s="20" t="n"/>
      <c r="I229" s="20" t="n"/>
      <c r="J229" s="19" t="n"/>
      <c r="K229" s="21" t="n"/>
      <c r="L229" s="22">
        <f>IF(OR(J229="",K229=""),"",J229*K229)</f>
        <v/>
      </c>
      <c r="M229" s="19" t="n"/>
      <c r="N229" s="20" t="n"/>
      <c r="O229" s="20" t="n"/>
    </row>
    <row r="230">
      <c r="A230" s="16" t="n">
        <v>227</v>
      </c>
      <c r="B230" s="17" t="inlineStr">
        <is>
          <t>1.4.1.7</t>
        </is>
      </c>
      <c r="C230" s="18" t="inlineStr">
        <is>
          <t>Part 1 – General &amp; Programme</t>
        </is>
      </c>
      <c r="D230" s="18" t="inlineStr">
        <is>
          <t>1.4 PROJECT MANAGEMENT</t>
        </is>
      </c>
      <c r="E230" s="18" t="inlineStr">
        <is>
          <t>—</t>
        </is>
      </c>
      <c r="F230" s="18" t="inlineStr">
        <is>
          <t>The BIDDER shall include in their proposals the full CV for all key personnel proposed by them for the project.</t>
        </is>
      </c>
      <c r="G230" s="19" t="n"/>
      <c r="H230" s="20" t="n"/>
      <c r="I230" s="20" t="n"/>
      <c r="J230" s="19" t="n"/>
      <c r="K230" s="21" t="n"/>
      <c r="L230" s="22">
        <f>IF(OR(J230="",K230=""),"",J230*K230)</f>
        <v/>
      </c>
      <c r="M230" s="19" t="n"/>
      <c r="N230" s="20" t="n"/>
      <c r="O230" s="20" t="n"/>
    </row>
    <row r="231">
      <c r="A231" s="23" t="n">
        <v>228</v>
      </c>
      <c r="B231" s="24" t="inlineStr">
        <is>
          <t>1.4.1.8</t>
        </is>
      </c>
      <c r="C231" s="25" t="inlineStr">
        <is>
          <t>Part 1 – General &amp; Programme</t>
        </is>
      </c>
      <c r="D231" s="25" t="inlineStr">
        <is>
          <t>1.4 PROJECT MANAGEMENT</t>
        </is>
      </c>
      <c r="E231" s="25" t="inlineStr">
        <is>
          <t>—</t>
        </is>
      </c>
      <c r="F231" s="25" t="inlineStr">
        <is>
          <t>The CONTRACTOR shall be responsible for the data collection, analysis and delivery to the MOI of periodic Program Status Reports (PSR), preparation and delivery of program documentation such as executive and technical presentations, updates to program plans, deliverable reviews, budget/financial reports, delivery schedules, team performance and evaluation reviews, technical and functional papers, conformance certificates, acceptance certificates and policies and procedures.</t>
        </is>
      </c>
      <c r="G231" s="19" t="n"/>
      <c r="H231" s="20" t="n"/>
      <c r="I231" s="20" t="n"/>
      <c r="J231" s="19" t="n"/>
      <c r="K231" s="21" t="n"/>
      <c r="L231" s="22">
        <f>IF(OR(J231="",K231=""),"",J231*K231)</f>
        <v/>
      </c>
      <c r="M231" s="19" t="n"/>
      <c r="N231" s="20" t="n"/>
      <c r="O231" s="20" t="n"/>
    </row>
    <row r="232">
      <c r="A232" s="16" t="n">
        <v>229</v>
      </c>
      <c r="B232" s="17" t="inlineStr">
        <is>
          <t>1.4.1.9</t>
        </is>
      </c>
      <c r="C232" s="18" t="inlineStr">
        <is>
          <t>Part 1 – General &amp; Programme</t>
        </is>
      </c>
      <c r="D232" s="18" t="inlineStr">
        <is>
          <t>1.4 PROJECT MANAGEMENT</t>
        </is>
      </c>
      <c r="E232" s="18" t="inlineStr">
        <is>
          <t>—</t>
        </is>
      </c>
      <c r="F232" s="18" t="inlineStr">
        <is>
          <t>The CONTRACTOR shall be responsible for the implementation and delivery of financial processes that provide proper financial controls and correct financial reporting of the OSS911 project.</t>
        </is>
      </c>
      <c r="G232" s="19" t="n"/>
      <c r="H232" s="20" t="n"/>
      <c r="I232" s="20" t="n"/>
      <c r="J232" s="19" t="n"/>
      <c r="K232" s="21" t="n"/>
      <c r="L232" s="22">
        <f>IF(OR(J232="",K232=""),"",J232*K232)</f>
        <v/>
      </c>
      <c r="M232" s="19" t="n"/>
      <c r="N232" s="20" t="n"/>
      <c r="O232" s="20" t="n"/>
    </row>
    <row r="233">
      <c r="A233" s="23" t="n">
        <v>230</v>
      </c>
      <c r="B233" s="24" t="inlineStr">
        <is>
          <t>1.4.1.10</t>
        </is>
      </c>
      <c r="C233" s="25" t="inlineStr">
        <is>
          <t>Part 1 – General &amp; Programme</t>
        </is>
      </c>
      <c r="D233" s="25" t="inlineStr">
        <is>
          <t>1.4 PROJECT MANAGEMENT</t>
        </is>
      </c>
      <c r="E233" s="25" t="inlineStr">
        <is>
          <t>—</t>
        </is>
      </c>
      <c r="F233" s="25" t="inlineStr">
        <is>
          <t>The CONTRACTOR shall be responsible for the implementation and active management of the plan including but not limited to ensuring that all change introduced to the project environment is appropriately recorded, defined, evaluated and agreed to and approved with the MOI prior to implementation.</t>
        </is>
      </c>
      <c r="G233" s="19" t="n"/>
      <c r="H233" s="20" t="n"/>
      <c r="I233" s="20" t="n"/>
      <c r="J233" s="19" t="n"/>
      <c r="K233" s="21" t="n"/>
      <c r="L233" s="22">
        <f>IF(OR(J233="",K233=""),"",J233*K233)</f>
        <v/>
      </c>
      <c r="M233" s="19" t="n"/>
      <c r="N233" s="20" t="n"/>
      <c r="O233" s="20" t="n"/>
    </row>
    <row r="234">
      <c r="A234" s="16" t="n">
        <v>231</v>
      </c>
      <c r="B234" s="17" t="inlineStr">
        <is>
          <t>1.4.1.11</t>
        </is>
      </c>
      <c r="C234" s="18" t="inlineStr">
        <is>
          <t>Part 1 – General &amp; Programme</t>
        </is>
      </c>
      <c r="D234" s="18" t="inlineStr">
        <is>
          <t>1.4 PROJECT MANAGEMENT</t>
        </is>
      </c>
      <c r="E234" s="18" t="inlineStr">
        <is>
          <t>—</t>
        </is>
      </c>
      <c r="F234" s="18" t="inlineStr">
        <is>
          <t>The CONTRACTOR shall implement and actively manage a Risk Management process that ensures that all project risks are identified, recorded, analyzed and assessed and, appropriate response/mitigation plans put in place and, continually managed and reported.</t>
        </is>
      </c>
      <c r="G234" s="19" t="n"/>
      <c r="H234" s="20" t="n"/>
      <c r="I234" s="20" t="n"/>
      <c r="J234" s="19" t="n"/>
      <c r="K234" s="21" t="n"/>
      <c r="L234" s="22">
        <f>IF(OR(J234="",K234=""),"",J234*K234)</f>
        <v/>
      </c>
      <c r="M234" s="19" t="n"/>
      <c r="N234" s="20" t="n"/>
      <c r="O234" s="20" t="n"/>
    </row>
    <row r="235">
      <c r="A235" s="23" t="n">
        <v>232</v>
      </c>
      <c r="B235" s="24" t="inlineStr">
        <is>
          <t>1.4.1.12</t>
        </is>
      </c>
      <c r="C235" s="25" t="inlineStr">
        <is>
          <t>Part 1 – General &amp; Programme</t>
        </is>
      </c>
      <c r="D235" s="25" t="inlineStr">
        <is>
          <t>1.4 PROJECT MANAGEMENT</t>
        </is>
      </c>
      <c r="E235" s="25" t="inlineStr">
        <is>
          <t>—</t>
        </is>
      </c>
      <c r="F235" s="25" t="inlineStr">
        <is>
          <t>The CONTRACTOR shall implement and actively manage an Issue Management process which ensures that all issues are systematically identified, recorded, evaluated and actively managed, reported and resolutions communicated across the project.</t>
        </is>
      </c>
      <c r="G235" s="19" t="n"/>
      <c r="H235" s="20" t="n"/>
      <c r="I235" s="20" t="n"/>
      <c r="J235" s="19" t="n"/>
      <c r="K235" s="21" t="n"/>
      <c r="L235" s="22">
        <f>IF(OR(J235="",K235=""),"",J235*K235)</f>
        <v/>
      </c>
      <c r="M235" s="19" t="n"/>
      <c r="N235" s="20" t="n"/>
      <c r="O235" s="20" t="n"/>
    </row>
    <row r="236">
      <c r="A236" s="16" t="n">
        <v>233</v>
      </c>
      <c r="B236" s="17" t="inlineStr">
        <is>
          <t>1.4.1.13</t>
        </is>
      </c>
      <c r="C236" s="18" t="inlineStr">
        <is>
          <t>Part 1 – General &amp; Programme</t>
        </is>
      </c>
      <c r="D236" s="18" t="inlineStr">
        <is>
          <t>1.4 PROJECT MANAGEMENT</t>
        </is>
      </c>
      <c r="E236" s="18" t="inlineStr">
        <is>
          <t>—</t>
        </is>
      </c>
      <c r="F236" s="18" t="inlineStr">
        <is>
          <t>The CONTRACTOR shall be responsible for the development and maintenance of the baselined OSS911 project master schedule.</t>
        </is>
      </c>
      <c r="G236" s="19" t="n"/>
      <c r="H236" s="20" t="n"/>
      <c r="I236" s="20" t="n"/>
      <c r="J236" s="19" t="n"/>
      <c r="K236" s="21" t="n"/>
      <c r="L236" s="22">
        <f>IF(OR(J236="",K236=""),"",J236*K236)</f>
        <v/>
      </c>
      <c r="M236" s="19" t="n"/>
      <c r="N236" s="20" t="n"/>
      <c r="O236" s="20" t="n"/>
    </row>
    <row r="237">
      <c r="A237" s="23" t="n">
        <v>234</v>
      </c>
      <c r="B237" s="24" t="inlineStr">
        <is>
          <t>1.4.1.14</t>
        </is>
      </c>
      <c r="C237" s="25" t="inlineStr">
        <is>
          <t>Part 1 – General &amp; Programme</t>
        </is>
      </c>
      <c r="D237" s="25" t="inlineStr">
        <is>
          <t>1.4 PROJECT MANAGEMENT</t>
        </is>
      </c>
      <c r="E237" s="25" t="inlineStr">
        <is>
          <t>—</t>
        </is>
      </c>
      <c r="F237" s="25" t="inlineStr">
        <is>
          <t>The CONTRACTOR shall maintain baseline control of the master schedules, with changes to baseline values restricted to those formally approved by MOI.</t>
        </is>
      </c>
      <c r="G237" s="19" t="n"/>
      <c r="H237" s="20" t="n"/>
      <c r="I237" s="20" t="n"/>
      <c r="J237" s="19" t="n"/>
      <c r="K237" s="21" t="n"/>
      <c r="L237" s="22">
        <f>IF(OR(J237="",K237=""),"",J237*K237)</f>
        <v/>
      </c>
      <c r="M237" s="19" t="n"/>
      <c r="N237" s="20" t="n"/>
      <c r="O237" s="20" t="n"/>
    </row>
    <row r="238">
      <c r="A238" s="16" t="n">
        <v>235</v>
      </c>
      <c r="B238" s="17" t="inlineStr">
        <is>
          <t>1.4.1.15</t>
        </is>
      </c>
      <c r="C238" s="18" t="inlineStr">
        <is>
          <t>Part 1 – General &amp; Programme</t>
        </is>
      </c>
      <c r="D238" s="18" t="inlineStr">
        <is>
          <t>1.4 PROJECT MANAGEMENT</t>
        </is>
      </c>
      <c r="E238" s="18" t="inlineStr">
        <is>
          <t>—</t>
        </is>
      </c>
      <c r="F238" s="18" t="inlineStr">
        <is>
          <t>The CONTRACTOR shall be responsible for developing a schedule that identifies milestones and key periods and dates for decisions, MOI input and actions, and external actions, and shall clearly communicate to MOI the time frames for response to these items such that MOI is fully informed of the requirements placed on their organization and external KSA organizations, agencies, ministries, and parties within the stakeholder community.</t>
        </is>
      </c>
      <c r="G238" s="19" t="n"/>
      <c r="H238" s="20" t="n"/>
      <c r="I238" s="20" t="n"/>
      <c r="J238" s="19" t="n"/>
      <c r="K238" s="21" t="n"/>
      <c r="L238" s="22">
        <f>IF(OR(J238="",K238=""),"",J238*K238)</f>
        <v/>
      </c>
      <c r="M238" s="19" t="n"/>
      <c r="N238" s="20" t="n"/>
      <c r="O238" s="20" t="n"/>
    </row>
    <row r="239">
      <c r="A239" s="23" t="n">
        <v>236</v>
      </c>
      <c r="B239" s="24" t="inlineStr">
        <is>
          <t>1.4.1.16</t>
        </is>
      </c>
      <c r="C239" s="25" t="inlineStr">
        <is>
          <t>Part 1 – General &amp; Programme</t>
        </is>
      </c>
      <c r="D239" s="25" t="inlineStr">
        <is>
          <t>1.4 PROJECT MANAGEMENT</t>
        </is>
      </c>
      <c r="E239" s="25" t="inlineStr">
        <is>
          <t>—</t>
        </is>
      </c>
      <c r="F239" s="25" t="inlineStr">
        <is>
          <t>The CONTRACTOR shall be responsible for the delivery/distribution of information and communications to all the relevant appropriate stakeholders as per the agreed Communication Management plan with the MOI.</t>
        </is>
      </c>
      <c r="G239" s="19" t="n"/>
      <c r="H239" s="20" t="n"/>
      <c r="I239" s="20" t="n"/>
      <c r="J239" s="19" t="n"/>
      <c r="K239" s="21" t="n"/>
      <c r="L239" s="22">
        <f>IF(OR(J239="",K239=""),"",J239*K239)</f>
        <v/>
      </c>
      <c r="M239" s="19" t="n"/>
      <c r="N239" s="20" t="n"/>
      <c r="O239" s="20" t="n"/>
    </row>
    <row r="240">
      <c r="A240" s="16" t="n">
        <v>237</v>
      </c>
      <c r="B240" s="17" t="inlineStr">
        <is>
          <t>1.4.1.17</t>
        </is>
      </c>
      <c r="C240" s="18" t="inlineStr">
        <is>
          <t>Part 1 – General &amp; Programme</t>
        </is>
      </c>
      <c r="D240" s="18" t="inlineStr">
        <is>
          <t>1.4 PROJECT MANAGEMENT</t>
        </is>
      </c>
      <c r="E240" s="18" t="inlineStr">
        <is>
          <t>—</t>
        </is>
      </c>
      <c r="F240" s="18" t="inlineStr">
        <is>
          <t>The CONTRACTOR shall be responsible for the development, implementation and active management of a Quality Management System which documents the policies, quality standards and requirements, review and acceptance processes, for all program/project planning, controlling, monitoring and reporting activities.</t>
        </is>
      </c>
      <c r="G240" s="19" t="n"/>
      <c r="H240" s="20" t="n"/>
      <c r="I240" s="20" t="n"/>
      <c r="J240" s="19" t="n"/>
      <c r="K240" s="21" t="n"/>
      <c r="L240" s="22">
        <f>IF(OR(J240="",K240=""),"",J240*K240)</f>
        <v/>
      </c>
      <c r="M240" s="19" t="n"/>
      <c r="N240" s="20" t="n"/>
      <c r="O240" s="20" t="n"/>
    </row>
    <row r="241">
      <c r="A241" s="23" t="n">
        <v>238</v>
      </c>
      <c r="B241" s="24" t="inlineStr">
        <is>
          <t>1.4.1.18</t>
        </is>
      </c>
      <c r="C241" s="25" t="inlineStr">
        <is>
          <t>Part 1 – General &amp; Programme</t>
        </is>
      </c>
      <c r="D241" s="25" t="inlineStr">
        <is>
          <t>1.4 PROJECT MANAGEMENT</t>
        </is>
      </c>
      <c r="E241" s="25" t="inlineStr">
        <is>
          <t>—</t>
        </is>
      </c>
      <c r="F241" s="25" t="inlineStr">
        <is>
          <t>The CONTRACTOR shall implement, apply, maintain, audit and report on the Quality Assurance requirements as defined within the Project Management Plan (to be delivered by the CONTRACTOR) and the latest ISO 9001 and ISO 10006 standards.</t>
        </is>
      </c>
      <c r="G241" s="19" t="n"/>
      <c r="H241" s="20" t="n"/>
      <c r="I241" s="20" t="n"/>
      <c r="J241" s="19" t="n"/>
      <c r="K241" s="21" t="n"/>
      <c r="L241" s="22">
        <f>IF(OR(J241="",K241=""),"",J241*K241)</f>
        <v/>
      </c>
      <c r="M241" s="19" t="n"/>
      <c r="N241" s="20" t="n"/>
      <c r="O241" s="20" t="n"/>
    </row>
    <row r="242">
      <c r="A242" s="16" t="n">
        <v>239</v>
      </c>
      <c r="B242" s="17" t="inlineStr">
        <is>
          <t>1.4.1.19</t>
        </is>
      </c>
      <c r="C242" s="18" t="inlineStr">
        <is>
          <t>Part 1 – General &amp; Programme</t>
        </is>
      </c>
      <c r="D242" s="18" t="inlineStr">
        <is>
          <t>1.4 PROJECT MANAGEMENT</t>
        </is>
      </c>
      <c r="E242" s="18" t="inlineStr">
        <is>
          <t>—</t>
        </is>
      </c>
      <c r="F242" s="18" t="inlineStr">
        <is>
          <t>For Contract Management, the CONTRACTOR shall deliver monitoring of contract compliance, terms and conditions, overseeing and reviewing overall performance of service level agreements, managing documentation of change requests and variations, delivery of contract deliverables, invoicing &amp; payment procedures, and frequent concise and accurate management reporting.</t>
        </is>
      </c>
      <c r="G242" s="19" t="n"/>
      <c r="H242" s="20" t="n"/>
      <c r="I242" s="20" t="n"/>
      <c r="J242" s="19" t="n"/>
      <c r="K242" s="21" t="n"/>
      <c r="L242" s="22">
        <f>IF(OR(J242="",K242=""),"",J242*K242)</f>
        <v/>
      </c>
      <c r="M242" s="19" t="n"/>
      <c r="N242" s="20" t="n"/>
      <c r="O242" s="20" t="n"/>
    </row>
    <row r="243">
      <c r="A243" s="23" t="n">
        <v>240</v>
      </c>
      <c r="B243" s="24" t="inlineStr">
        <is>
          <t>1.4.1.20</t>
        </is>
      </c>
      <c r="C243" s="25" t="inlineStr">
        <is>
          <t>Part 1 – General &amp; Programme</t>
        </is>
      </c>
      <c r="D243" s="25" t="inlineStr">
        <is>
          <t>1.4 PROJECT MANAGEMENT</t>
        </is>
      </c>
      <c r="E243" s="25" t="inlineStr">
        <is>
          <t>—</t>
        </is>
      </c>
      <c r="F243" s="25" t="inlineStr">
        <is>
          <t>The CONTRACTOR shall be responsible for timely review of deliverables for functional and technical accuracy/completeness and, compliance with applicable regulations.</t>
        </is>
      </c>
      <c r="G243" s="19" t="n"/>
      <c r="H243" s="20" t="n"/>
      <c r="I243" s="20" t="n"/>
      <c r="J243" s="19" t="n"/>
      <c r="K243" s="21" t="n"/>
      <c r="L243" s="22">
        <f>IF(OR(J243="",K243=""),"",J243*K243)</f>
        <v/>
      </c>
      <c r="M243" s="19" t="n"/>
      <c r="N243" s="20" t="n"/>
      <c r="O243" s="20" t="n"/>
    </row>
    <row r="244">
      <c r="A244" s="16" t="n">
        <v>241</v>
      </c>
      <c r="B244" s="17" t="inlineStr">
        <is>
          <t>1.4.1.21</t>
        </is>
      </c>
      <c r="C244" s="18" t="inlineStr">
        <is>
          <t>Part 1 – General &amp; Programme</t>
        </is>
      </c>
      <c r="D244" s="18" t="inlineStr">
        <is>
          <t>1.4 PROJECT MANAGEMENT</t>
        </is>
      </c>
      <c r="E244" s="18" t="inlineStr">
        <is>
          <t>—</t>
        </is>
      </c>
      <c r="F244" s="18" t="inlineStr">
        <is>
          <t>Configuration Management by the CONTRACTOR shall include ensuring that the Configuration Items (CI’s) are placed under proper configuration management (version control, etc.) control to ensure the latest version of a CI is being used/evaluated and that there is an audit trace of all changes.</t>
        </is>
      </c>
      <c r="G244" s="19" t="n"/>
      <c r="H244" s="20" t="n"/>
      <c r="I244" s="20" t="n"/>
      <c r="J244" s="19" t="n"/>
      <c r="K244" s="21" t="n"/>
      <c r="L244" s="22">
        <f>IF(OR(J244="",K244=""),"",J244*K244)</f>
        <v/>
      </c>
      <c r="M244" s="19" t="n"/>
      <c r="N244" s="20" t="n"/>
      <c r="O244" s="20" t="n"/>
    </row>
    <row r="245">
      <c r="A245" s="23" t="n">
        <v>242</v>
      </c>
      <c r="B245" s="24" t="inlineStr">
        <is>
          <t>1.4.1.22</t>
        </is>
      </c>
      <c r="C245" s="25" t="inlineStr">
        <is>
          <t>Part 1 – General &amp; Programme</t>
        </is>
      </c>
      <c r="D245" s="25" t="inlineStr">
        <is>
          <t>1.4 PROJECT MANAGEMENT</t>
        </is>
      </c>
      <c r="E245" s="25" t="inlineStr">
        <is>
          <t>—</t>
        </is>
      </c>
      <c r="F245" s="25" t="inlineStr">
        <is>
          <t>The CONTRACTOR shall employ configuration and release management on each of the OSS911 system releases.</t>
        </is>
      </c>
      <c r="G245" s="19" t="n"/>
      <c r="H245" s="20" t="n"/>
      <c r="I245" s="20" t="n"/>
      <c r="J245" s="19" t="n"/>
      <c r="K245" s="21" t="n"/>
      <c r="L245" s="22">
        <f>IF(OR(J245="",K245=""),"",J245*K245)</f>
        <v/>
      </c>
      <c r="M245" s="19" t="n"/>
      <c r="N245" s="20" t="n"/>
      <c r="O245" s="20" t="n"/>
    </row>
    <row r="246">
      <c r="A246" s="16" t="n">
        <v>243</v>
      </c>
      <c r="B246" s="17" t="inlineStr">
        <is>
          <t>1.4.1.23</t>
        </is>
      </c>
      <c r="C246" s="18" t="inlineStr">
        <is>
          <t>Part 1 – General &amp; Programme</t>
        </is>
      </c>
      <c r="D246" s="18" t="inlineStr">
        <is>
          <t>1.4 PROJECT MANAGEMENT</t>
        </is>
      </c>
      <c r="E246" s="18" t="inlineStr">
        <is>
          <t>—</t>
        </is>
      </c>
      <c r="F246" s="18" t="inlineStr">
        <is>
          <t>All system upgrades shall be tested, proven and accepted within the CONTRACTOR’S environment before roll out onto the operational systems to ensure maintenance of the systems operational availability to the MOI.</t>
        </is>
      </c>
      <c r="G246" s="19" t="n"/>
      <c r="H246" s="20" t="n"/>
      <c r="I246" s="20" t="n"/>
      <c r="J246" s="19" t="n"/>
      <c r="K246" s="21" t="n"/>
      <c r="L246" s="22">
        <f>IF(OR(J246="",K246=""),"",J246*K246)</f>
        <v/>
      </c>
      <c r="M246" s="19" t="n"/>
      <c r="N246" s="20" t="n"/>
      <c r="O246" s="20" t="n"/>
    </row>
    <row r="247">
      <c r="A247" s="23" t="n">
        <v>244</v>
      </c>
      <c r="B247" s="24" t="inlineStr">
        <is>
          <t>1.4.1.24</t>
        </is>
      </c>
      <c r="C247" s="25" t="inlineStr">
        <is>
          <t>Part 1 – General &amp; Programme</t>
        </is>
      </c>
      <c r="D247" s="25" t="inlineStr">
        <is>
          <t>1.4 PROJECT MANAGEMENT</t>
        </is>
      </c>
      <c r="E247" s="25" t="inlineStr">
        <is>
          <t>—</t>
        </is>
      </c>
      <c r="F247" s="25" t="inlineStr">
        <is>
          <t>Weekly standard Program Status Report (PSR) formats shall be delivered by the CONTRACTOR to the MOI. The format shall include the following as a minimum:</t>
        </is>
      </c>
      <c r="G247" s="19" t="n"/>
      <c r="H247" s="20" t="n"/>
      <c r="I247" s="20" t="n"/>
      <c r="J247" s="19" t="n"/>
      <c r="K247" s="21" t="n"/>
      <c r="L247" s="22">
        <f>IF(OR(J247="",K247=""),"",J247*K247)</f>
        <v/>
      </c>
      <c r="M247" s="19" t="n"/>
      <c r="N247" s="20" t="n"/>
      <c r="O247" s="20" t="n"/>
    </row>
    <row r="248">
      <c r="A248" s="16" t="n">
        <v>245</v>
      </c>
      <c r="B248" s="16" t="inlineStr">
        <is>
          <t>1.4.1.24.1</t>
        </is>
      </c>
      <c r="C248" s="18" t="inlineStr">
        <is>
          <t>Part 1 – General &amp; Programme</t>
        </is>
      </c>
      <c r="D248" s="18" t="inlineStr">
        <is>
          <t>1.4 PROJECT MANAGEMENT</t>
        </is>
      </c>
      <c r="E248" s="18" t="inlineStr">
        <is>
          <t>—</t>
        </is>
      </c>
      <c r="F248" s="18" t="inlineStr">
        <is>
          <t>Program Status Summary including brief Red Amber Green (RAG) summary of the project.</t>
        </is>
      </c>
      <c r="G248" s="19" t="n"/>
      <c r="H248" s="20" t="n"/>
      <c r="I248" s="20" t="n"/>
      <c r="J248" s="19" t="n"/>
      <c r="K248" s="21" t="n"/>
      <c r="L248" s="22">
        <f>IF(OR(J248="",K248=""),"",J248*K248)</f>
        <v/>
      </c>
      <c r="M248" s="19" t="n"/>
      <c r="N248" s="20" t="n"/>
      <c r="O248" s="20" t="n"/>
    </row>
    <row r="249">
      <c r="A249" s="23" t="n">
        <v>246</v>
      </c>
      <c r="B249" s="23" t="inlineStr">
        <is>
          <t>1.4.1.24.2</t>
        </is>
      </c>
      <c r="C249" s="25" t="inlineStr">
        <is>
          <t>Part 1 – General &amp; Programme</t>
        </is>
      </c>
      <c r="D249" s="25" t="inlineStr">
        <is>
          <t>1.4 PROJECT MANAGEMENT</t>
        </is>
      </c>
      <c r="E249" s="25" t="inlineStr">
        <is>
          <t>—</t>
        </is>
      </c>
      <c r="F249" s="25" t="inlineStr">
        <is>
          <t>A dashboard document for quick, high-level status view by MOI stakeholders and decision-makers on a project management reporting system portal.</t>
        </is>
      </c>
      <c r="G249" s="19" t="n"/>
      <c r="H249" s="20" t="n"/>
      <c r="I249" s="20" t="n"/>
      <c r="J249" s="19" t="n"/>
      <c r="K249" s="21" t="n"/>
      <c r="L249" s="22">
        <f>IF(OR(J249="",K249=""),"",J249*K249)</f>
        <v/>
      </c>
      <c r="M249" s="19" t="n"/>
      <c r="N249" s="20" t="n"/>
      <c r="O249" s="20" t="n"/>
    </row>
    <row r="250">
      <c r="A250" s="16" t="n">
        <v>247</v>
      </c>
      <c r="B250" s="16" t="inlineStr">
        <is>
          <t>1.4.1.24.3</t>
        </is>
      </c>
      <c r="C250" s="18" t="inlineStr">
        <is>
          <t>Part 1 – General &amp; Programme</t>
        </is>
      </c>
      <c r="D250" s="18" t="inlineStr">
        <is>
          <t>1.4 PROJECT MANAGEMENT</t>
        </is>
      </c>
      <c r="E250" s="18" t="inlineStr">
        <is>
          <t>—</t>
        </is>
      </c>
      <c r="F250" s="18" t="inlineStr">
        <is>
          <t>Progress during the reporting period</t>
        </is>
      </c>
      <c r="G250" s="19" t="n"/>
      <c r="H250" s="20" t="n"/>
      <c r="I250" s="20" t="n"/>
      <c r="J250" s="19" t="n"/>
      <c r="K250" s="21" t="n"/>
      <c r="L250" s="22">
        <f>IF(OR(J250="",K250=""),"",J250*K250)</f>
        <v/>
      </c>
      <c r="M250" s="19" t="n"/>
      <c r="N250" s="20" t="n"/>
      <c r="O250" s="20" t="n"/>
    </row>
    <row r="251">
      <c r="A251" s="23" t="n">
        <v>248</v>
      </c>
      <c r="B251" s="23" t="inlineStr">
        <is>
          <t>1.4.1.24.4</t>
        </is>
      </c>
      <c r="C251" s="25" t="inlineStr">
        <is>
          <t>Part 1 – General &amp; Programme</t>
        </is>
      </c>
      <c r="D251" s="25" t="inlineStr">
        <is>
          <t>1.4 PROJECT MANAGEMENT</t>
        </is>
      </c>
      <c r="E251" s="25" t="inlineStr">
        <is>
          <t>—</t>
        </is>
      </c>
      <c r="F251" s="25" t="inlineStr">
        <is>
          <t>Issues</t>
        </is>
      </c>
      <c r="G251" s="19" t="n"/>
      <c r="H251" s="20" t="n"/>
      <c r="I251" s="20" t="n"/>
      <c r="J251" s="19" t="n"/>
      <c r="K251" s="21" t="n"/>
      <c r="L251" s="22">
        <f>IF(OR(J251="",K251=""),"",J251*K251)</f>
        <v/>
      </c>
      <c r="M251" s="19" t="n"/>
      <c r="N251" s="20" t="n"/>
      <c r="O251" s="20" t="n"/>
    </row>
    <row r="252">
      <c r="A252" s="16" t="n">
        <v>249</v>
      </c>
      <c r="B252" s="16" t="inlineStr">
        <is>
          <t>1.4.1.24.5</t>
        </is>
      </c>
      <c r="C252" s="18" t="inlineStr">
        <is>
          <t>Part 1 – General &amp; Programme</t>
        </is>
      </c>
      <c r="D252" s="18" t="inlineStr">
        <is>
          <t>1.4 PROJECT MANAGEMENT</t>
        </is>
      </c>
      <c r="E252" s="18" t="inlineStr">
        <is>
          <t>—</t>
        </is>
      </c>
      <c r="F252" s="18" t="inlineStr">
        <is>
          <t>Risks</t>
        </is>
      </c>
      <c r="G252" s="19" t="n"/>
      <c r="H252" s="20" t="n"/>
      <c r="I252" s="20" t="n"/>
      <c r="J252" s="19" t="n"/>
      <c r="K252" s="21" t="n"/>
      <c r="L252" s="22">
        <f>IF(OR(J252="",K252=""),"",J252*K252)</f>
        <v/>
      </c>
      <c r="M252" s="19" t="n"/>
      <c r="N252" s="20" t="n"/>
      <c r="O252" s="20" t="n"/>
    </row>
    <row r="253">
      <c r="A253" s="23" t="n">
        <v>250</v>
      </c>
      <c r="B253" s="23" t="inlineStr">
        <is>
          <t>1.4.1.24.6</t>
        </is>
      </c>
      <c r="C253" s="25" t="inlineStr">
        <is>
          <t>Part 1 – General &amp; Programme</t>
        </is>
      </c>
      <c r="D253" s="25" t="inlineStr">
        <is>
          <t>1.4 PROJECT MANAGEMENT</t>
        </is>
      </c>
      <c r="E253" s="25" t="inlineStr">
        <is>
          <t>—</t>
        </is>
      </c>
      <c r="F253" s="25" t="inlineStr">
        <is>
          <t>Changes</t>
        </is>
      </c>
      <c r="G253" s="19" t="n"/>
      <c r="H253" s="20" t="n"/>
      <c r="I253" s="20" t="n"/>
      <c r="J253" s="19" t="n"/>
      <c r="K253" s="21" t="n"/>
      <c r="L253" s="22">
        <f>IF(OR(J253="",K253=""),"",J253*K253)</f>
        <v/>
      </c>
      <c r="M253" s="19" t="n"/>
      <c r="N253" s="20" t="n"/>
      <c r="O253" s="20" t="n"/>
    </row>
    <row r="254">
      <c r="A254" s="16" t="n">
        <v>251</v>
      </c>
      <c r="B254" s="16" t="inlineStr">
        <is>
          <t>1.4.1.24.7</t>
        </is>
      </c>
      <c r="C254" s="18" t="inlineStr">
        <is>
          <t>Part 1 – General &amp; Programme</t>
        </is>
      </c>
      <c r="D254" s="18" t="inlineStr">
        <is>
          <t>1.4 PROJECT MANAGEMENT</t>
        </is>
      </c>
      <c r="E254" s="18" t="inlineStr">
        <is>
          <t>—</t>
        </is>
      </c>
      <c r="F254" s="18" t="inlineStr">
        <is>
          <t>Forward look for progress in the next reporting period</t>
        </is>
      </c>
      <c r="G254" s="19" t="n"/>
      <c r="H254" s="20" t="n"/>
      <c r="I254" s="20" t="n"/>
      <c r="J254" s="19" t="n"/>
      <c r="K254" s="21" t="n"/>
      <c r="L254" s="22">
        <f>IF(OR(J254="",K254=""),"",J254*K254)</f>
        <v/>
      </c>
      <c r="M254" s="19" t="n"/>
      <c r="N254" s="20" t="n"/>
      <c r="O254" s="20" t="n"/>
    </row>
    <row r="255">
      <c r="A255" s="23" t="n">
        <v>252</v>
      </c>
      <c r="B255" s="24" t="inlineStr">
        <is>
          <t>1.4.1.25</t>
        </is>
      </c>
      <c r="C255" s="25" t="inlineStr">
        <is>
          <t>Part 1 – General &amp; Programme</t>
        </is>
      </c>
      <c r="D255" s="25" t="inlineStr">
        <is>
          <t>1.4 PROJECT MANAGEMENT</t>
        </is>
      </c>
      <c r="E255" s="25" t="inlineStr">
        <is>
          <t>—</t>
        </is>
      </c>
      <c r="F255" s="25" t="inlineStr">
        <is>
          <t>The CONTRACTOR’s Project Manager shall be an employee of the CONTRACTOR and must be authorized to make decisions on behalf of the CONTRACTOR and all subcontractors.</t>
        </is>
      </c>
      <c r="G255" s="19" t="n"/>
      <c r="H255" s="20" t="n"/>
      <c r="I255" s="20" t="n"/>
      <c r="J255" s="19" t="n"/>
      <c r="K255" s="21" t="n"/>
      <c r="L255" s="22">
        <f>IF(OR(J255="",K255=""),"",J255*K255)</f>
        <v/>
      </c>
      <c r="M255" s="19" t="n"/>
      <c r="N255" s="20" t="n"/>
      <c r="O255" s="20" t="n"/>
    </row>
    <row r="256">
      <c r="A256" s="16" t="n">
        <v>253</v>
      </c>
      <c r="B256" s="17" t="inlineStr">
        <is>
          <t>1.4.1.26</t>
        </is>
      </c>
      <c r="C256" s="18" t="inlineStr">
        <is>
          <t>Part 1 – General &amp; Programme</t>
        </is>
      </c>
      <c r="D256" s="18" t="inlineStr">
        <is>
          <t>1.4 PROJECT MANAGEMENT</t>
        </is>
      </c>
      <c r="E256" s="18" t="inlineStr">
        <is>
          <t>—</t>
        </is>
      </c>
      <c r="F256" s="18" t="inlineStr">
        <is>
          <t>As part of their team and their subcontractor team, the CONTRACTOR shall assign sufficient qualified subject matter expert resources to the project to deliver the solutions required in this RFP for each of the RFP work streams / work packages.</t>
        </is>
      </c>
      <c r="G256" s="19" t="n"/>
      <c r="H256" s="20" t="n"/>
      <c r="I256" s="20" t="n"/>
      <c r="J256" s="19" t="n"/>
      <c r="K256" s="21" t="n"/>
      <c r="L256" s="22">
        <f>IF(OR(J256="",K256=""),"",J256*K256)</f>
        <v/>
      </c>
      <c r="M256" s="19" t="n"/>
      <c r="N256" s="20" t="n"/>
      <c r="O256" s="20" t="n"/>
    </row>
    <row r="257">
      <c r="A257" s="23" t="n">
        <v>254</v>
      </c>
      <c r="B257" s="24" t="inlineStr">
        <is>
          <t>1.4.1.27</t>
        </is>
      </c>
      <c r="C257" s="25" t="inlineStr">
        <is>
          <t>Part 1 – General &amp; Programme</t>
        </is>
      </c>
      <c r="D257" s="25" t="inlineStr">
        <is>
          <t>1.4 PROJECT MANAGEMENT</t>
        </is>
      </c>
      <c r="E257" s="25" t="inlineStr">
        <is>
          <t>—</t>
        </is>
      </c>
      <c r="F257" s="25" t="inlineStr">
        <is>
          <t>Unless otherwise agreed with the MOI the CONTRACTOR shall provide Documentation using Microsoft Office components. Adobe Acrobat PDF format is permitted but all submitted documentation shall also be provided in its native format (i.e. .docx, .doc, .xlsx, .xls, .pptx, .ppt, .mpp etc.).</t>
        </is>
      </c>
      <c r="G257" s="19" t="n"/>
      <c r="H257" s="20" t="n"/>
      <c r="I257" s="20" t="n"/>
      <c r="J257" s="19" t="n"/>
      <c r="K257" s="21" t="n"/>
      <c r="L257" s="22">
        <f>IF(OR(J257="",K257=""),"",J257*K257)</f>
        <v/>
      </c>
      <c r="M257" s="19" t="n"/>
      <c r="N257" s="20" t="n"/>
      <c r="O257" s="20" t="n"/>
    </row>
    <row r="258">
      <c r="A258" s="16" t="n">
        <v>255</v>
      </c>
      <c r="B258" s="17" t="inlineStr">
        <is>
          <t>1.4.1.28</t>
        </is>
      </c>
      <c r="C258" s="18" t="inlineStr">
        <is>
          <t>Part 1 – General &amp; Programme</t>
        </is>
      </c>
      <c r="D258" s="18" t="inlineStr">
        <is>
          <t>1.4 PROJECT MANAGEMENT</t>
        </is>
      </c>
      <c r="E258" s="18" t="inlineStr">
        <is>
          <t>—</t>
        </is>
      </c>
      <c r="F258" s="18" t="inlineStr">
        <is>
          <t>All documents (drafts or final versions) submitted by the CONTRACTOR shall have a document control section that includes the document versioning, unique reference, history of the document editing, document review by all subcontractors and document approval by the CONTRACTOR.</t>
        </is>
      </c>
      <c r="G258" s="19" t="n"/>
      <c r="H258" s="20" t="n"/>
      <c r="I258" s="20" t="n"/>
      <c r="J258" s="19" t="n"/>
      <c r="K258" s="21" t="n"/>
      <c r="L258" s="22">
        <f>IF(OR(J258="",K258=""),"",J258*K258)</f>
        <v/>
      </c>
      <c r="M258" s="19" t="n"/>
      <c r="N258" s="20" t="n"/>
      <c r="O258" s="20" t="n"/>
    </row>
    <row r="259">
      <c r="A259" s="23" t="n">
        <v>256</v>
      </c>
      <c r="B259" s="24" t="inlineStr">
        <is>
          <t>1.4.1.29</t>
        </is>
      </c>
      <c r="C259" s="25" t="inlineStr">
        <is>
          <t>Part 1 – General &amp; Programme</t>
        </is>
      </c>
      <c r="D259" s="25" t="inlineStr">
        <is>
          <t>1.4 PROJECT MANAGEMENT</t>
        </is>
      </c>
      <c r="E259" s="25" t="inlineStr">
        <is>
          <t>—</t>
        </is>
      </c>
      <c r="F259" s="25" t="inlineStr">
        <is>
          <t>The OSS911 project schedule – covering all significant deliverables and milestones, for all sub- projects and work-streams, shall be maintained by the CONTRACTOR in MS Project format and reported periodically in electronic and hard copy.</t>
        </is>
      </c>
      <c r="G259" s="19" t="n"/>
      <c r="H259" s="20" t="n"/>
      <c r="I259" s="20" t="n"/>
      <c r="J259" s="19" t="n"/>
      <c r="K259" s="21" t="n"/>
      <c r="L259" s="22">
        <f>IF(OR(J259="",K259=""),"",J259*K259)</f>
        <v/>
      </c>
      <c r="M259" s="19" t="n"/>
      <c r="N259" s="20" t="n"/>
      <c r="O259" s="20" t="n"/>
    </row>
    <row r="260">
      <c r="A260" s="16" t="n">
        <v>257</v>
      </c>
      <c r="B260" s="17" t="inlineStr">
        <is>
          <t>1.4.1.30</t>
        </is>
      </c>
      <c r="C260" s="18" t="inlineStr">
        <is>
          <t>Part 1 – General &amp; Programme</t>
        </is>
      </c>
      <c r="D260" s="18" t="inlineStr">
        <is>
          <t>1.4 PROJECT MANAGEMENT</t>
        </is>
      </c>
      <c r="E260" s="18" t="inlineStr">
        <is>
          <t>—</t>
        </is>
      </c>
      <c r="F260" s="18" t="inlineStr">
        <is>
          <t>The CONTRACTOR shall provide a detailed breakdown of all items in the bill of quantity which have been:</t>
        </is>
      </c>
      <c r="G260" s="19" t="n"/>
      <c r="H260" s="20" t="n"/>
      <c r="I260" s="20" t="n"/>
      <c r="J260" s="19" t="n"/>
      <c r="K260" s="21" t="n"/>
      <c r="L260" s="22">
        <f>IF(OR(J260="",K260=""),"",J260*K260)</f>
        <v/>
      </c>
      <c r="M260" s="19" t="n"/>
      <c r="N260" s="20" t="n"/>
      <c r="O260" s="20" t="n"/>
    </row>
    <row r="261">
      <c r="A261" s="23" t="n">
        <v>258</v>
      </c>
      <c r="B261" s="23" t="inlineStr">
        <is>
          <t>1.4.1.30.1</t>
        </is>
      </c>
      <c r="C261" s="25" t="inlineStr">
        <is>
          <t>Part 1 – General &amp; Programme</t>
        </is>
      </c>
      <c r="D261" s="25" t="inlineStr">
        <is>
          <t>1.4 PROJECT MANAGEMENT</t>
        </is>
      </c>
      <c r="E261" s="25" t="inlineStr">
        <is>
          <t>—</t>
        </is>
      </c>
      <c r="F261" s="25" t="inlineStr">
        <is>
          <t>Grouped together and use the word “solution” in the item description.</t>
        </is>
      </c>
      <c r="G261" s="19" t="n"/>
      <c r="H261" s="20" t="n"/>
      <c r="I261" s="20" t="n"/>
      <c r="J261" s="19" t="n"/>
      <c r="K261" s="21" t="n"/>
      <c r="L261" s="22">
        <f>IF(OR(J261="",K261=""),"",J261*K261)</f>
        <v/>
      </c>
      <c r="M261" s="19" t="n"/>
      <c r="N261" s="20" t="n"/>
      <c r="O261" s="20" t="n"/>
    </row>
    <row r="262">
      <c r="A262" s="16" t="n">
        <v>259</v>
      </c>
      <c r="B262" s="16" t="inlineStr">
        <is>
          <t>1.4.1.30.2</t>
        </is>
      </c>
      <c r="C262" s="18" t="inlineStr">
        <is>
          <t>Part 1 – General &amp; Programme</t>
        </is>
      </c>
      <c r="D262" s="18" t="inlineStr">
        <is>
          <t>1.4 PROJECT MANAGEMENT</t>
        </is>
      </c>
      <c r="E262" s="18" t="inlineStr">
        <is>
          <t>—</t>
        </is>
      </c>
      <c r="F262" s="18" t="inlineStr">
        <is>
          <t>Identified with item type as “LOT”.</t>
        </is>
      </c>
      <c r="G262" s="19" t="n"/>
      <c r="H262" s="20" t="n"/>
      <c r="I262" s="20" t="n"/>
      <c r="J262" s="19" t="n"/>
      <c r="K262" s="21" t="n"/>
      <c r="L262" s="22">
        <f>IF(OR(J262="",K262=""),"",J262*K262)</f>
        <v/>
      </c>
      <c r="M262" s="19" t="n"/>
      <c r="N262" s="20" t="n"/>
      <c r="O262" s="20" t="n"/>
    </row>
    <row r="263">
      <c r="A263" s="23" t="n">
        <v>260</v>
      </c>
      <c r="B263" s="24" t="inlineStr">
        <is>
          <t>1.5.1.1</t>
        </is>
      </c>
      <c r="C263" s="25" t="inlineStr">
        <is>
          <t>Part 1 – General &amp; Programme</t>
        </is>
      </c>
      <c r="D263" s="25" t="inlineStr">
        <is>
          <t>1.5 TECHNICAL AND OPERATIONS SERVICE MANAGEMENT AND SUPPORT (TOSMS)</t>
        </is>
      </c>
      <c r="E263" s="25" t="inlineStr">
        <is>
          <t>—</t>
        </is>
      </c>
      <c r="F263" s="25" t="inlineStr">
        <is>
          <t>The CONTRACTOR shall deliver provide an Information Technology Infrastructure Library (ITIL) compliant technical and operations service management and support (TOSMS) for all 911 systems and technologies for MOI 911 centers under the scope of this RFP – for Makkah 911 the upgrade implementation by the CONTRACTOR will be the first six months of the contract followed by the operations and maintenance by CONTRACTOR for the next thirty months, and for Madinah 911, the operations and maintenance will be for thirty-six months of the contract.</t>
        </is>
      </c>
      <c r="G263" s="19" t="n"/>
      <c r="H263" s="20" t="n"/>
      <c r="I263" s="20" t="n"/>
      <c r="J263" s="19" t="n"/>
      <c r="K263" s="21" t="n"/>
      <c r="L263" s="22">
        <f>IF(OR(J263="",K263=""),"",J263*K263)</f>
        <v/>
      </c>
      <c r="M263" s="19" t="n"/>
      <c r="N263" s="20" t="n"/>
      <c r="O263" s="20" t="n"/>
    </row>
    <row r="264">
      <c r="A264" s="16" t="n">
        <v>261</v>
      </c>
      <c r="B264" s="17" t="inlineStr">
        <is>
          <t>1.5.1.2</t>
        </is>
      </c>
      <c r="C264" s="18" t="inlineStr">
        <is>
          <t>Part 1 – General &amp; Programme</t>
        </is>
      </c>
      <c r="D264" s="18" t="inlineStr">
        <is>
          <t>1.5 TECHNICAL AND OPERATIONS SERVICE MANAGEMENT AND SUPPORT (TOSMS)</t>
        </is>
      </c>
      <c r="E264" s="18" t="inlineStr">
        <is>
          <t>—</t>
        </is>
      </c>
      <c r="F264" s="18" t="inlineStr">
        <is>
          <t>The CONTRACTOR TOSMS shall be functional 24 hours a day, 365 days a year i.e., all around the year at all times including any and all holidays.</t>
        </is>
      </c>
      <c r="G264" s="19" t="n"/>
      <c r="H264" s="20" t="n"/>
      <c r="I264" s="20" t="n"/>
      <c r="J264" s="19" t="n"/>
      <c r="K264" s="21" t="n"/>
      <c r="L264" s="22">
        <f>IF(OR(J264="",K264=""),"",J264*K264)</f>
        <v/>
      </c>
      <c r="M264" s="19" t="n"/>
      <c r="N264" s="20" t="n"/>
      <c r="O264" s="20" t="n"/>
    </row>
    <row r="265">
      <c r="A265" s="23" t="n">
        <v>262</v>
      </c>
      <c r="B265" s="24" t="inlineStr">
        <is>
          <t>1.5.1.3</t>
        </is>
      </c>
      <c r="C265" s="25" t="inlineStr">
        <is>
          <t>Part 1 – General &amp; Programme</t>
        </is>
      </c>
      <c r="D265" s="25" t="inlineStr">
        <is>
          <t>1.5 TECHNICAL AND OPERATIONS SERVICE MANAGEMENT AND SUPPORT (TOSMS)</t>
        </is>
      </c>
      <c r="E265" s="25" t="inlineStr">
        <is>
          <t>—</t>
        </is>
      </c>
      <c r="F265" s="25" t="inlineStr">
        <is>
          <t>The 911 Centers shall have permanent on-site support personnel in a tiered-support model to be provided by the CONTRACTOR for the duration of the contract as per the BOQ</t>
        </is>
      </c>
      <c r="G265" s="19" t="n"/>
      <c r="H265" s="20" t="n"/>
      <c r="I265" s="20" t="n"/>
      <c r="J265" s="19" t="n"/>
      <c r="K265" s="21" t="n"/>
      <c r="L265" s="22">
        <f>IF(OR(J265="",K265=""),"",J265*K265)</f>
        <v/>
      </c>
      <c r="M265" s="19" t="n"/>
      <c r="N265" s="20" t="n"/>
      <c r="O265" s="20" t="n"/>
    </row>
    <row r="266">
      <c r="A266" s="16" t="n">
        <v>263</v>
      </c>
      <c r="B266" s="17" t="inlineStr">
        <is>
          <t>1.5.1.4</t>
        </is>
      </c>
      <c r="C266" s="18" t="inlineStr">
        <is>
          <t>Part 1 – General &amp; Programme</t>
        </is>
      </c>
      <c r="D266" s="18" t="inlineStr">
        <is>
          <t>1.5 TECHNICAL AND OPERATIONS SERVICE MANAGEMENT AND SUPPORT (TOSMS)</t>
        </is>
      </c>
      <c r="E266" s="18" t="inlineStr">
        <is>
          <t>—</t>
        </is>
      </c>
      <c r="F266" s="18" t="inlineStr">
        <is>
          <t>The CONTRACTOR provided TOSMS Solution shall include as a minimum:</t>
        </is>
      </c>
      <c r="G266" s="19" t="n"/>
      <c r="H266" s="20" t="n"/>
      <c r="I266" s="20" t="n"/>
      <c r="J266" s="19" t="n"/>
      <c r="K266" s="21" t="n"/>
      <c r="L266" s="22">
        <f>IF(OR(J266="",K266=""),"",J266*K266)</f>
        <v/>
      </c>
      <c r="M266" s="19" t="n"/>
      <c r="N266" s="20" t="n"/>
      <c r="O266" s="20" t="n"/>
    </row>
    <row r="267">
      <c r="A267" s="23" t="n">
        <v>264</v>
      </c>
      <c r="B267" s="23" t="inlineStr">
        <is>
          <t>1.5.1.4.1</t>
        </is>
      </c>
      <c r="C267" s="25" t="inlineStr">
        <is>
          <t>Part 1 – General &amp; Programme</t>
        </is>
      </c>
      <c r="D267" s="25" t="inlineStr">
        <is>
          <t>1.5 TECHNICAL AND OPERATIONS SERVICE MANAGEMENT AND SUPPORT (TOSMS)</t>
        </is>
      </c>
      <c r="E267" s="25" t="inlineStr">
        <is>
          <t>—</t>
        </is>
      </c>
      <c r="F267" s="25" t="inlineStr">
        <is>
          <t>A 24x7 centralized virtual helpdesk reachable by a single telephone number and by a web-based self-service portal.</t>
        </is>
      </c>
      <c r="G267" s="19" t="n"/>
      <c r="H267" s="20" t="n"/>
      <c r="I267" s="20" t="n"/>
      <c r="J267" s="19" t="n"/>
      <c r="K267" s="21" t="n"/>
      <c r="L267" s="22">
        <f>IF(OR(J267="",K267=""),"",J267*K267)</f>
        <v/>
      </c>
      <c r="M267" s="19" t="n"/>
      <c r="N267" s="20" t="n"/>
      <c r="O267" s="20" t="n"/>
    </row>
    <row r="268">
      <c r="A268" s="16" t="n">
        <v>265</v>
      </c>
      <c r="B268" s="16" t="inlineStr">
        <is>
          <t>1.5.1.4.2</t>
        </is>
      </c>
      <c r="C268" s="18" t="inlineStr">
        <is>
          <t>Part 1 – General &amp; Programme</t>
        </is>
      </c>
      <c r="D268" s="18" t="inlineStr">
        <is>
          <t>1.5 TECHNICAL AND OPERATIONS SERVICE MANAGEMENT AND SUPPORT (TOSMS)</t>
        </is>
      </c>
      <c r="E268" s="18" t="inlineStr">
        <is>
          <t>—</t>
        </is>
      </c>
      <c r="F268" s="18" t="inlineStr">
        <is>
          <t>An integrated framework and controls-based approach that is modelled on latest versions of internationally accepted standards including ISO 20000-1:2011 and ITIL.</t>
        </is>
      </c>
      <c r="G268" s="19" t="n"/>
      <c r="H268" s="20" t="n"/>
      <c r="I268" s="20" t="n"/>
      <c r="J268" s="19" t="n"/>
      <c r="K268" s="21" t="n"/>
      <c r="L268" s="22">
        <f>IF(OR(J268="",K268=""),"",J268*K268)</f>
        <v/>
      </c>
      <c r="M268" s="19" t="n"/>
      <c r="N268" s="20" t="n"/>
      <c r="O268" s="20" t="n"/>
    </row>
    <row r="269">
      <c r="A269" s="23" t="n">
        <v>266</v>
      </c>
      <c r="B269" s="23" t="inlineStr">
        <is>
          <t>1.5.1.4.3</t>
        </is>
      </c>
      <c r="C269" s="25" t="inlineStr">
        <is>
          <t>Part 1 – General &amp; Programme</t>
        </is>
      </c>
      <c r="D269" s="25" t="inlineStr">
        <is>
          <t>1.5 TECHNICAL AND OPERATIONS SERVICE MANAGEMENT AND SUPPORT (TOSMS)</t>
        </is>
      </c>
      <c r="E269" s="25" t="inlineStr">
        <is>
          <t>—</t>
        </is>
      </c>
      <c r="F269" s="25" t="inlineStr">
        <is>
          <t>A single point of responsibility for the management and delivery of the TOSMS.</t>
        </is>
      </c>
      <c r="G269" s="19" t="n"/>
      <c r="H269" s="20" t="n"/>
      <c r="I269" s="20" t="n"/>
      <c r="J269" s="19" t="n"/>
      <c r="K269" s="21" t="n"/>
      <c r="L269" s="22">
        <f>IF(OR(J269="",K269=""),"",J269*K269)</f>
        <v/>
      </c>
      <c r="M269" s="19" t="n"/>
      <c r="N269" s="20" t="n"/>
      <c r="O269" s="20" t="n"/>
    </row>
    <row r="270">
      <c r="A270" s="16" t="n">
        <v>267</v>
      </c>
      <c r="B270" s="16" t="inlineStr">
        <is>
          <t>1.5.1.4.4</t>
        </is>
      </c>
      <c r="C270" s="18" t="inlineStr">
        <is>
          <t>Part 1 – General &amp; Programme</t>
        </is>
      </c>
      <c r="D270" s="18" t="inlineStr">
        <is>
          <t>1.5 TECHNICAL AND OPERATIONS SERVICE MANAGEMENT AND SUPPORT (TOSMS)</t>
        </is>
      </c>
      <c r="E270" s="18" t="inlineStr">
        <is>
          <t>—</t>
        </is>
      </c>
      <c r="F270" s="18" t="inlineStr">
        <is>
          <t>Competent and qualified team for TOSMS.</t>
        </is>
      </c>
      <c r="G270" s="19" t="n"/>
      <c r="H270" s="20" t="n"/>
      <c r="I270" s="20" t="n"/>
      <c r="J270" s="19" t="n"/>
      <c r="K270" s="21" t="n"/>
      <c r="L270" s="22">
        <f>IF(OR(J270="",K270=""),"",J270*K270)</f>
        <v/>
      </c>
      <c r="M270" s="19" t="n"/>
      <c r="N270" s="20" t="n"/>
      <c r="O270" s="20" t="n"/>
    </row>
    <row r="271">
      <c r="A271" s="23" t="n">
        <v>268</v>
      </c>
      <c r="B271" s="23" t="inlineStr">
        <is>
          <t>1.5.1.4.5</t>
        </is>
      </c>
      <c r="C271" s="25" t="inlineStr">
        <is>
          <t>Part 1 – General &amp; Programme</t>
        </is>
      </c>
      <c r="D271" s="25" t="inlineStr">
        <is>
          <t>1.5 TECHNICAL AND OPERATIONS SERVICE MANAGEMENT AND SUPPORT (TOSMS)</t>
        </is>
      </c>
      <c r="E271" s="25" t="inlineStr">
        <is>
          <t>—</t>
        </is>
      </c>
      <c r="F271" s="25" t="inlineStr">
        <is>
          <t>Web based system which provides trouble ticketing, records alarms and fault reports, performs trend analysis as part of the TOSMS.</t>
        </is>
      </c>
      <c r="G271" s="19" t="n"/>
      <c r="H271" s="20" t="n"/>
      <c r="I271" s="20" t="n"/>
      <c r="J271" s="19" t="n"/>
      <c r="K271" s="21" t="n"/>
      <c r="L271" s="22">
        <f>IF(OR(J271="",K271=""),"",J271*K271)</f>
        <v/>
      </c>
      <c r="M271" s="19" t="n"/>
      <c r="N271" s="20" t="n"/>
      <c r="O271" s="20" t="n"/>
    </row>
    <row r="272">
      <c r="A272" s="16" t="n">
        <v>269</v>
      </c>
      <c r="B272" s="16" t="inlineStr">
        <is>
          <t>1.5.1.4.6</t>
        </is>
      </c>
      <c r="C272" s="18" t="inlineStr">
        <is>
          <t>Part 1 – General &amp; Programme</t>
        </is>
      </c>
      <c r="D272" s="18" t="inlineStr">
        <is>
          <t>1.5 TECHNICAL AND OPERATIONS SERVICE MANAGEMENT AND SUPPORT (TOSMS)</t>
        </is>
      </c>
      <c r="E272" s="18" t="inlineStr">
        <is>
          <t>—</t>
        </is>
      </c>
      <c r="F272" s="18" t="inlineStr">
        <is>
          <t>Compliance with the Service Level Agreements (SLA) requirements as defined in this document.</t>
        </is>
      </c>
      <c r="G272" s="19" t="n"/>
      <c r="H272" s="20" t="n"/>
      <c r="I272" s="20" t="n"/>
      <c r="J272" s="19" t="n"/>
      <c r="K272" s="21" t="n"/>
      <c r="L272" s="22">
        <f>IF(OR(J272="",K272=""),"",J272*K272)</f>
        <v/>
      </c>
      <c r="M272" s="19" t="n"/>
      <c r="N272" s="20" t="n"/>
      <c r="O272" s="20" t="n"/>
    </row>
    <row r="273">
      <c r="A273" s="23" t="n">
        <v>270</v>
      </c>
      <c r="B273" s="23" t="inlineStr">
        <is>
          <t>1.5.1.4.7</t>
        </is>
      </c>
      <c r="C273" s="25" t="inlineStr">
        <is>
          <t>Part 1 – General &amp; Programme</t>
        </is>
      </c>
      <c r="D273" s="25" t="inlineStr">
        <is>
          <t>1.5 TECHNICAL AND OPERATIONS SERVICE MANAGEMENT AND SUPPORT (TOSMS)</t>
        </is>
      </c>
      <c r="E273" s="25" t="inlineStr">
        <is>
          <t>—</t>
        </is>
      </c>
      <c r="F273" s="25" t="inlineStr">
        <is>
          <t>Compliance with the 911 systems availability requirements defined in this document and in accordance with the principle of Total Quality Management with ISO standards.</t>
        </is>
      </c>
      <c r="G273" s="19" t="n"/>
      <c r="H273" s="20" t="n"/>
      <c r="I273" s="20" t="n"/>
      <c r="J273" s="19" t="n"/>
      <c r="K273" s="21" t="n"/>
      <c r="L273" s="22">
        <f>IF(OR(J273="",K273=""),"",J273*K273)</f>
        <v/>
      </c>
      <c r="M273" s="19" t="n"/>
      <c r="N273" s="20" t="n"/>
      <c r="O273" s="20" t="n"/>
    </row>
    <row r="274">
      <c r="A274" s="16" t="n">
        <v>271</v>
      </c>
      <c r="B274" s="17" t="inlineStr">
        <is>
          <t>1.5.1.5</t>
        </is>
      </c>
      <c r="C274" s="18" t="inlineStr">
        <is>
          <t>Part 1 – General &amp; Programme</t>
        </is>
      </c>
      <c r="D274" s="18" t="inlineStr">
        <is>
          <t>1.5 TECHNICAL AND OPERATIONS SERVICE MANAGEMENT AND SUPPORT (TOSMS)</t>
        </is>
      </c>
      <c r="E274" s="18" t="inlineStr">
        <is>
          <t>—</t>
        </is>
      </c>
      <c r="F274" s="18" t="inlineStr">
        <is>
          <t>Within their proposal, the BIDDER shall provide the overall approach for TOSMS that includes:</t>
        </is>
      </c>
      <c r="G274" s="19" t="n"/>
      <c r="H274" s="20" t="n"/>
      <c r="I274" s="20" t="n"/>
      <c r="J274" s="19" t="n"/>
      <c r="K274" s="21" t="n"/>
      <c r="L274" s="22">
        <f>IF(OR(J274="",K274=""),"",J274*K274)</f>
        <v/>
      </c>
      <c r="M274" s="19" t="n"/>
      <c r="N274" s="20" t="n"/>
      <c r="O274" s="20" t="n"/>
    </row>
    <row r="275">
      <c r="A275" s="23" t="n">
        <v>272</v>
      </c>
      <c r="B275" s="23" t="inlineStr">
        <is>
          <t>1.5.1.5.1</t>
        </is>
      </c>
      <c r="C275" s="25" t="inlineStr">
        <is>
          <t>Part 1 – General &amp; Programme</t>
        </is>
      </c>
      <c r="D275" s="25" t="inlineStr">
        <is>
          <t>1.5 TECHNICAL AND OPERATIONS SERVICE MANAGEMENT AND SUPPORT (TOSMS)</t>
        </is>
      </c>
      <c r="E275" s="25" t="inlineStr">
        <is>
          <t>—</t>
        </is>
      </c>
      <c r="F275" s="25" t="inlineStr">
        <is>
          <t>How the CONTRACTOR shall support and maintain the 911 systems and technologies including listing and description of all hardware, software and equipment.</t>
        </is>
      </c>
      <c r="G275" s="19" t="n"/>
      <c r="H275" s="20" t="n"/>
      <c r="I275" s="20" t="n"/>
      <c r="J275" s="19" t="n"/>
      <c r="K275" s="21" t="n"/>
      <c r="L275" s="22">
        <f>IF(OR(J275="",K275=""),"",J275*K275)</f>
        <v/>
      </c>
      <c r="M275" s="19" t="n"/>
      <c r="N275" s="20" t="n"/>
      <c r="O275" s="20" t="n"/>
    </row>
    <row r="276">
      <c r="A276" s="16" t="n">
        <v>273</v>
      </c>
      <c r="B276" s="16" t="inlineStr">
        <is>
          <t>1.5.1.5.2</t>
        </is>
      </c>
      <c r="C276" s="18" t="inlineStr">
        <is>
          <t>Part 1 – General &amp; Programme</t>
        </is>
      </c>
      <c r="D276" s="18" t="inlineStr">
        <is>
          <t>1.5 TECHNICAL AND OPERATIONS SERVICE MANAGEMENT AND SUPPORT (TOSMS)</t>
        </is>
      </c>
      <c r="E276" s="18" t="inlineStr">
        <is>
          <t>—</t>
        </is>
      </c>
      <c r="F276" s="18" t="inlineStr">
        <is>
          <t>Human resources mobilization schedule along with their CVs.</t>
        </is>
      </c>
      <c r="G276" s="19" t="n"/>
      <c r="H276" s="20" t="n"/>
      <c r="I276" s="20" t="n"/>
      <c r="J276" s="19" t="n"/>
      <c r="K276" s="21" t="n"/>
      <c r="L276" s="22">
        <f>IF(OR(J276="",K276=""),"",J276*K276)</f>
        <v/>
      </c>
      <c r="M276" s="19" t="n"/>
      <c r="N276" s="20" t="n"/>
      <c r="O276" s="20" t="n"/>
    </row>
    <row r="277">
      <c r="A277" s="23" t="n">
        <v>274</v>
      </c>
      <c r="B277" s="23" t="inlineStr">
        <is>
          <t>1.5.1.5.3</t>
        </is>
      </c>
      <c r="C277" s="25" t="inlineStr">
        <is>
          <t>Part 1 – General &amp; Programme</t>
        </is>
      </c>
      <c r="D277" s="25" t="inlineStr">
        <is>
          <t>1.5 TECHNICAL AND OPERATIONS SERVICE MANAGEMENT AND SUPPORT (TOSMS)</t>
        </is>
      </c>
      <c r="E277" s="25" t="inlineStr">
        <is>
          <t>—</t>
        </is>
      </c>
      <c r="F277" s="25" t="inlineStr">
        <is>
          <t>The spares holding level for the spares identified as necessary and urgent by the BIDDER for maintaining the SLA and for meeting the performance and availability requirements.</t>
        </is>
      </c>
      <c r="G277" s="19" t="n"/>
      <c r="H277" s="20" t="n"/>
      <c r="I277" s="20" t="n"/>
      <c r="J277" s="19" t="n"/>
      <c r="K277" s="21" t="n"/>
      <c r="L277" s="22">
        <f>IF(OR(J277="",K277=""),"",J277*K277)</f>
        <v/>
      </c>
      <c r="M277" s="19" t="n"/>
      <c r="N277" s="20" t="n"/>
      <c r="O277" s="20" t="n"/>
    </row>
    <row r="278">
      <c r="A278" s="16" t="n">
        <v>275</v>
      </c>
      <c r="B278" s="16" t="inlineStr">
        <is>
          <t>1.5.1.5.4</t>
        </is>
      </c>
      <c r="C278" s="18" t="inlineStr">
        <is>
          <t>Part 1 – General &amp; Programme</t>
        </is>
      </c>
      <c r="D278" s="18" t="inlineStr">
        <is>
          <t>1.5 TECHNICAL AND OPERATIONS SERVICE MANAGEMENT AND SUPPORT (TOSMS)</t>
        </is>
      </c>
      <c r="E278" s="18" t="inlineStr">
        <is>
          <t>—</t>
        </is>
      </c>
      <c r="F278" s="18" t="inlineStr">
        <is>
          <t>Proposed team structure with roles and responsibilities, and governance.</t>
        </is>
      </c>
      <c r="G278" s="19" t="n"/>
      <c r="H278" s="20" t="n"/>
      <c r="I278" s="20" t="n"/>
      <c r="J278" s="19" t="n"/>
      <c r="K278" s="21" t="n"/>
      <c r="L278" s="22">
        <f>IF(OR(J278="",K278=""),"",J278*K278)</f>
        <v/>
      </c>
      <c r="M278" s="19" t="n"/>
      <c r="N278" s="20" t="n"/>
      <c r="O278" s="20" t="n"/>
    </row>
    <row r="279">
      <c r="A279" s="23" t="n">
        <v>276</v>
      </c>
      <c r="B279" s="23" t="inlineStr">
        <is>
          <t>1.5.1.5.5</t>
        </is>
      </c>
      <c r="C279" s="25" t="inlineStr">
        <is>
          <t>Part 1 – General &amp; Programme</t>
        </is>
      </c>
      <c r="D279" s="25" t="inlineStr">
        <is>
          <t>1.5 TECHNICAL AND OPERATIONS SERVICE MANAGEMENT AND SUPPORT (TOSMS)</t>
        </is>
      </c>
      <c r="E279" s="25" t="inlineStr">
        <is>
          <t>—</t>
        </is>
      </c>
      <c r="F279" s="25" t="inlineStr">
        <is>
          <t>Proposed maintenance planning including the scheduled and non-scheduled preventative maintenance plans and systems fault response and rectification requirements (including timings).</t>
        </is>
      </c>
      <c r="G279" s="19" t="n"/>
      <c r="H279" s="20" t="n"/>
      <c r="I279" s="20" t="n"/>
      <c r="J279" s="19" t="n"/>
      <c r="K279" s="21" t="n"/>
      <c r="L279" s="22">
        <f>IF(OR(J279="",K279=""),"",J279*K279)</f>
        <v/>
      </c>
      <c r="M279" s="19" t="n"/>
      <c r="N279" s="20" t="n"/>
      <c r="O279" s="20" t="n"/>
    </row>
    <row r="280">
      <c r="A280" s="16" t="n">
        <v>277</v>
      </c>
      <c r="B280" s="16" t="inlineStr">
        <is>
          <t>1.5.1.5.6</t>
        </is>
      </c>
      <c r="C280" s="18" t="inlineStr">
        <is>
          <t>Part 1 – General &amp; Programme</t>
        </is>
      </c>
      <c r="D280" s="18" t="inlineStr">
        <is>
          <t>1.5 TECHNICAL AND OPERATIONS SERVICE MANAGEMENT AND SUPPORT (TOSMS)</t>
        </is>
      </c>
      <c r="E280" s="18" t="inlineStr">
        <is>
          <t>—</t>
        </is>
      </c>
      <c r="F280" s="18" t="inlineStr">
        <is>
          <t>Proposed response times and priority levels for all systems and technologies of the 911 centers.</t>
        </is>
      </c>
      <c r="G280" s="19" t="n"/>
      <c r="H280" s="20" t="n"/>
      <c r="I280" s="20" t="n"/>
      <c r="J280" s="19" t="n"/>
      <c r="K280" s="21" t="n"/>
      <c r="L280" s="22">
        <f>IF(OR(J280="",K280=""),"",J280*K280)</f>
        <v/>
      </c>
      <c r="M280" s="19" t="n"/>
      <c r="N280" s="20" t="n"/>
      <c r="O280" s="20" t="n"/>
    </row>
    <row r="281">
      <c r="A281" s="23" t="n">
        <v>278</v>
      </c>
      <c r="B281" s="23" t="inlineStr">
        <is>
          <t>1.5.1.5.7</t>
        </is>
      </c>
      <c r="C281" s="25" t="inlineStr">
        <is>
          <t>Part 1 – General &amp; Programme</t>
        </is>
      </c>
      <c r="D281" s="25" t="inlineStr">
        <is>
          <t>1.5 TECHNICAL AND OPERATIONS SERVICE MANAGEMENT AND SUPPORT (TOSMS)</t>
        </is>
      </c>
      <c r="E281" s="25" t="inlineStr">
        <is>
          <t>—</t>
        </is>
      </c>
      <c r="F281" s="25" t="inlineStr">
        <is>
          <t>Proposal for system and component upgrades, updates and patches.</t>
        </is>
      </c>
      <c r="G281" s="19" t="n"/>
      <c r="H281" s="20" t="n"/>
      <c r="I281" s="20" t="n"/>
      <c r="J281" s="19" t="n"/>
      <c r="K281" s="21" t="n"/>
      <c r="L281" s="22">
        <f>IF(OR(J281="",K281=""),"",J281*K281)</f>
        <v/>
      </c>
      <c r="M281" s="19" t="n"/>
      <c r="N281" s="20" t="n"/>
      <c r="O281" s="20" t="n"/>
    </row>
    <row r="282">
      <c r="A282" s="16" t="n">
        <v>279</v>
      </c>
      <c r="B282" s="17" t="inlineStr">
        <is>
          <t>1.5.1.6</t>
        </is>
      </c>
      <c r="C282" s="18" t="inlineStr">
        <is>
          <t>Part 1 – General &amp; Programme</t>
        </is>
      </c>
      <c r="D282" s="18" t="inlineStr">
        <is>
          <t>1.5 TECHNICAL AND OPERATIONS SERVICE MANAGEMENT AND SUPPORT (TOSMS)</t>
        </is>
      </c>
      <c r="E282" s="18" t="inlineStr">
        <is>
          <t>—</t>
        </is>
      </c>
      <c r="F282" s="18" t="inlineStr">
        <is>
          <t>As part of the TOSMS implementation, the CONTRACTOR shall:</t>
        </is>
      </c>
      <c r="G282" s="19" t="n"/>
      <c r="H282" s="20" t="n"/>
      <c r="I282" s="20" t="n"/>
      <c r="J282" s="19" t="n"/>
      <c r="K282" s="21" t="n"/>
      <c r="L282" s="22">
        <f>IF(OR(J282="",K282=""),"",J282*K282)</f>
        <v/>
      </c>
      <c r="M282" s="19" t="n"/>
      <c r="N282" s="20" t="n"/>
      <c r="O282" s="20" t="n"/>
    </row>
    <row r="283">
      <c r="A283" s="23" t="n">
        <v>280</v>
      </c>
      <c r="B283" s="23" t="inlineStr">
        <is>
          <t>1.5.1.6.1</t>
        </is>
      </c>
      <c r="C283" s="25" t="inlineStr">
        <is>
          <t>Part 1 – General &amp; Programme</t>
        </is>
      </c>
      <c r="D283" s="25" t="inlineStr">
        <is>
          <t>1.5 TECHNICAL AND OPERATIONS SERVICE MANAGEMENT AND SUPPORT (TOSMS)</t>
        </is>
      </c>
      <c r="E283" s="25" t="inlineStr">
        <is>
          <t>—</t>
        </is>
      </c>
      <c r="F283" s="25" t="inlineStr">
        <is>
          <t>Design, document and implement all the required service processes, procedures and metrics for TOSMS including incident management, problem management, configuration management, change management, release management, availability management and service level management.</t>
        </is>
      </c>
      <c r="G283" s="19" t="n"/>
      <c r="H283" s="20" t="n"/>
      <c r="I283" s="20" t="n"/>
      <c r="J283" s="19" t="n"/>
      <c r="K283" s="21" t="n"/>
      <c r="L283" s="22">
        <f>IF(OR(J283="",K283=""),"",J283*K283)</f>
        <v/>
      </c>
      <c r="M283" s="19" t="n"/>
      <c r="N283" s="20" t="n"/>
      <c r="O283" s="20" t="n"/>
    </row>
    <row r="284">
      <c r="A284" s="16" t="n">
        <v>281</v>
      </c>
      <c r="B284" s="16" t="inlineStr">
        <is>
          <t>1.5.1.6.2</t>
        </is>
      </c>
      <c r="C284" s="18" t="inlineStr">
        <is>
          <t>Part 1 – General &amp; Programme</t>
        </is>
      </c>
      <c r="D284" s="18" t="inlineStr">
        <is>
          <t>1.5 TECHNICAL AND OPERATIONS SERVICE MANAGEMENT AND SUPPORT (TOSMS)</t>
        </is>
      </c>
      <c r="E284" s="18" t="inlineStr">
        <is>
          <t>—</t>
        </is>
      </c>
      <c r="F284" s="18" t="inlineStr">
        <is>
          <t>Design, document and implement a service catalogue and an integrated ITIL- compliant Configuration Management Database (CMDB) updated with a unique Asset Number for each item, including a bar code label or bar code tag label, which can be read electronically.</t>
        </is>
      </c>
      <c r="G284" s="19" t="n"/>
      <c r="H284" s="20" t="n"/>
      <c r="I284" s="20" t="n"/>
      <c r="J284" s="19" t="n"/>
      <c r="K284" s="21" t="n"/>
      <c r="L284" s="22">
        <f>IF(OR(J284="",K284=""),"",J284*K284)</f>
        <v/>
      </c>
      <c r="M284" s="19" t="n"/>
      <c r="N284" s="20" t="n"/>
      <c r="O284" s="20" t="n"/>
    </row>
    <row r="285">
      <c r="A285" s="23" t="n">
        <v>282</v>
      </c>
      <c r="B285" s="23" t="inlineStr">
        <is>
          <t>1.5.1.6.3</t>
        </is>
      </c>
      <c r="C285" s="25" t="inlineStr">
        <is>
          <t>Part 1 – General &amp; Programme</t>
        </is>
      </c>
      <c r="D285" s="25" t="inlineStr">
        <is>
          <t>1.5 TECHNICAL AND OPERATIONS SERVICE MANAGEMENT AND SUPPORT (TOSMS)</t>
        </is>
      </c>
      <c r="E285" s="25" t="inlineStr">
        <is>
          <t>—</t>
        </is>
      </c>
      <c r="F285" s="25" t="inlineStr">
        <is>
          <t>Deliver all the equipment necessary for reading the bar codes electronically, a bar code generator and printer, and for storing the bar codes in a database in the TOSMS solution.</t>
        </is>
      </c>
      <c r="G285" s="19" t="n"/>
      <c r="H285" s="20" t="n"/>
      <c r="I285" s="20" t="n"/>
      <c r="J285" s="19" t="n"/>
      <c r="K285" s="21" t="n"/>
      <c r="L285" s="22">
        <f>IF(OR(J285="",K285=""),"",J285*K285)</f>
        <v/>
      </c>
      <c r="M285" s="19" t="n"/>
      <c r="N285" s="20" t="n"/>
      <c r="O285" s="20" t="n"/>
    </row>
    <row r="286">
      <c r="A286" s="16" t="n">
        <v>283</v>
      </c>
      <c r="B286" s="16" t="inlineStr">
        <is>
          <t>1.5.1.6.4</t>
        </is>
      </c>
      <c r="C286" s="18" t="inlineStr">
        <is>
          <t>Part 1 – General &amp; Programme</t>
        </is>
      </c>
      <c r="D286" s="18" t="inlineStr">
        <is>
          <t>1.5 TECHNICAL AND OPERATIONS SERVICE MANAGEMENT AND SUPPORT (TOSMS)</t>
        </is>
      </c>
      <c r="E286" s="18" t="inlineStr">
        <is>
          <t>—</t>
        </is>
      </c>
      <c r="F286" s="18" t="inlineStr">
        <is>
          <t>Deliver service reports, trends and fault analysis reports, Mean Time to Repair (MTTR) reports, Mean Time between Failure (MTBF) reports, capacity utilization reports, availability reports and service level reports as agreed with the MOI.</t>
        </is>
      </c>
      <c r="G286" s="19" t="n"/>
      <c r="H286" s="20" t="n"/>
      <c r="I286" s="20" t="n"/>
      <c r="J286" s="19" t="n"/>
      <c r="K286" s="21" t="n"/>
      <c r="L286" s="22">
        <f>IF(OR(J286="",K286=""),"",J286*K286)</f>
        <v/>
      </c>
      <c r="M286" s="19" t="n"/>
      <c r="N286" s="20" t="n"/>
      <c r="O286" s="20" t="n"/>
    </row>
    <row r="287">
      <c r="A287" s="23" t="n">
        <v>284</v>
      </c>
      <c r="B287" s="23" t="inlineStr">
        <is>
          <t>1.5.1.6.5</t>
        </is>
      </c>
      <c r="C287" s="25" t="inlineStr">
        <is>
          <t>Part 1 – General &amp; Programme</t>
        </is>
      </c>
      <c r="D287" s="25" t="inlineStr">
        <is>
          <t>1.5 TECHNICAL AND OPERATIONS SERVICE MANAGEMENT AND SUPPORT (TOSMS)</t>
        </is>
      </c>
      <c r="E287" s="25" t="inlineStr">
        <is>
          <t>—</t>
        </is>
      </c>
      <c r="F287" s="25" t="inlineStr">
        <is>
          <t>Conduct 911 systems and technologies’ knowledge transfer to the MOI.</t>
        </is>
      </c>
      <c r="G287" s="19" t="n"/>
      <c r="H287" s="20" t="n"/>
      <c r="I287" s="20" t="n"/>
      <c r="J287" s="19" t="n"/>
      <c r="K287" s="21" t="n"/>
      <c r="L287" s="22">
        <f>IF(OR(J287="",K287=""),"",J287*K287)</f>
        <v/>
      </c>
      <c r="M287" s="19" t="n"/>
      <c r="N287" s="20" t="n"/>
      <c r="O287" s="20" t="n"/>
    </row>
    <row r="288">
      <c r="A288" s="16" t="n">
        <v>285</v>
      </c>
      <c r="B288" s="16" t="inlineStr">
        <is>
          <t>1.5.1.6.6</t>
        </is>
      </c>
      <c r="C288" s="18" t="inlineStr">
        <is>
          <t>Part 1 – General &amp; Programme</t>
        </is>
      </c>
      <c r="D288" s="18" t="inlineStr">
        <is>
          <t>1.5 TECHNICAL AND OPERATIONS SERVICE MANAGEMENT AND SUPPORT (TOSMS)</t>
        </is>
      </c>
      <c r="E288" s="18" t="inlineStr">
        <is>
          <t>—</t>
        </is>
      </c>
      <c r="F288" s="18" t="inlineStr">
        <is>
          <t>Maintain the spares at the spares holding levels and shall submit the human resource plans for each month of live operations prior to the start of the month.</t>
        </is>
      </c>
      <c r="G288" s="19" t="n"/>
      <c r="H288" s="20" t="n"/>
      <c r="I288" s="20" t="n"/>
      <c r="J288" s="19" t="n"/>
      <c r="K288" s="21" t="n"/>
      <c r="L288" s="22">
        <f>IF(OR(J288="",K288=""),"",J288*K288)</f>
        <v/>
      </c>
      <c r="M288" s="19" t="n"/>
      <c r="N288" s="20" t="n"/>
      <c r="O288" s="20" t="n"/>
    </row>
    <row r="289">
      <c r="A289" s="23" t="n">
        <v>286</v>
      </c>
      <c r="B289" s="23" t="inlineStr">
        <is>
          <t>1.5.1.6.7</t>
        </is>
      </c>
      <c r="C289" s="25" t="inlineStr">
        <is>
          <t>Part 1 – General &amp; Programme</t>
        </is>
      </c>
      <c r="D289" s="25" t="inlineStr">
        <is>
          <t>1.5 TECHNICAL AND OPERATIONS SERVICE MANAGEMENT AND SUPPORT (TOSMS)</t>
        </is>
      </c>
      <c r="E289" s="25" t="inlineStr">
        <is>
          <t>—</t>
        </is>
      </c>
      <c r="F289" s="25" t="inlineStr">
        <is>
          <t>Design, document and implement preventative and corrective maintenance procedures.</t>
        </is>
      </c>
      <c r="G289" s="19" t="n"/>
      <c r="H289" s="20" t="n"/>
      <c r="I289" s="20" t="n"/>
      <c r="J289" s="19" t="n"/>
      <c r="K289" s="21" t="n"/>
      <c r="L289" s="22">
        <f>IF(OR(J289="",K289=""),"",J289*K289)</f>
        <v/>
      </c>
      <c r="M289" s="19" t="n"/>
      <c r="N289" s="20" t="n"/>
      <c r="O289" s="20" t="n"/>
    </row>
    <row r="290">
      <c r="A290" s="16" t="n">
        <v>287</v>
      </c>
      <c r="B290" s="16" t="inlineStr">
        <is>
          <t>1.5.1.6.8</t>
        </is>
      </c>
      <c r="C290" s="18" t="inlineStr">
        <is>
          <t>Part 1 – General &amp; Programme</t>
        </is>
      </c>
      <c r="D290" s="18" t="inlineStr">
        <is>
          <t>1.5 TECHNICAL AND OPERATIONS SERVICE MANAGEMENT AND SUPPORT (TOSMS)</t>
        </is>
      </c>
      <c r="E290" s="18" t="inlineStr">
        <is>
          <t>—</t>
        </is>
      </c>
      <c r="F290" s="18" t="inlineStr">
        <is>
          <t>Design and deploy a smartphone app that shall be capable of being accessed securely based on role-based-access-control, for the latest versions of iOS and Android systems.</t>
        </is>
      </c>
      <c r="G290" s="19" t="n"/>
      <c r="H290" s="20" t="n"/>
      <c r="I290" s="20" t="n"/>
      <c r="J290" s="19" t="n"/>
      <c r="K290" s="21" t="n"/>
      <c r="L290" s="22">
        <f>IF(OR(J290="",K290=""),"",J290*K290)</f>
        <v/>
      </c>
      <c r="M290" s="19" t="n"/>
      <c r="N290" s="20" t="n"/>
      <c r="O290" s="20" t="n"/>
    </row>
    <row r="291">
      <c r="A291" s="23" t="n">
        <v>288</v>
      </c>
      <c r="B291" s="23" t="inlineStr">
        <is>
          <t>1.5.1.6.9</t>
        </is>
      </c>
      <c r="C291" s="25" t="inlineStr">
        <is>
          <t>Part 1 – General &amp; Programme</t>
        </is>
      </c>
      <c r="D291" s="25" t="inlineStr">
        <is>
          <t>1.5 TECHNICAL AND OPERATIONS SERVICE MANAGEMENT AND SUPPORT (TOSMS)</t>
        </is>
      </c>
      <c r="E291" s="25" t="inlineStr">
        <is>
          <t>—</t>
        </is>
      </c>
      <c r="F291" s="25" t="inlineStr">
        <is>
          <t>Design, document and implement a dashboard that displays at multiple levels, a set of Key Performance Indicators (KPIs) for all the activities and actions, as agreed with the MOI.</t>
        </is>
      </c>
      <c r="G291" s="19" t="n"/>
      <c r="H291" s="20" t="n"/>
      <c r="I291" s="20" t="n"/>
      <c r="J291" s="19" t="n"/>
      <c r="K291" s="21" t="n"/>
      <c r="L291" s="22">
        <f>IF(OR(J291="",K291=""),"",J291*K291)</f>
        <v/>
      </c>
      <c r="M291" s="19" t="n"/>
      <c r="N291" s="20" t="n"/>
      <c r="O291" s="20" t="n"/>
    </row>
    <row r="292">
      <c r="A292" s="16" t="n">
        <v>289</v>
      </c>
      <c r="B292" s="16" t="inlineStr">
        <is>
          <t>1.5.1.6.10</t>
        </is>
      </c>
      <c r="C292" s="18" t="inlineStr">
        <is>
          <t>Part 1 – General &amp; Programme</t>
        </is>
      </c>
      <c r="D292" s="18" t="inlineStr">
        <is>
          <t>1.5 TECHNICAL AND OPERATIONS SERVICE MANAGEMENT AND SUPPORT (TOSMS)</t>
        </is>
      </c>
      <c r="E292" s="18" t="inlineStr">
        <is>
          <t>—</t>
        </is>
      </c>
      <c r="F292" s="18" t="inlineStr">
        <is>
          <t>Design, document and implement automatically generated alarms to authorized personnel when thresholds are exceeded for various metrics – availability levels, service levels, capacity levels, spare levels, faults, etc. for all 911 applications, systems, integrations, services, technologies and infrastructure.</t>
        </is>
      </c>
      <c r="G292" s="19" t="n"/>
      <c r="H292" s="20" t="n"/>
      <c r="I292" s="20" t="n"/>
      <c r="J292" s="19" t="n"/>
      <c r="K292" s="21" t="n"/>
      <c r="L292" s="22">
        <f>IF(OR(J292="",K292=""),"",J292*K292)</f>
        <v/>
      </c>
      <c r="M292" s="19" t="n"/>
      <c r="N292" s="20" t="n"/>
      <c r="O292" s="20" t="n"/>
    </row>
    <row r="293">
      <c r="A293" s="23" t="n">
        <v>290</v>
      </c>
      <c r="B293" s="23" t="inlineStr">
        <is>
          <t>1.5.1.6.11</t>
        </is>
      </c>
      <c r="C293" s="25" t="inlineStr">
        <is>
          <t>Part 1 – General &amp; Programme</t>
        </is>
      </c>
      <c r="D293" s="25" t="inlineStr">
        <is>
          <t>1.5 TECHNICAL AND OPERATIONS SERVICE MANAGEMENT AND SUPPORT (TOSMS)</t>
        </is>
      </c>
      <c r="E293" s="25" t="inlineStr">
        <is>
          <t>—</t>
        </is>
      </c>
      <c r="F293" s="25" t="inlineStr">
        <is>
          <t>Design, document and implement a database of its own, a knowledge base of known incident workarounds, errors and problem solutions, root cause analyses, and knowledge of similar incidents and resolutions.</t>
        </is>
      </c>
      <c r="G293" s="19" t="n"/>
      <c r="H293" s="20" t="n"/>
      <c r="I293" s="20" t="n"/>
      <c r="J293" s="19" t="n"/>
      <c r="K293" s="21" t="n"/>
      <c r="L293" s="22">
        <f>IF(OR(J293="",K293=""),"",J293*K293)</f>
        <v/>
      </c>
      <c r="M293" s="19" t="n"/>
      <c r="N293" s="20" t="n"/>
      <c r="O293" s="20" t="n"/>
    </row>
    <row r="294">
      <c r="A294" s="16" t="n">
        <v>291</v>
      </c>
      <c r="B294" s="17" t="inlineStr">
        <is>
          <t>1.5.1.7</t>
        </is>
      </c>
      <c r="C294" s="18" t="inlineStr">
        <is>
          <t>Part 1 – General &amp; Programme</t>
        </is>
      </c>
      <c r="D294" s="18" t="inlineStr">
        <is>
          <t>1.5 TECHNICAL AND OPERATIONS SERVICE MANAGEMENT AND SUPPORT (TOSMS)</t>
        </is>
      </c>
      <c r="E294" s="18" t="inlineStr">
        <is>
          <t>—</t>
        </is>
      </c>
      <c r="F294" s="18" t="inlineStr">
        <is>
          <t>Should the MOI so desire, the CONTRACTOR shall make available some or all of their TOSMS team members to be contracted by subsequent MOI contractors who will operate and maintain the 911 centers.</t>
        </is>
      </c>
      <c r="G294" s="19" t="n"/>
      <c r="H294" s="20" t="n"/>
      <c r="I294" s="20" t="n"/>
      <c r="J294" s="19" t="n"/>
      <c r="K294" s="21" t="n"/>
      <c r="L294" s="22">
        <f>IF(OR(J294="",K294=""),"",J294*K294)</f>
        <v/>
      </c>
      <c r="M294" s="19" t="n"/>
      <c r="N294" s="20" t="n"/>
      <c r="O294" s="20" t="n"/>
    </row>
    <row r="295">
      <c r="A295" s="23" t="n">
        <v>292</v>
      </c>
      <c r="B295" s="24" t="inlineStr">
        <is>
          <t>1.5.2.1</t>
        </is>
      </c>
      <c r="C295" s="25" t="inlineStr">
        <is>
          <t>Part 1 – General &amp; Programme</t>
        </is>
      </c>
      <c r="D295" s="25" t="inlineStr">
        <is>
          <t>1.5 TECHNICAL AND OPERATIONS SERVICE MANAGEMENT AND SUPPORT (TOSMS)</t>
        </is>
      </c>
      <c r="E295" s="25" t="inlineStr">
        <is>
          <t>1.5.2 SERVICE LEVEL AGREEMENTS (SLAs)</t>
        </is>
      </c>
      <c r="F295" s="25" t="inlineStr">
        <is>
          <t>The CONTRACTOR shall deliver the 911 solutions including the CMA solution the Service Level specifications (including service availability, service SLAs and response times) set out in this section.</t>
        </is>
      </c>
      <c r="G295" s="19" t="n"/>
      <c r="H295" s="20" t="n"/>
      <c r="I295" s="20" t="n"/>
      <c r="J295" s="19" t="n"/>
      <c r="K295" s="21" t="n"/>
      <c r="L295" s="22">
        <f>IF(OR(J295="",K295=""),"",J295*K295)</f>
        <v/>
      </c>
      <c r="M295" s="19" t="n"/>
      <c r="N295" s="20" t="n"/>
      <c r="O295" s="20" t="n"/>
    </row>
    <row r="296">
      <c r="A296" s="16" t="n">
        <v>293</v>
      </c>
      <c r="B296" s="17" t="inlineStr">
        <is>
          <t>1.5.2.2</t>
        </is>
      </c>
      <c r="C296" s="18" t="inlineStr">
        <is>
          <t>Part 1 – General &amp; Programme</t>
        </is>
      </c>
      <c r="D296" s="18" t="inlineStr">
        <is>
          <t>1.5 TECHNICAL AND OPERATIONS SERVICE MANAGEMENT AND SUPPORT (TOSMS)</t>
        </is>
      </c>
      <c r="E296" s="18" t="inlineStr">
        <is>
          <t>1.5.2 SERVICE LEVEL AGREEMENTS (SLAs)</t>
        </is>
      </c>
      <c r="F296" s="18" t="inlineStr">
        <is>
          <t>The BIDDER shall agree and confirm that the list of problems stated below under the different priority levels is not exhaustive and MOI shall have the full right to classify and categorize a problem or a request in a certain priority level according to operational criteria that may arise. Lower priority faults can be escalated into higher priority fault if it is determined by the MOI that the severity increases to the extent that it falls within the higher priority fault definition as described below or should special circumstances arise which are recognizable as such in the contract.</t>
        </is>
      </c>
      <c r="G296" s="19" t="n"/>
      <c r="H296" s="20" t="n"/>
      <c r="I296" s="20" t="n"/>
      <c r="J296" s="19" t="n"/>
      <c r="K296" s="21" t="n"/>
      <c r="L296" s="22">
        <f>IF(OR(J296="",K296=""),"",J296*K296)</f>
        <v/>
      </c>
      <c r="M296" s="19" t="n"/>
      <c r="N296" s="20" t="n"/>
      <c r="O296" s="20" t="n"/>
    </row>
    <row r="297">
      <c r="A297" s="23" t="n">
        <v>294</v>
      </c>
      <c r="B297" s="24" t="inlineStr">
        <is>
          <t>1.5.2.3</t>
        </is>
      </c>
      <c r="C297" s="25" t="inlineStr">
        <is>
          <t>Part 1 – General &amp; Programme</t>
        </is>
      </c>
      <c r="D297" s="25" t="inlineStr">
        <is>
          <t>1.5 TECHNICAL AND OPERATIONS SERVICE MANAGEMENT AND SUPPORT (TOSMS)</t>
        </is>
      </c>
      <c r="E297" s="25" t="inlineStr">
        <is>
          <t>1.5.2 SERVICE LEVEL AGREEMENTS (SLAs)</t>
        </is>
      </c>
      <c r="F297" s="25" t="inlineStr">
        <is>
          <t>All the CONTRACTOR solutions shall be bound by the following definitions:</t>
        </is>
      </c>
      <c r="G297" s="19" t="n"/>
      <c r="H297" s="20" t="n"/>
      <c r="I297" s="20" t="n"/>
      <c r="J297" s="19" t="n"/>
      <c r="K297" s="21" t="n"/>
      <c r="L297" s="22">
        <f>IF(OR(J297="",K297=""),"",J297*K297)</f>
        <v/>
      </c>
      <c r="M297" s="19" t="n"/>
      <c r="N297" s="20" t="n"/>
      <c r="O297" s="20" t="n"/>
    </row>
    <row r="298">
      <c r="A298" s="16" t="n">
        <v>295</v>
      </c>
      <c r="B298" s="16" t="inlineStr">
        <is>
          <t>1.5.2.3.1</t>
        </is>
      </c>
      <c r="C298" s="18" t="inlineStr">
        <is>
          <t>Part 1 – General &amp; Programme</t>
        </is>
      </c>
      <c r="D298" s="18" t="inlineStr">
        <is>
          <t>1.5 TECHNICAL AND OPERATIONS SERVICE MANAGEMENT AND SUPPORT (TOSMS)</t>
        </is>
      </c>
      <c r="E298" s="18" t="inlineStr">
        <is>
          <t>1.5.2 SERVICE LEVEL AGREEMENTS (SLAs)</t>
        </is>
      </c>
      <c r="F298" s="18" t="inlineStr">
        <is>
          <t>Initial response time – The time within which the CONTRACTOR support personnel will provide initial response to any observed and/or reported problem, alarm and incident that occurred and that is logged into the Help Desk.</t>
        </is>
      </c>
      <c r="G298" s="19" t="n"/>
      <c r="H298" s="20" t="n"/>
      <c r="I298" s="20" t="n"/>
      <c r="J298" s="19" t="n"/>
      <c r="K298" s="21" t="n"/>
      <c r="L298" s="22">
        <f>IF(OR(J298="",K298=""),"",J298*K298)</f>
        <v/>
      </c>
      <c r="M298" s="19" t="n"/>
      <c r="N298" s="20" t="n"/>
      <c r="O298" s="20" t="n"/>
    </row>
    <row r="299">
      <c r="A299" s="23" t="n">
        <v>296</v>
      </c>
      <c r="B299" s="23" t="inlineStr">
        <is>
          <t>1.5.2.3.2</t>
        </is>
      </c>
      <c r="C299" s="25" t="inlineStr">
        <is>
          <t>Part 1 – General &amp; Programme</t>
        </is>
      </c>
      <c r="D299" s="25" t="inlineStr">
        <is>
          <t>1.5 TECHNICAL AND OPERATIONS SERVICE MANAGEMENT AND SUPPORT (TOSMS)</t>
        </is>
      </c>
      <c r="E299" s="25" t="inlineStr">
        <is>
          <t>1.5.2 SERVICE LEVEL AGREEMENTS (SLAs)</t>
        </is>
      </c>
      <c r="F299" s="25" t="inlineStr">
        <is>
          <t>Workaround – A workaround is a temporary way to restore service failures to an MOI acceptable level and that includes the action(s) required to limit the effects of a problem.</t>
        </is>
      </c>
      <c r="G299" s="19" t="n"/>
      <c r="H299" s="20" t="n"/>
      <c r="I299" s="20" t="n"/>
      <c r="J299" s="19" t="n"/>
      <c r="K299" s="21" t="n"/>
      <c r="L299" s="22">
        <f>IF(OR(J299="",K299=""),"",J299*K299)</f>
        <v/>
      </c>
      <c r="M299" s="19" t="n"/>
      <c r="N299" s="20" t="n"/>
      <c r="O299" s="20" t="n"/>
    </row>
    <row r="300">
      <c r="A300" s="16" t="n">
        <v>297</v>
      </c>
      <c r="B300" s="16" t="inlineStr">
        <is>
          <t>1.5.2.3.3</t>
        </is>
      </c>
      <c r="C300" s="18" t="inlineStr">
        <is>
          <t>Part 1 – General &amp; Programme</t>
        </is>
      </c>
      <c r="D300" s="18" t="inlineStr">
        <is>
          <t>1.5 TECHNICAL AND OPERATIONS SERVICE MANAGEMENT AND SUPPORT (TOSMS)</t>
        </is>
      </c>
      <c r="E300" s="18" t="inlineStr">
        <is>
          <t>1.5.2 SERVICE LEVEL AGREEMENTS (SLAs)</t>
        </is>
      </c>
      <c r="F300" s="18" t="inlineStr">
        <is>
          <t>Resolution Time – The time between the response time and the time the effected service is resolved. This means that the affected service is operational again to the required service level following a correction or permanent solution that was implemented by the CONTRACTOR.</t>
        </is>
      </c>
      <c r="G300" s="19" t="n"/>
      <c r="H300" s="20" t="n"/>
      <c r="I300" s="20" t="n"/>
      <c r="J300" s="19" t="n"/>
      <c r="K300" s="21" t="n"/>
      <c r="L300" s="22">
        <f>IF(OR(J300="",K300=""),"",J300*K300)</f>
        <v/>
      </c>
      <c r="M300" s="19" t="n"/>
      <c r="N300" s="20" t="n"/>
      <c r="O300" s="20" t="n"/>
    </row>
    <row r="301">
      <c r="A301" s="23" t="n">
        <v>298</v>
      </c>
      <c r="B301" s="23" t="inlineStr">
        <is>
          <t>1.5.2.3.4</t>
        </is>
      </c>
      <c r="C301" s="25" t="inlineStr">
        <is>
          <t>Part 1 – General &amp; Programme</t>
        </is>
      </c>
      <c r="D301" s="25" t="inlineStr">
        <is>
          <t>1.5 TECHNICAL AND OPERATIONS SERVICE MANAGEMENT AND SUPPORT (TOSMS)</t>
        </is>
      </c>
      <c r="E301" s="25" t="inlineStr">
        <is>
          <t>1.5.2 SERVICE LEVEL AGREEMENTS (SLAs)</t>
        </is>
      </c>
      <c r="F301" s="25" t="inlineStr">
        <is>
          <t>Downtime – Inability to perform the relevant service or function by the user at the performance levels defined as per the contract, and which is resulting from factors within the direct responsibility and scope of the CONTRACTOR.</t>
        </is>
      </c>
      <c r="G301" s="19" t="n"/>
      <c r="H301" s="20" t="n"/>
      <c r="I301" s="20" t="n"/>
      <c r="J301" s="19" t="n"/>
      <c r="K301" s="21" t="n"/>
      <c r="L301" s="22">
        <f>IF(OR(J301="",K301=""),"",J301*K301)</f>
        <v/>
      </c>
      <c r="M301" s="19" t="n"/>
      <c r="N301" s="20" t="n"/>
      <c r="O301" s="20" t="n"/>
    </row>
    <row r="302">
      <c r="A302" s="16" t="n">
        <v>299</v>
      </c>
      <c r="B302" s="16" t="inlineStr">
        <is>
          <t>1.5.2.3.5</t>
        </is>
      </c>
      <c r="C302" s="18" t="inlineStr">
        <is>
          <t>Part 1 – General &amp; Programme</t>
        </is>
      </c>
      <c r="D302" s="18" t="inlineStr">
        <is>
          <t>1.5 TECHNICAL AND OPERATIONS SERVICE MANAGEMENT AND SUPPORT (TOSMS)</t>
        </is>
      </c>
      <c r="E302" s="18" t="inlineStr">
        <is>
          <t>1.5.2 SERVICE LEVEL AGREEMENTS (SLAs)</t>
        </is>
      </c>
      <c r="F302" s="18" t="inlineStr">
        <is>
          <t>Interval of downtime – Time difference between the start and end of the downtime as defined above.</t>
        </is>
      </c>
      <c r="G302" s="19" t="n"/>
      <c r="H302" s="20" t="n"/>
      <c r="I302" s="20" t="n"/>
      <c r="J302" s="19" t="n"/>
      <c r="K302" s="21" t="n"/>
      <c r="L302" s="22">
        <f>IF(OR(J302="",K302=""),"",J302*K302)</f>
        <v/>
      </c>
      <c r="M302" s="19" t="n"/>
      <c r="N302" s="20" t="n"/>
      <c r="O302" s="20" t="n"/>
    </row>
    <row r="303">
      <c r="A303" s="23" t="n">
        <v>300</v>
      </c>
      <c r="B303" s="23" t="inlineStr">
        <is>
          <t>1.5.2.3.6</t>
        </is>
      </c>
      <c r="C303" s="25" t="inlineStr">
        <is>
          <t>Part 1 – General &amp; Programme</t>
        </is>
      </c>
      <c r="D303" s="25" t="inlineStr">
        <is>
          <t>1.5 TECHNICAL AND OPERATIONS SERVICE MANAGEMENT AND SUPPORT (TOSMS)</t>
        </is>
      </c>
      <c r="E303" s="25" t="inlineStr">
        <is>
          <t>1.5.2 SERVICE LEVEL AGREEMENTS (SLAs)</t>
        </is>
      </c>
      <c r="F303" s="25" t="inlineStr">
        <is>
          <t>Number of Impacted Operator – Number of unique logged-in operators which are impacted by the downtime for the relevant service or function.</t>
        </is>
      </c>
      <c r="G303" s="19" t="n"/>
      <c r="H303" s="20" t="n"/>
      <c r="I303" s="20" t="n"/>
      <c r="J303" s="19" t="n"/>
      <c r="K303" s="21" t="n"/>
      <c r="L303" s="22">
        <f>IF(OR(J303="",K303=""),"",J303*K303)</f>
        <v/>
      </c>
      <c r="M303" s="19" t="n"/>
      <c r="N303" s="20" t="n"/>
      <c r="O303" s="20" t="n"/>
    </row>
    <row r="304">
      <c r="A304" s="16" t="n">
        <v>301</v>
      </c>
      <c r="B304" s="16" t="inlineStr">
        <is>
          <t>1.5.2.3.7</t>
        </is>
      </c>
      <c r="C304" s="18" t="inlineStr">
        <is>
          <t>Part 1 – General &amp; Programme</t>
        </is>
      </c>
      <c r="D304" s="18" t="inlineStr">
        <is>
          <t>1.5 TECHNICAL AND OPERATIONS SERVICE MANAGEMENT AND SUPPORT (TOSMS)</t>
        </is>
      </c>
      <c r="E304" s="18" t="inlineStr">
        <is>
          <t>1.5.2 SERVICE LEVEL AGREEMENTS (SLAs)</t>
        </is>
      </c>
      <c r="F304" s="18" t="inlineStr">
        <is>
          <t>Total Number of Operators – Total number of unique logged-in operators within a 24- hour period for the relevant service or function.</t>
        </is>
      </c>
      <c r="G304" s="19" t="n"/>
      <c r="H304" s="20" t="n"/>
      <c r="I304" s="20" t="n"/>
      <c r="J304" s="19" t="n"/>
      <c r="K304" s="21" t="n"/>
      <c r="L304" s="22">
        <f>IF(OR(J304="",K304=""),"",J304*K304)</f>
        <v/>
      </c>
      <c r="M304" s="19" t="n"/>
      <c r="N304" s="20" t="n"/>
      <c r="O304" s="20" t="n"/>
    </row>
    <row r="305">
      <c r="A305" s="23" t="n">
        <v>302</v>
      </c>
      <c r="B305" s="24" t="inlineStr">
        <is>
          <t>1.5.2.4</t>
        </is>
      </c>
      <c r="C305" s="25" t="inlineStr">
        <is>
          <t>Part 1 – General &amp; Programme</t>
        </is>
      </c>
      <c r="D305" s="25" t="inlineStr">
        <is>
          <t>1.5 TECHNICAL AND OPERATIONS SERVICE MANAGEMENT AND SUPPORT (TOSMS)</t>
        </is>
      </c>
      <c r="E305" s="25" t="inlineStr">
        <is>
          <t>1.5.2 SERVICE LEVEL AGREEMENTS (SLAs)</t>
        </is>
      </c>
      <c r="F305" s="25" t="inlineStr">
        <is>
          <t>If CONTRACTOR replaces a damaged configuration item (hardware / software) with a new one until the faulty one is repaired then the permitted time to repair the faulty one shall be within resolution time.</t>
        </is>
      </c>
      <c r="G305" s="19" t="n"/>
      <c r="H305" s="20" t="n"/>
      <c r="I305" s="20" t="n"/>
      <c r="J305" s="19" t="n"/>
      <c r="K305" s="21" t="n"/>
      <c r="L305" s="22">
        <f>IF(OR(J305="",K305=""),"",J305*K305)</f>
        <v/>
      </c>
      <c r="M305" s="19" t="n"/>
      <c r="N305" s="20" t="n"/>
      <c r="O305" s="20" t="n"/>
    </row>
    <row r="306">
      <c r="A306" s="16" t="n">
        <v>303</v>
      </c>
      <c r="B306" s="17" t="inlineStr">
        <is>
          <t>1.5.2.5</t>
        </is>
      </c>
      <c r="C306" s="18" t="inlineStr">
        <is>
          <t>Part 1 – General &amp; Programme</t>
        </is>
      </c>
      <c r="D306" s="18" t="inlineStr">
        <is>
          <t>1.5 TECHNICAL AND OPERATIONS SERVICE MANAGEMENT AND SUPPORT (TOSMS)</t>
        </is>
      </c>
      <c r="E306" s="18" t="inlineStr">
        <is>
          <t>1.5.2 SERVICE LEVEL AGREEMENTS (SLAs)</t>
        </is>
      </c>
      <c r="F306" s="18" t="inlineStr">
        <is>
          <t>The CONTRACTOR shall implement any planned outages and/or downtime for the defined priority classes based on MOI approval after submitting a detailed change request for any planned change – however, any violation of the planned outage and/or downtime shall be considered as service disruption under CONTRACTOR responsibility.</t>
        </is>
      </c>
      <c r="G306" s="19" t="n"/>
      <c r="H306" s="20" t="n"/>
      <c r="I306" s="20" t="n"/>
      <c r="J306" s="19" t="n"/>
      <c r="K306" s="21" t="n"/>
      <c r="L306" s="22">
        <f>IF(OR(J306="",K306=""),"",J306*K306)</f>
        <v/>
      </c>
      <c r="M306" s="19" t="n"/>
      <c r="N306" s="20" t="n"/>
      <c r="O306" s="20" t="n"/>
    </row>
    <row r="307">
      <c r="A307" s="23" t="n">
        <v>304</v>
      </c>
      <c r="B307" s="24" t="inlineStr">
        <is>
          <t>1.5.2.6</t>
        </is>
      </c>
      <c r="C307" s="25" t="inlineStr">
        <is>
          <t>Part 1 – General &amp; Programme</t>
        </is>
      </c>
      <c r="D307" s="25" t="inlineStr">
        <is>
          <t>1.5 TECHNICAL AND OPERATIONS SERVICE MANAGEMENT AND SUPPORT (TOSMS)</t>
        </is>
      </c>
      <c r="E307" s="25" t="inlineStr">
        <is>
          <t>1.5.2 SERVICE LEVEL AGREEMENTS (SLAs)</t>
        </is>
      </c>
      <c r="F307" s="25" t="inlineStr">
        <is>
          <t>The BIDDER shall agree and confirm that MOI has the right to define time periods in which no planned outages are allowed.</t>
        </is>
      </c>
      <c r="G307" s="19" t="n"/>
      <c r="H307" s="20" t="n"/>
      <c r="I307" s="20" t="n"/>
      <c r="J307" s="19" t="n"/>
      <c r="K307" s="21" t="n"/>
      <c r="L307" s="22">
        <f>IF(OR(J307="",K307=""),"",J307*K307)</f>
        <v/>
      </c>
      <c r="M307" s="19" t="n"/>
      <c r="N307" s="20" t="n"/>
      <c r="O307" s="20" t="n"/>
    </row>
    <row r="308">
      <c r="A308" s="16" t="n">
        <v>305</v>
      </c>
      <c r="B308" s="17" t="inlineStr">
        <is>
          <t>1.5.2.7</t>
        </is>
      </c>
      <c r="C308" s="18" t="inlineStr">
        <is>
          <t>Part 1 – General &amp; Programme</t>
        </is>
      </c>
      <c r="D308" s="18" t="inlineStr">
        <is>
          <t>1.5 TECHNICAL AND OPERATIONS SERVICE MANAGEMENT AND SUPPORT (TOSMS)</t>
        </is>
      </c>
      <c r="E308" s="18" t="inlineStr">
        <is>
          <t>1.5.2 SERVICE LEVEL AGREEMENTS (SLAs)</t>
        </is>
      </c>
      <c r="F308" s="18" t="inlineStr">
        <is>
          <t>The CONTRACTOR CMA solution shall cover all trouble tickets and incidents type including critical, major, minor and service requests and shall specify response time, and mean time to repair along with recovery time objectives and recovery point objectives.</t>
        </is>
      </c>
      <c r="G308" s="19" t="n"/>
      <c r="H308" s="20" t="n"/>
      <c r="I308" s="20" t="n"/>
      <c r="J308" s="19" t="n"/>
      <c r="K308" s="21" t="n"/>
      <c r="L308" s="22">
        <f>IF(OR(J308="",K308=""),"",J308*K308)</f>
        <v/>
      </c>
      <c r="M308" s="19" t="n"/>
      <c r="N308" s="20" t="n"/>
      <c r="O308" s="20" t="n"/>
    </row>
    <row r="309">
      <c r="A309" s="23" t="n">
        <v>306</v>
      </c>
      <c r="B309" s="24" t="inlineStr">
        <is>
          <t>1.5.2.8</t>
        </is>
      </c>
      <c r="C309" s="25" t="inlineStr">
        <is>
          <t>Part 1 – General &amp; Programme</t>
        </is>
      </c>
      <c r="D309" s="25" t="inlineStr">
        <is>
          <t>1.5 TECHNICAL AND OPERATIONS SERVICE MANAGEMENT AND SUPPORT (TOSMS)</t>
        </is>
      </c>
      <c r="E309" s="25" t="inlineStr">
        <is>
          <t>1.5.2 SERVICE LEVEL AGREEMENTS (SLAs)</t>
        </is>
      </c>
      <c r="F309" s="25" t="inlineStr">
        <is>
          <t>The CONTRACTOR shall provide monthly service level compliance reports to the MOI that also includes the availability, reliability and maintainability of the CONTRACTOR 911 solutions, technical infrastructure and integrations as required by the MOI.</t>
        </is>
      </c>
      <c r="G309" s="19" t="n"/>
      <c r="H309" s="20" t="n"/>
      <c r="I309" s="20" t="n"/>
      <c r="J309" s="19" t="n"/>
      <c r="K309" s="21" t="n"/>
      <c r="L309" s="22">
        <f>IF(OR(J309="",K309=""),"",J309*K309)</f>
        <v/>
      </c>
      <c r="M309" s="19" t="n"/>
      <c r="N309" s="20" t="n"/>
      <c r="O309" s="20" t="n"/>
    </row>
    <row r="310">
      <c r="A310" s="16" t="n">
        <v>307</v>
      </c>
      <c r="B310" s="17" t="inlineStr">
        <is>
          <t>1.5.2.9</t>
        </is>
      </c>
      <c r="C310" s="18" t="inlineStr">
        <is>
          <t>Part 1 – General &amp; Programme</t>
        </is>
      </c>
      <c r="D310" s="18" t="inlineStr">
        <is>
          <t>1.5 TECHNICAL AND OPERATIONS SERVICE MANAGEMENT AND SUPPORT (TOSMS)</t>
        </is>
      </c>
      <c r="E310" s="18" t="inlineStr">
        <is>
          <t>1.5.2 SERVICE LEVEL AGREEMENTS (SLAs)</t>
        </is>
      </c>
      <c r="F310" s="18" t="inlineStr">
        <is>
          <t>The CONTRACTOR shall be bound by the Service Level and Availability Matrix of Table1 below, and the severity and response SLAs of Table 2 below from the start of the live operations of the first agency at a 911 center within the scope of the project. Table 1: Service Level and Availability Matrix Service level and availability matrix with total available period of any service being one day (24 hours x 60 minutes x 60 seconds) Service Availabilit Service Formula Level y Target 1-{(Downtime in seconds * number of impacted call Answering calls 1 99.999% takers) /(total number of call takers*24*60*60)} % Total Recording Duration/Total Recording of all calls on IP telephony 1 99.999% call duration % 1-{(Downtime in seconds * IRMS functions and services including number of impacted operators) 1 99.999% supervision /(total number of IRMS operators*24*60*60)} % 1-{(Downtime in seconds * GIS functions, maps, data and services number of impacted operators) 1 99.999% including supervision /(total number of operators*24*60*60)} % Monitoring and management of all 1-{(Downtime in seconds * elements – applications, systems, 1 99.999% number of impacted elements) integrations, services and operations /(total duration)} % 1-{(Downtime in seconds * number of affected devices) Security services 1 99.999% /(total number of devices*24*60*60)} % Integrations within the CONTRACTOR 1-{(Downtime in 1 99.999% delivered OSS911 solutions seconds)/(24*60*60)} % 1-{(Downtime in Network and Domain services 1 99.999% seconds)/(24*60*60)} % 1-{(Downtime in Database solutions 1 99.999% seconds)/(24*60*60)} % 1-{(Downtime in TOSMS solution and services 1 99.999% seconds)/(24*60*60)} % Location services for callers and for 1-{(Downtime in 1 99.999% field responders seconds)/(24*60*60)} % Total backup achieved Backups 1 99.999% /Planned backup 1-impacted Dashboard operations 2 99.99% seconds/(24*60*60) % 1- (Number of calls for which liaison events should have been created but not created and/or dispatched)/Total Liaison events 2 99.99% number of calls for which liaison events should have been created and/or dispatched) % 1-{(Downtime in Business Intelligence and Reporting 2 99.99% seconds)/(24*60*60)} % Integrations with all external non- 1-{(Downtime in 2 99.99% OSS911 applications/systems/services seconds)/(24*60*60)} % All other OSS911solution services and 1-{(Downtime in 2 99.99% functions seconds)/(24*60*60)} % Table 2: Severity and Response SLAs Severity and response SLAs Time to Incident severity level Incident Description Initial response resolution a. Loss / prohibition / interruption of any of the P1 services affecting 5% of designated service capacity b. Loss and/or corruption of any data and/or records c. Issues without any workaround d. Service and/or program Centralized help desk 4 hours, aborts available 24x7 – regardless of e. Loss of redundancy telephonic response time of the day Severity Level One f. Security breaches available the incident is (Critical and/or Urgent) g. More than one servers / immediately, in- reported, and storage / network / security person response for any day of devices and/or components shall be within 10 the week disrupted at the same time minutes of notification h. Loss and/or corruption of backups i. Loss of monitoring and management of any system and/or device and/or service j. Thresholds exceeded for critical parameters of P1 services a. Primary purpose compromised with a loss / prohibition / interruption of any of the P1 services affecting less than 5% of designated service capacity b. Productive use significantly impacted and workaround Centralized help desk generally not available available 24x7 – 8 hours, c. Significant degradation of telephonic response regardless of system alarms or trouble available time of the day Severity Level Two reporting immediately, in- the incident is (High Severity) d. Critical risks with system person response with reported, and capacity / performance / a workaround shall for any day of redundancy parameters and be within 30 minutes the week thresholds of notification e. Components failure without loss of service f. Databases corruption without loss of service g. Intermittent faults h. Queries for information in databases and systems i. Faults in reporting systems a. Primary purpose Centralized help desk compromised with a loss / available 24x7 – 48 hours, prohibition / interruption of any telephonic response regardless of of the P1 services affecting available time of the day Severity Level Three less than 1% of designated immediately, in- the incident is (Medium Severity) service capacity person response with reported, and b. Productive, but incomplete a workaround shall for any day of operation and workarounds be within 60 minutes the week generally available of notification Centralized help desk available 24x7 – 72 hours, telephonic response regardless of a. Cosmetic problems available time of the day Severity Level Four b. Workarounds or configurable immediately, in- the incident is (Low Severity) options generally available person response reported, and shall be within 2 for any day of hours of notification if the week necessary</t>
        </is>
      </c>
      <c r="G310" s="19" t="n"/>
      <c r="H310" s="20" t="n"/>
      <c r="I310" s="20" t="n"/>
      <c r="J310" s="19" t="n"/>
      <c r="K310" s="21" t="n"/>
      <c r="L310" s="22">
        <f>IF(OR(J310="",K310=""),"",J310*K310)</f>
        <v/>
      </c>
      <c r="M310" s="19" t="n"/>
      <c r="N310" s="20" t="n"/>
      <c r="O310" s="20" t="n"/>
    </row>
    <row r="311">
      <c r="A311" s="23" t="n">
        <v>308</v>
      </c>
      <c r="B311" s="24" t="inlineStr">
        <is>
          <t>1.6.1.1</t>
        </is>
      </c>
      <c r="C311" s="25" t="inlineStr">
        <is>
          <t>Part 1 – General &amp; Programme</t>
        </is>
      </c>
      <c r="D311" s="25" t="inlineStr">
        <is>
          <t>1.6 SYSTEMS DEVELOPMENT, INTEGRATION AND TESTING</t>
        </is>
      </c>
      <c r="E311" s="25" t="inlineStr">
        <is>
          <t>1.6.1 REQUIREMENTS FOR A FULLY INTEGRATED OSS911 SOLUTION</t>
        </is>
      </c>
      <c r="F311" s="25" t="inlineStr">
        <is>
          <t>The BIDDER shall propose all OSS911 solutions that are based on private cloud architecture delivering secure web-based access for all user and for all system management and administration functions.</t>
        </is>
      </c>
      <c r="G311" s="19" t="n"/>
      <c r="H311" s="20" t="n"/>
      <c r="I311" s="20" t="n"/>
      <c r="J311" s="19" t="n"/>
      <c r="K311" s="21" t="n"/>
      <c r="L311" s="22">
        <f>IF(OR(J311="",K311=""),"",J311*K311)</f>
        <v/>
      </c>
      <c r="M311" s="19" t="n"/>
      <c r="N311" s="20" t="n"/>
      <c r="O311" s="20" t="n"/>
    </row>
    <row r="312">
      <c r="A312" s="16" t="n">
        <v>309</v>
      </c>
      <c r="B312" s="17" t="inlineStr">
        <is>
          <t>1.6.1.2</t>
        </is>
      </c>
      <c r="C312" s="18" t="inlineStr">
        <is>
          <t>Part 1 – General &amp; Programme</t>
        </is>
      </c>
      <c r="D312" s="18" t="inlineStr">
        <is>
          <t>1.6 SYSTEMS DEVELOPMENT, INTEGRATION AND TESTING</t>
        </is>
      </c>
      <c r="E312" s="18" t="inlineStr">
        <is>
          <t>1.6.1 REQUIREMENTS FOR A FULLY INTEGRATED OSS911 SOLUTION</t>
        </is>
      </c>
      <c r="F312" s="18" t="inlineStr">
        <is>
          <t>The BIDDER shall not be constrained by architecture descriptions and features in the document.</t>
        </is>
      </c>
      <c r="G312" s="19" t="n"/>
      <c r="H312" s="20" t="n"/>
      <c r="I312" s="20" t="n"/>
      <c r="J312" s="19" t="n"/>
      <c r="K312" s="21" t="n"/>
      <c r="L312" s="22">
        <f>IF(OR(J312="",K312=""),"",J312*K312)</f>
        <v/>
      </c>
      <c r="M312" s="19" t="n"/>
      <c r="N312" s="20" t="n"/>
      <c r="O312" s="20" t="n"/>
    </row>
    <row r="313">
      <c r="A313" s="23" t="n">
        <v>310</v>
      </c>
      <c r="B313" s="24" t="inlineStr">
        <is>
          <t>1.6.1.3</t>
        </is>
      </c>
      <c r="C313" s="25" t="inlineStr">
        <is>
          <t>Part 1 – General &amp; Programme</t>
        </is>
      </c>
      <c r="D313" s="25" t="inlineStr">
        <is>
          <t>1.6 SYSTEMS DEVELOPMENT, INTEGRATION AND TESTING</t>
        </is>
      </c>
      <c r="E313" s="25" t="inlineStr">
        <is>
          <t>1.6.1 REQUIREMENTS FOR A FULLY INTEGRATED OSS911 SOLUTION</t>
        </is>
      </c>
      <c r="F313" s="25" t="inlineStr">
        <is>
          <t>The BIDDER shall describe their approach to each of the integration elements for OSS911 systems.</t>
        </is>
      </c>
      <c r="G313" s="19" t="n"/>
      <c r="H313" s="20" t="n"/>
      <c r="I313" s="20" t="n"/>
      <c r="J313" s="19" t="n"/>
      <c r="K313" s="21" t="n"/>
      <c r="L313" s="22">
        <f>IF(OR(J313="",K313=""),"",J313*K313)</f>
        <v/>
      </c>
      <c r="M313" s="19" t="n"/>
      <c r="N313" s="20" t="n"/>
      <c r="O313" s="20" t="n"/>
    </row>
    <row r="314">
      <c r="A314" s="16" t="n">
        <v>311</v>
      </c>
      <c r="B314" s="17" t="inlineStr">
        <is>
          <t>1.6.1.4</t>
        </is>
      </c>
      <c r="C314" s="18" t="inlineStr">
        <is>
          <t>Part 1 – General &amp; Programme</t>
        </is>
      </c>
      <c r="D314" s="18" t="inlineStr">
        <is>
          <t>1.6 SYSTEMS DEVELOPMENT, INTEGRATION AND TESTING</t>
        </is>
      </c>
      <c r="E314" s="18" t="inlineStr">
        <is>
          <t>1.6.1 REQUIREMENTS FOR A FULLY INTEGRATED OSS911 SOLUTION</t>
        </is>
      </c>
      <c r="F314" s="18" t="inlineStr">
        <is>
          <t>The CONTRACTOR shall implement all requirements in this contract with the understanding that:</t>
        </is>
      </c>
      <c r="G314" s="19" t="n"/>
      <c r="H314" s="20" t="n"/>
      <c r="I314" s="20" t="n"/>
      <c r="J314" s="19" t="n"/>
      <c r="K314" s="21" t="n"/>
      <c r="L314" s="22">
        <f>IF(OR(J314="",K314=""),"",J314*K314)</f>
        <v/>
      </c>
      <c r="M314" s="19" t="n"/>
      <c r="N314" s="20" t="n"/>
      <c r="O314" s="20" t="n"/>
    </row>
    <row r="315">
      <c r="A315" s="23" t="n">
        <v>312</v>
      </c>
      <c r="B315" s="23" t="inlineStr">
        <is>
          <t>1.6.1.4.1</t>
        </is>
      </c>
      <c r="C315" s="25" t="inlineStr">
        <is>
          <t>Part 1 – General &amp; Programme</t>
        </is>
      </c>
      <c r="D315" s="25" t="inlineStr">
        <is>
          <t>1.6 SYSTEMS DEVELOPMENT, INTEGRATION AND TESTING</t>
        </is>
      </c>
      <c r="E315" s="25" t="inlineStr">
        <is>
          <t>1.6.1 REQUIREMENTS FOR A FULLY INTEGRATED OSS911 SOLUTION</t>
        </is>
      </c>
      <c r="F315" s="25" t="inlineStr">
        <is>
          <t>Unless otherwise explicitly stated, the phrase “OSS911 center” refers to OSS911 centers in each of the provinces that are included in the scope of this contract.</t>
        </is>
      </c>
      <c r="G315" s="19" t="n"/>
      <c r="H315" s="20" t="n"/>
      <c r="I315" s="20" t="n"/>
      <c r="J315" s="19" t="n"/>
      <c r="K315" s="21" t="n"/>
      <c r="L315" s="22">
        <f>IF(OR(J315="",K315=""),"",J315*K315)</f>
        <v/>
      </c>
      <c r="M315" s="19" t="n"/>
      <c r="N315" s="20" t="n"/>
      <c r="O315" s="20" t="n"/>
    </row>
    <row r="316">
      <c r="A316" s="16" t="n">
        <v>313</v>
      </c>
      <c r="B316" s="16" t="inlineStr">
        <is>
          <t>1.6.1.4.2</t>
        </is>
      </c>
      <c r="C316" s="18" t="inlineStr">
        <is>
          <t>Part 1 – General &amp; Programme</t>
        </is>
      </c>
      <c r="D316" s="18" t="inlineStr">
        <is>
          <t>1.6 SYSTEMS DEVELOPMENT, INTEGRATION AND TESTING</t>
        </is>
      </c>
      <c r="E316" s="18" t="inlineStr">
        <is>
          <t>1.6.1 REQUIREMENTS FOR A FULLY INTEGRATED OSS911 SOLUTION</t>
        </is>
      </c>
      <c r="F316" s="18" t="inlineStr">
        <is>
          <t>Unless otherwise explicitly stated, the phrases “OSS911 solution” or “OSS911 systems” or “OSS911 subsystems” refer to all the OSS911 systems being delivered by the CONTRACTOR as part of this contract.</t>
        </is>
      </c>
      <c r="G316" s="19" t="n"/>
      <c r="H316" s="20" t="n"/>
      <c r="I316" s="20" t="n"/>
      <c r="J316" s="19" t="n"/>
      <c r="K316" s="21" t="n"/>
      <c r="L316" s="22">
        <f>IF(OR(J316="",K316=""),"",J316*K316)</f>
        <v/>
      </c>
      <c r="M316" s="19" t="n"/>
      <c r="N316" s="20" t="n"/>
      <c r="O316" s="20" t="n"/>
    </row>
    <row r="317">
      <c r="A317" s="23" t="n">
        <v>314</v>
      </c>
      <c r="B317" s="23" t="inlineStr">
        <is>
          <t>1.6.1.4.3</t>
        </is>
      </c>
      <c r="C317" s="25" t="inlineStr">
        <is>
          <t>Part 1 – General &amp; Programme</t>
        </is>
      </c>
      <c r="D317" s="25" t="inlineStr">
        <is>
          <t>1.6 SYSTEMS DEVELOPMENT, INTEGRATION AND TESTING</t>
        </is>
      </c>
      <c r="E317" s="25" t="inlineStr">
        <is>
          <t>1.6.1 REQUIREMENTS FOR A FULLY INTEGRATED OSS911 SOLUTION</t>
        </is>
      </c>
      <c r="F317" s="25" t="inlineStr">
        <is>
          <t>Unless otherwise explicitly stated, the word “data” in this document includes all types of data including voice, text, video and SMS.</t>
        </is>
      </c>
      <c r="G317" s="19" t="n"/>
      <c r="H317" s="20" t="n"/>
      <c r="I317" s="20" t="n"/>
      <c r="J317" s="19" t="n"/>
      <c r="K317" s="21" t="n"/>
      <c r="L317" s="22">
        <f>IF(OR(J317="",K317=""),"",J317*K317)</f>
        <v/>
      </c>
      <c r="M317" s="19" t="n"/>
      <c r="N317" s="20" t="n"/>
      <c r="O317" s="20" t="n"/>
    </row>
    <row r="318">
      <c r="A318" s="16" t="n">
        <v>315</v>
      </c>
      <c r="B318" s="17" t="inlineStr">
        <is>
          <t>1.6.1.5</t>
        </is>
      </c>
      <c r="C318" s="18" t="inlineStr">
        <is>
          <t>Part 1 – General &amp; Programme</t>
        </is>
      </c>
      <c r="D318" s="18" t="inlineStr">
        <is>
          <t>1.6 SYSTEMS DEVELOPMENT, INTEGRATION AND TESTING</t>
        </is>
      </c>
      <c r="E318" s="18" t="inlineStr">
        <is>
          <t>1.6.1 REQUIREMENTS FOR A FULLY INTEGRATED OSS911 SOLUTION</t>
        </is>
      </c>
      <c r="F318" s="18" t="inlineStr">
        <is>
          <t>The CONTRACTOR shall deliver all the requirements of this section that are fully compliant to the concept of operations requirements stated in this RFP.</t>
        </is>
      </c>
      <c r="G318" s="19" t="n"/>
      <c r="H318" s="20" t="n"/>
      <c r="I318" s="20" t="n"/>
      <c r="J318" s="19" t="n"/>
      <c r="K318" s="21" t="n"/>
      <c r="L318" s="22">
        <f>IF(OR(J318="",K318=""),"",J318*K318)</f>
        <v/>
      </c>
      <c r="M318" s="19" t="n"/>
      <c r="N318" s="20" t="n"/>
      <c r="O318" s="20" t="n"/>
    </row>
    <row r="319">
      <c r="A319" s="23" t="n">
        <v>316</v>
      </c>
      <c r="B319" s="24" t="inlineStr">
        <is>
          <t>1.6.1.6</t>
        </is>
      </c>
      <c r="C319" s="25" t="inlineStr">
        <is>
          <t>Part 1 – General &amp; Programme</t>
        </is>
      </c>
      <c r="D319" s="25" t="inlineStr">
        <is>
          <t>1.6 SYSTEMS DEVELOPMENT, INTEGRATION AND TESTING</t>
        </is>
      </c>
      <c r="E319" s="25" t="inlineStr">
        <is>
          <t>1.6.1 REQUIREMENTS FOR A FULLY INTEGRATED OSS911 SOLUTION</t>
        </is>
      </c>
      <c r="F319" s="25" t="inlineStr">
        <is>
          <t>The CONTRACTOR shall supply a microservices-based Service- oriented architecture (SOA)-based smart and AI-powered solution enabling loose coupling, independent evolution of components and standardized integration.</t>
        </is>
      </c>
      <c r="G319" s="19" t="n"/>
      <c r="H319" s="20" t="n"/>
      <c r="I319" s="20" t="n"/>
      <c r="J319" s="19" t="n"/>
      <c r="K319" s="21" t="n"/>
      <c r="L319" s="22">
        <f>IF(OR(J319="",K319=""),"",J319*K319)</f>
        <v/>
      </c>
      <c r="M319" s="19" t="n"/>
      <c r="N319" s="20" t="n"/>
      <c r="O319" s="20" t="n"/>
    </row>
    <row r="320">
      <c r="A320" s="16" t="n">
        <v>317</v>
      </c>
      <c r="B320" s="17" t="inlineStr">
        <is>
          <t>1.6.1.7</t>
        </is>
      </c>
      <c r="C320" s="18" t="inlineStr">
        <is>
          <t>Part 1 – General &amp; Programme</t>
        </is>
      </c>
      <c r="D320" s="18" t="inlineStr">
        <is>
          <t>1.6 SYSTEMS DEVELOPMENT, INTEGRATION AND TESTING</t>
        </is>
      </c>
      <c r="E320" s="18" t="inlineStr">
        <is>
          <t>1.6.1 REQUIREMENTS FOR A FULLY INTEGRATED OSS911 SOLUTION</t>
        </is>
      </c>
      <c r="F320" s="18" t="inlineStr">
        <is>
          <t>The CONTRACTOR solution for middleware shall allow creation of secure interfaces to other systems using service-oriented architecture such that the demand for data and databases is served on-the-fly through secure web services.</t>
        </is>
      </c>
      <c r="G320" s="19" t="n"/>
      <c r="H320" s="20" t="n"/>
      <c r="I320" s="20" t="n"/>
      <c r="J320" s="19" t="n"/>
      <c r="K320" s="21" t="n"/>
      <c r="L320" s="22">
        <f>IF(OR(J320="",K320=""),"",J320*K320)</f>
        <v/>
      </c>
      <c r="M320" s="19" t="n"/>
      <c r="N320" s="20" t="n"/>
      <c r="O320" s="20" t="n"/>
    </row>
    <row r="321">
      <c r="A321" s="23" t="n">
        <v>318</v>
      </c>
      <c r="B321" s="24" t="inlineStr">
        <is>
          <t>1.6.1.8</t>
        </is>
      </c>
      <c r="C321" s="25" t="inlineStr">
        <is>
          <t>Part 1 – General &amp; Programme</t>
        </is>
      </c>
      <c r="D321" s="25" t="inlineStr">
        <is>
          <t>1.6 SYSTEMS DEVELOPMENT, INTEGRATION AND TESTING</t>
        </is>
      </c>
      <c r="E321" s="25" t="inlineStr">
        <is>
          <t>1.6.1 REQUIREMENTS FOR A FULLY INTEGRATED OSS911 SOLUTION</t>
        </is>
      </c>
      <c r="F321" s="25" t="inlineStr">
        <is>
          <t>The BIDDER shall clearly explain with how their proposed OSS911 solution supports SOA by providing a middleware that allows creation of interfaces to third party systems using microservices-based service- oriented architecture. This explanation shall include:</t>
        </is>
      </c>
      <c r="G321" s="19" t="n"/>
      <c r="H321" s="20" t="n"/>
      <c r="I321" s="20" t="n"/>
      <c r="J321" s="19" t="n"/>
      <c r="K321" s="21" t="n"/>
      <c r="L321" s="22">
        <f>IF(OR(J321="",K321=""),"",J321*K321)</f>
        <v/>
      </c>
      <c r="M321" s="19" t="n"/>
      <c r="N321" s="20" t="n"/>
      <c r="O321" s="20" t="n"/>
    </row>
    <row r="322">
      <c r="A322" s="16" t="n">
        <v>319</v>
      </c>
      <c r="B322" s="16" t="inlineStr">
        <is>
          <t>1.6.1.8.1</t>
        </is>
      </c>
      <c r="C322" s="18" t="inlineStr">
        <is>
          <t>Part 1 – General &amp; Programme</t>
        </is>
      </c>
      <c r="D322" s="18" t="inlineStr">
        <is>
          <t>1.6 SYSTEMS DEVELOPMENT, INTEGRATION AND TESTING</t>
        </is>
      </c>
      <c r="E322" s="18" t="inlineStr">
        <is>
          <t>1.6.1 REQUIREMENTS FOR A FULLY INTEGRATED OSS911 SOLUTION</t>
        </is>
      </c>
      <c r="F322" s="18" t="inlineStr">
        <is>
          <t>New modules development and integration</t>
        </is>
      </c>
      <c r="G322" s="19" t="n"/>
      <c r="H322" s="20" t="n"/>
      <c r="I322" s="20" t="n"/>
      <c r="J322" s="19" t="n"/>
      <c r="K322" s="21" t="n"/>
      <c r="L322" s="22">
        <f>IF(OR(J322="",K322=""),"",J322*K322)</f>
        <v/>
      </c>
      <c r="M322" s="19" t="n"/>
      <c r="N322" s="20" t="n"/>
      <c r="O322" s="20" t="n"/>
    </row>
    <row r="323">
      <c r="A323" s="23" t="n">
        <v>320</v>
      </c>
      <c r="B323" s="23" t="inlineStr">
        <is>
          <t>1.6.1.8.2</t>
        </is>
      </c>
      <c r="C323" s="25" t="inlineStr">
        <is>
          <t>Part 1 – General &amp; Programme</t>
        </is>
      </c>
      <c r="D323" s="25" t="inlineStr">
        <is>
          <t>1.6 SYSTEMS DEVELOPMENT, INTEGRATION AND TESTING</t>
        </is>
      </c>
      <c r="E323" s="25" t="inlineStr">
        <is>
          <t>1.6.1 REQUIREMENTS FOR A FULLY INTEGRATED OSS911 SOLUTION</t>
        </is>
      </c>
      <c r="F323" s="25" t="inlineStr">
        <is>
          <t>Native interoperability</t>
        </is>
      </c>
      <c r="G323" s="19" t="n"/>
      <c r="H323" s="20" t="n"/>
      <c r="I323" s="20" t="n"/>
      <c r="J323" s="19" t="n"/>
      <c r="K323" s="21" t="n"/>
      <c r="L323" s="22">
        <f>IF(OR(J323="",K323=""),"",J323*K323)</f>
        <v/>
      </c>
      <c r="M323" s="19" t="n"/>
      <c r="N323" s="20" t="n"/>
      <c r="O323" s="20" t="n"/>
    </row>
    <row r="324">
      <c r="A324" s="16" t="n">
        <v>321</v>
      </c>
      <c r="B324" s="16" t="inlineStr">
        <is>
          <t>1.6.1.8.3</t>
        </is>
      </c>
      <c r="C324" s="18" t="inlineStr">
        <is>
          <t>Part 1 – General &amp; Programme</t>
        </is>
      </c>
      <c r="D324" s="18" t="inlineStr">
        <is>
          <t>1.6 SYSTEMS DEVELOPMENT, INTEGRATION AND TESTING</t>
        </is>
      </c>
      <c r="E324" s="18" t="inlineStr">
        <is>
          <t>1.6.1 REQUIREMENTS FOR A FULLY INTEGRATED OSS911 SOLUTION</t>
        </is>
      </c>
      <c r="F324" s="18" t="inlineStr">
        <is>
          <t>Architectures supported</t>
        </is>
      </c>
      <c r="G324" s="19" t="n"/>
      <c r="H324" s="20" t="n"/>
      <c r="I324" s="20" t="n"/>
      <c r="J324" s="19" t="n"/>
      <c r="K324" s="21" t="n"/>
      <c r="L324" s="22">
        <f>IF(OR(J324="",K324=""),"",J324*K324)</f>
        <v/>
      </c>
      <c r="M324" s="19" t="n"/>
      <c r="N324" s="20" t="n"/>
      <c r="O324" s="20" t="n"/>
    </row>
    <row r="325">
      <c r="A325" s="23" t="n">
        <v>322</v>
      </c>
      <c r="B325" s="23" t="inlineStr">
        <is>
          <t>1.6.1.8.4</t>
        </is>
      </c>
      <c r="C325" s="25" t="inlineStr">
        <is>
          <t>Part 1 – General &amp; Programme</t>
        </is>
      </c>
      <c r="D325" s="25" t="inlineStr">
        <is>
          <t>1.6 SYSTEMS DEVELOPMENT, INTEGRATION AND TESTING</t>
        </is>
      </c>
      <c r="E325" s="25" t="inlineStr">
        <is>
          <t>1.6.1 REQUIREMENTS FOR A FULLY INTEGRATED OSS911 SOLUTION</t>
        </is>
      </c>
      <c r="F325" s="25" t="inlineStr">
        <is>
          <t>Application servers supported</t>
        </is>
      </c>
      <c r="G325" s="19" t="n"/>
      <c r="H325" s="20" t="n"/>
      <c r="I325" s="20" t="n"/>
      <c r="J325" s="19" t="n"/>
      <c r="K325" s="21" t="n"/>
      <c r="L325" s="22">
        <f>IF(OR(J325="",K325=""),"",J325*K325)</f>
        <v/>
      </c>
      <c r="M325" s="19" t="n"/>
      <c r="N325" s="20" t="n"/>
      <c r="O325" s="20" t="n"/>
    </row>
    <row r="326">
      <c r="A326" s="16" t="n">
        <v>323</v>
      </c>
      <c r="B326" s="16" t="inlineStr">
        <is>
          <t>1.6.1.8.5</t>
        </is>
      </c>
      <c r="C326" s="18" t="inlineStr">
        <is>
          <t>Part 1 – General &amp; Programme</t>
        </is>
      </c>
      <c r="D326" s="18" t="inlineStr">
        <is>
          <t>1.6 SYSTEMS DEVELOPMENT, INTEGRATION AND TESTING</t>
        </is>
      </c>
      <c r="E326" s="18" t="inlineStr">
        <is>
          <t>1.6.1 REQUIREMENTS FOR A FULLY INTEGRATED OSS911 SOLUTION</t>
        </is>
      </c>
      <c r="F326" s="18" t="inlineStr">
        <is>
          <t>Extensible Markup Language (XML) support</t>
        </is>
      </c>
      <c r="G326" s="19" t="n"/>
      <c r="H326" s="20" t="n"/>
      <c r="I326" s="20" t="n"/>
      <c r="J326" s="19" t="n"/>
      <c r="K326" s="21" t="n"/>
      <c r="L326" s="22">
        <f>IF(OR(J326="",K326=""),"",J326*K326)</f>
        <v/>
      </c>
      <c r="M326" s="19" t="n"/>
      <c r="N326" s="20" t="n"/>
      <c r="O326" s="20" t="n"/>
    </row>
    <row r="327">
      <c r="A327" s="23" t="n">
        <v>324</v>
      </c>
      <c r="B327" s="23" t="inlineStr">
        <is>
          <t>1.6.1.8.6</t>
        </is>
      </c>
      <c r="C327" s="25" t="inlineStr">
        <is>
          <t>Part 1 – General &amp; Programme</t>
        </is>
      </c>
      <c r="D327" s="25" t="inlineStr">
        <is>
          <t>1.6 SYSTEMS DEVELOPMENT, INTEGRATION AND TESTING</t>
        </is>
      </c>
      <c r="E327" s="25" t="inlineStr">
        <is>
          <t>1.6.1 REQUIREMENTS FOR A FULLY INTEGRATED OSS911 SOLUTION</t>
        </is>
      </c>
      <c r="F327" s="25" t="inlineStr">
        <is>
          <t>JavaScript Object Notation (JSON) support</t>
        </is>
      </c>
      <c r="G327" s="19" t="n"/>
      <c r="H327" s="20" t="n"/>
      <c r="I327" s="20" t="n"/>
      <c r="J327" s="19" t="n"/>
      <c r="K327" s="21" t="n"/>
      <c r="L327" s="22">
        <f>IF(OR(J327="",K327=""),"",J327*K327)</f>
        <v/>
      </c>
      <c r="M327" s="19" t="n"/>
      <c r="N327" s="20" t="n"/>
      <c r="O327" s="20" t="n"/>
    </row>
    <row r="328">
      <c r="A328" s="16" t="n">
        <v>325</v>
      </c>
      <c r="B328" s="16" t="inlineStr">
        <is>
          <t>1.6.1.8.7</t>
        </is>
      </c>
      <c r="C328" s="18" t="inlineStr">
        <is>
          <t>Part 1 – General &amp; Programme</t>
        </is>
      </c>
      <c r="D328" s="18" t="inlineStr">
        <is>
          <t>1.6 SYSTEMS DEVELOPMENT, INTEGRATION AND TESTING</t>
        </is>
      </c>
      <c r="E328" s="18" t="inlineStr">
        <is>
          <t>1.6.1 REQUIREMENTS FOR A FULLY INTEGRATED OSS911 SOLUTION</t>
        </is>
      </c>
      <c r="F328" s="18" t="inlineStr">
        <is>
          <t>Representational State Transfer (REST) support</t>
        </is>
      </c>
      <c r="G328" s="19" t="n"/>
      <c r="H328" s="20" t="n"/>
      <c r="I328" s="20" t="n"/>
      <c r="J328" s="19" t="n"/>
      <c r="K328" s="21" t="n"/>
      <c r="L328" s="22">
        <f>IF(OR(J328="",K328=""),"",J328*K328)</f>
        <v/>
      </c>
      <c r="M328" s="19" t="n"/>
      <c r="N328" s="20" t="n"/>
      <c r="O328" s="20" t="n"/>
    </row>
    <row r="329">
      <c r="A329" s="23" t="n">
        <v>326</v>
      </c>
      <c r="B329" s="23" t="inlineStr">
        <is>
          <t>1.6.1.8.8</t>
        </is>
      </c>
      <c r="C329" s="25" t="inlineStr">
        <is>
          <t>Part 1 – General &amp; Programme</t>
        </is>
      </c>
      <c r="D329" s="25" t="inlineStr">
        <is>
          <t>1.6 SYSTEMS DEVELOPMENT, INTEGRATION AND TESTING</t>
        </is>
      </c>
      <c r="E329" s="25" t="inlineStr">
        <is>
          <t>1.6.1 REQUIREMENTS FOR A FULLY INTEGRATED OSS911 SOLUTION</t>
        </is>
      </c>
      <c r="F329" s="25" t="inlineStr">
        <is>
          <t>Web Services standards support</t>
        </is>
      </c>
      <c r="G329" s="19" t="n"/>
      <c r="H329" s="20" t="n"/>
      <c r="I329" s="20" t="n"/>
      <c r="J329" s="19" t="n"/>
      <c r="K329" s="21" t="n"/>
      <c r="L329" s="22">
        <f>IF(OR(J329="",K329=""),"",J329*K329)</f>
        <v/>
      </c>
      <c r="M329" s="19" t="n"/>
      <c r="N329" s="20" t="n"/>
      <c r="O329" s="20" t="n"/>
    </row>
    <row r="330">
      <c r="A330" s="16" t="n">
        <v>327</v>
      </c>
      <c r="B330" s="16" t="inlineStr">
        <is>
          <t>1.6.1.8.9</t>
        </is>
      </c>
      <c r="C330" s="18" t="inlineStr">
        <is>
          <t>Part 1 – General &amp; Programme</t>
        </is>
      </c>
      <c r="D330" s="18" t="inlineStr">
        <is>
          <t>1.6 SYSTEMS DEVELOPMENT, INTEGRATION AND TESTING</t>
        </is>
      </c>
      <c r="E330" s="18" t="inlineStr">
        <is>
          <t>1.6.1 REQUIREMENTS FOR A FULLY INTEGRATED OSS911 SOLUTION</t>
        </is>
      </c>
      <c r="F330" s="18" t="inlineStr">
        <is>
          <t>Integration with legacy systems</t>
        </is>
      </c>
      <c r="G330" s="19" t="n"/>
      <c r="H330" s="20" t="n"/>
      <c r="I330" s="20" t="n"/>
      <c r="J330" s="19" t="n"/>
      <c r="K330" s="21" t="n"/>
      <c r="L330" s="22">
        <f>IF(OR(J330="",K330=""),"",J330*K330)</f>
        <v/>
      </c>
      <c r="M330" s="19" t="n"/>
      <c r="N330" s="20" t="n"/>
      <c r="O330" s="20" t="n"/>
    </row>
    <row r="331">
      <c r="A331" s="23" t="n">
        <v>328</v>
      </c>
      <c r="B331" s="23" t="inlineStr">
        <is>
          <t>1.6.1.8.10</t>
        </is>
      </c>
      <c r="C331" s="25" t="inlineStr">
        <is>
          <t>Part 1 – General &amp; Programme</t>
        </is>
      </c>
      <c r="D331" s="25" t="inlineStr">
        <is>
          <t>1.6 SYSTEMS DEVELOPMENT, INTEGRATION AND TESTING</t>
        </is>
      </c>
      <c r="E331" s="25" t="inlineStr">
        <is>
          <t>1.6.1 REQUIREMENTS FOR A FULLY INTEGRATED OSS911 SOLUTION</t>
        </is>
      </c>
      <c r="F331" s="25" t="inlineStr">
        <is>
          <t>Dependencies on any third-party product to deliver Web Services</t>
        </is>
      </c>
      <c r="G331" s="19" t="n"/>
      <c r="H331" s="20" t="n"/>
      <c r="I331" s="20" t="n"/>
      <c r="J331" s="19" t="n"/>
      <c r="K331" s="21" t="n"/>
      <c r="L331" s="22">
        <f>IF(OR(J331="",K331=""),"",J331*K331)</f>
        <v/>
      </c>
      <c r="M331" s="19" t="n"/>
      <c r="N331" s="20" t="n"/>
      <c r="O331" s="20" t="n"/>
    </row>
    <row r="332">
      <c r="A332" s="16" t="n">
        <v>329</v>
      </c>
      <c r="B332" s="16" t="inlineStr">
        <is>
          <t>1.6.1.8.11</t>
        </is>
      </c>
      <c r="C332" s="18" t="inlineStr">
        <is>
          <t>Part 1 – General &amp; Programme</t>
        </is>
      </c>
      <c r="D332" s="18" t="inlineStr">
        <is>
          <t>1.6 SYSTEMS DEVELOPMENT, INTEGRATION AND TESTING</t>
        </is>
      </c>
      <c r="E332" s="18" t="inlineStr">
        <is>
          <t>1.6.1 REQUIREMENTS FOR A FULLY INTEGRATED OSS911 SOLUTION</t>
        </is>
      </c>
      <c r="F332" s="18" t="inlineStr">
        <is>
          <t>Modelling tools supported</t>
        </is>
      </c>
      <c r="G332" s="19" t="n"/>
      <c r="H332" s="20" t="n"/>
      <c r="I332" s="20" t="n"/>
      <c r="J332" s="19" t="n"/>
      <c r="K332" s="21" t="n"/>
      <c r="L332" s="22">
        <f>IF(OR(J332="",K332=""),"",J332*K332)</f>
        <v/>
      </c>
      <c r="M332" s="19" t="n"/>
      <c r="N332" s="20" t="n"/>
      <c r="O332" s="20" t="n"/>
    </row>
    <row r="333">
      <c r="A333" s="23" t="n">
        <v>330</v>
      </c>
      <c r="B333" s="24" t="inlineStr">
        <is>
          <t>1.6.1.9</t>
        </is>
      </c>
      <c r="C333" s="25" t="inlineStr">
        <is>
          <t>Part 1 – General &amp; Programme</t>
        </is>
      </c>
      <c r="D333" s="25" t="inlineStr">
        <is>
          <t>1.6 SYSTEMS DEVELOPMENT, INTEGRATION AND TESTING</t>
        </is>
      </c>
      <c r="E333" s="25" t="inlineStr">
        <is>
          <t>1.6.1 REQUIREMENTS FOR A FULLY INTEGRATED OSS911 SOLUTION</t>
        </is>
      </c>
      <c r="F333" s="25" t="inlineStr">
        <is>
          <t>The BIDDER shall explain the security architecture and capabilities of the proposed SOA solution.</t>
        </is>
      </c>
      <c r="G333" s="19" t="n"/>
      <c r="H333" s="20" t="n"/>
      <c r="I333" s="20" t="n"/>
      <c r="J333" s="19" t="n"/>
      <c r="K333" s="21" t="n"/>
      <c r="L333" s="22">
        <f>IF(OR(J333="",K333=""),"",J333*K333)</f>
        <v/>
      </c>
      <c r="M333" s="19" t="n"/>
      <c r="N333" s="20" t="n"/>
      <c r="O333" s="20" t="n"/>
    </row>
    <row r="334">
      <c r="A334" s="16" t="n">
        <v>331</v>
      </c>
      <c r="B334" s="17" t="inlineStr">
        <is>
          <t>1.6.1.10</t>
        </is>
      </c>
      <c r="C334" s="18" t="inlineStr">
        <is>
          <t>Part 1 – General &amp; Programme</t>
        </is>
      </c>
      <c r="D334" s="18" t="inlineStr">
        <is>
          <t>1.6 SYSTEMS DEVELOPMENT, INTEGRATION AND TESTING</t>
        </is>
      </c>
      <c r="E334" s="18" t="inlineStr">
        <is>
          <t>1.6.1 REQUIREMENTS FOR A FULLY INTEGRATED OSS911 SOLUTION</t>
        </is>
      </c>
      <c r="F334" s="18" t="inlineStr">
        <is>
          <t>The BIDDER shall indicate in their proposal the scalability and expandability in terms of the percentage of installed capacity.</t>
        </is>
      </c>
      <c r="G334" s="19" t="n"/>
      <c r="H334" s="20" t="n"/>
      <c r="I334" s="20" t="n"/>
      <c r="J334" s="19" t="n"/>
      <c r="K334" s="21" t="n"/>
      <c r="L334" s="22">
        <f>IF(OR(J334="",K334=""),"",J334*K334)</f>
        <v/>
      </c>
      <c r="M334" s="19" t="n"/>
      <c r="N334" s="20" t="n"/>
      <c r="O334" s="20" t="n"/>
    </row>
    <row r="335">
      <c r="A335" s="23" t="n">
        <v>332</v>
      </c>
      <c r="B335" s="24" t="inlineStr">
        <is>
          <t>1.6.1.11</t>
        </is>
      </c>
      <c r="C335" s="25" t="inlineStr">
        <is>
          <t>Part 1 – General &amp; Programme</t>
        </is>
      </c>
      <c r="D335" s="25" t="inlineStr">
        <is>
          <t>1.6 SYSTEMS DEVELOPMENT, INTEGRATION AND TESTING</t>
        </is>
      </c>
      <c r="E335" s="25" t="inlineStr">
        <is>
          <t>1.6.1 REQUIREMENTS FOR A FULLY INTEGRATED OSS911 SOLUTION</t>
        </is>
      </c>
      <c r="F335" s="25" t="inlineStr">
        <is>
          <t>The BIDDER shall clearly identify the transaction volume limits of the OSS911 solution under normal operating conditions, and in the event of the different scenarios of fallback between centers.</t>
        </is>
      </c>
      <c r="G335" s="19" t="n"/>
      <c r="H335" s="20" t="n"/>
      <c r="I335" s="20" t="n"/>
      <c r="J335" s="19" t="n"/>
      <c r="K335" s="21" t="n"/>
      <c r="L335" s="22">
        <f>IF(OR(J335="",K335=""),"",J335*K335)</f>
        <v/>
      </c>
      <c r="M335" s="19" t="n"/>
      <c r="N335" s="20" t="n"/>
      <c r="O335" s="20" t="n"/>
    </row>
    <row r="336">
      <c r="A336" s="16" t="n">
        <v>333</v>
      </c>
      <c r="B336" s="17" t="inlineStr">
        <is>
          <t>1.6.1.12</t>
        </is>
      </c>
      <c r="C336" s="18" t="inlineStr">
        <is>
          <t>Part 1 – General &amp; Programme</t>
        </is>
      </c>
      <c r="D336" s="18" t="inlineStr">
        <is>
          <t>1.6 SYSTEMS DEVELOPMENT, INTEGRATION AND TESTING</t>
        </is>
      </c>
      <c r="E336" s="18" t="inlineStr">
        <is>
          <t>1.6.1 REQUIREMENTS FOR A FULLY INTEGRATED OSS911 SOLUTION</t>
        </is>
      </c>
      <c r="F336" s="18" t="inlineStr">
        <is>
          <t>The BIDDER shall explain the components/web services or other building blocks at a high and fairly detailed level and show how they lead to a scalable solution.</t>
        </is>
      </c>
      <c r="G336" s="19" t="n"/>
      <c r="H336" s="20" t="n"/>
      <c r="I336" s="20" t="n"/>
      <c r="J336" s="19" t="n"/>
      <c r="K336" s="21" t="n"/>
      <c r="L336" s="22">
        <f>IF(OR(J336="",K336=""),"",J336*K336)</f>
        <v/>
      </c>
      <c r="M336" s="19" t="n"/>
      <c r="N336" s="20" t="n"/>
      <c r="O336" s="20" t="n"/>
    </row>
    <row r="337">
      <c r="A337" s="23" t="n">
        <v>334</v>
      </c>
      <c r="B337" s="24" t="inlineStr">
        <is>
          <t>1.6.1.13</t>
        </is>
      </c>
      <c r="C337" s="25" t="inlineStr">
        <is>
          <t>Part 1 – General &amp; Programme</t>
        </is>
      </c>
      <c r="D337" s="25" t="inlineStr">
        <is>
          <t>1.6 SYSTEMS DEVELOPMENT, INTEGRATION AND TESTING</t>
        </is>
      </c>
      <c r="E337" s="25" t="inlineStr">
        <is>
          <t>1.6.1 REQUIREMENTS FOR A FULLY INTEGRATED OSS911 SOLUTION</t>
        </is>
      </c>
      <c r="F337" s="25" t="inlineStr">
        <is>
          <t>The BIDDER shall describe the loose coupling among various components and how a component can be replaced without affecting the other workable components so as to minimize the downtime.</t>
        </is>
      </c>
      <c r="G337" s="19" t="n"/>
      <c r="H337" s="20" t="n"/>
      <c r="I337" s="20" t="n"/>
      <c r="J337" s="19" t="n"/>
      <c r="K337" s="21" t="n"/>
      <c r="L337" s="22">
        <f>IF(OR(J337="",K337=""),"",J337*K337)</f>
        <v/>
      </c>
      <c r="M337" s="19" t="n"/>
      <c r="N337" s="20" t="n"/>
      <c r="O337" s="20" t="n"/>
    </row>
    <row r="338">
      <c r="A338" s="16" t="n">
        <v>335</v>
      </c>
      <c r="B338" s="17" t="inlineStr">
        <is>
          <t>1.6.1.14</t>
        </is>
      </c>
      <c r="C338" s="18" t="inlineStr">
        <is>
          <t>Part 1 – General &amp; Programme</t>
        </is>
      </c>
      <c r="D338" s="18" t="inlineStr">
        <is>
          <t>1.6 SYSTEMS DEVELOPMENT, INTEGRATION AND TESTING</t>
        </is>
      </c>
      <c r="E338" s="18" t="inlineStr">
        <is>
          <t>1.6.1 REQUIREMENTS FOR A FULLY INTEGRATED OSS911 SOLUTION</t>
        </is>
      </c>
      <c r="F338" s="18" t="inlineStr">
        <is>
          <t>The BIDDER shall explain how the solution responds gracefully in case of an unexpected event.</t>
        </is>
      </c>
      <c r="G338" s="19" t="n"/>
      <c r="H338" s="20" t="n"/>
      <c r="I338" s="20" t="n"/>
      <c r="J338" s="19" t="n"/>
      <c r="K338" s="21" t="n"/>
      <c r="L338" s="22">
        <f>IF(OR(J338="",K338=""),"",J338*K338)</f>
        <v/>
      </c>
      <c r="M338" s="19" t="n"/>
      <c r="N338" s="20" t="n"/>
      <c r="O338" s="20" t="n"/>
    </row>
    <row r="339">
      <c r="A339" s="23" t="n">
        <v>336</v>
      </c>
      <c r="B339" s="24" t="inlineStr">
        <is>
          <t>1.6.1.15</t>
        </is>
      </c>
      <c r="C339" s="25" t="inlineStr">
        <is>
          <t>Part 1 – General &amp; Programme</t>
        </is>
      </c>
      <c r="D339" s="25" t="inlineStr">
        <is>
          <t>1.6 SYSTEMS DEVELOPMENT, INTEGRATION AND TESTING</t>
        </is>
      </c>
      <c r="E339" s="25" t="inlineStr">
        <is>
          <t>1.6.1 REQUIREMENTS FOR A FULLY INTEGRATED OSS911 SOLUTION</t>
        </is>
      </c>
      <c r="F339" s="25" t="inlineStr">
        <is>
          <t>The BIDDER shall describe in the proposed solution how the entire solution will be configured in a way that is easy to change and does not require major changes to the solution and will allow the administrators to make deployment decisions more robust.</t>
        </is>
      </c>
      <c r="G339" s="19" t="n"/>
      <c r="H339" s="20" t="n"/>
      <c r="I339" s="20" t="n"/>
      <c r="J339" s="19" t="n"/>
      <c r="K339" s="21" t="n"/>
      <c r="L339" s="22">
        <f>IF(OR(J339="",K339=""),"",J339*K339)</f>
        <v/>
      </c>
      <c r="M339" s="19" t="n"/>
      <c r="N339" s="20" t="n"/>
      <c r="O339" s="20" t="n"/>
    </row>
    <row r="340">
      <c r="A340" s="16" t="n">
        <v>337</v>
      </c>
      <c r="B340" s="17" t="inlineStr">
        <is>
          <t>1.6.1.16</t>
        </is>
      </c>
      <c r="C340" s="18" t="inlineStr">
        <is>
          <t>Part 1 – General &amp; Programme</t>
        </is>
      </c>
      <c r="D340" s="18" t="inlineStr">
        <is>
          <t>1.6 SYSTEMS DEVELOPMENT, INTEGRATION AND TESTING</t>
        </is>
      </c>
      <c r="E340" s="18" t="inlineStr">
        <is>
          <t>1.6.1 REQUIREMENTS FOR A FULLY INTEGRATED OSS911 SOLUTION</t>
        </is>
      </c>
      <c r="F340" s="18" t="inlineStr">
        <is>
          <t>The BIDDER shall describe the approach to interfacing in their proposal. These interfaces shall have the capability to allow any external MOI-authorized system, capable of interfacing using Webhooks, JSON, XML, W3C XML Schemas, REST interfaces, etc. to integrate with OSS911 systems to:</t>
        </is>
      </c>
      <c r="G340" s="19" t="n"/>
      <c r="H340" s="20" t="n"/>
      <c r="I340" s="20" t="n"/>
      <c r="J340" s="19" t="n"/>
      <c r="K340" s="21" t="n"/>
      <c r="L340" s="22">
        <f>IF(OR(J340="",K340=""),"",J340*K340)</f>
        <v/>
      </c>
      <c r="M340" s="19" t="n"/>
      <c r="N340" s="20" t="n"/>
      <c r="O340" s="20" t="n"/>
    </row>
    <row r="341">
      <c r="A341" s="23" t="n">
        <v>338</v>
      </c>
      <c r="B341" s="23" t="inlineStr">
        <is>
          <t>1.6.1.16.1</t>
        </is>
      </c>
      <c r="C341" s="25" t="inlineStr">
        <is>
          <t>Part 1 – General &amp; Programme</t>
        </is>
      </c>
      <c r="D341" s="25" t="inlineStr">
        <is>
          <t>1.6 SYSTEMS DEVELOPMENT, INTEGRATION AND TESTING</t>
        </is>
      </c>
      <c r="E341" s="25" t="inlineStr">
        <is>
          <t>1.6.1 REQUIREMENTS FOR A FULLY INTEGRATED OSS911 SOLUTION</t>
        </is>
      </c>
      <c r="F341" s="25" t="inlineStr">
        <is>
          <t>Receive data from OSS911 system as an Incident Record (with details to be agreed during detailed design following contract award)</t>
        </is>
      </c>
      <c r="G341" s="19" t="n"/>
      <c r="H341" s="20" t="n"/>
      <c r="I341" s="20" t="n"/>
      <c r="J341" s="19" t="n"/>
      <c r="K341" s="21" t="n"/>
      <c r="L341" s="22">
        <f>IF(OR(J341="",K341=""),"",J341*K341)</f>
        <v/>
      </c>
      <c r="M341" s="19" t="n"/>
      <c r="N341" s="20" t="n"/>
      <c r="O341" s="20" t="n"/>
    </row>
    <row r="342">
      <c r="A342" s="16" t="n">
        <v>339</v>
      </c>
      <c r="B342" s="16" t="inlineStr">
        <is>
          <t>1.6.1.16.2</t>
        </is>
      </c>
      <c r="C342" s="18" t="inlineStr">
        <is>
          <t>Part 1 – General &amp; Programme</t>
        </is>
      </c>
      <c r="D342" s="18" t="inlineStr">
        <is>
          <t>1.6 SYSTEMS DEVELOPMENT, INTEGRATION AND TESTING</t>
        </is>
      </c>
      <c r="E342" s="18" t="inlineStr">
        <is>
          <t>1.6.1 REQUIREMENTS FOR A FULLY INTEGRATED OSS911 SOLUTION</t>
        </is>
      </c>
      <c r="F342" s="18" t="inlineStr">
        <is>
          <t>Update (Modify / Change / Delete) data to OSS911 system (with details to be agreed during detailed design following contract award)</t>
        </is>
      </c>
      <c r="G342" s="19" t="n"/>
      <c r="H342" s="20" t="n"/>
      <c r="I342" s="20" t="n"/>
      <c r="J342" s="19" t="n"/>
      <c r="K342" s="21" t="n"/>
      <c r="L342" s="22">
        <f>IF(OR(J342="",K342=""),"",J342*K342)</f>
        <v/>
      </c>
      <c r="M342" s="19" t="n"/>
      <c r="N342" s="20" t="n"/>
      <c r="O342" s="20" t="n"/>
    </row>
    <row r="343">
      <c r="A343" s="23" t="n">
        <v>340</v>
      </c>
      <c r="B343" s="24" t="inlineStr">
        <is>
          <t>1.6.1.17</t>
        </is>
      </c>
      <c r="C343" s="25" t="inlineStr">
        <is>
          <t>Part 1 – General &amp; Programme</t>
        </is>
      </c>
      <c r="D343" s="25" t="inlineStr">
        <is>
          <t>1.6 SYSTEMS DEVELOPMENT, INTEGRATION AND TESTING</t>
        </is>
      </c>
      <c r="E343" s="25" t="inlineStr">
        <is>
          <t>1.6.1 REQUIREMENTS FOR A FULLY INTEGRATED OSS911 SOLUTION</t>
        </is>
      </c>
      <c r="F343" s="25" t="inlineStr">
        <is>
          <t>The BIDDER shall describe, explain and annotate all the integration capabilities of their proposed solution including sample interface control documents (ICDs) that include proposed definition of the different fields mentioned in the various integration capabilities in this document.</t>
        </is>
      </c>
      <c r="G343" s="19" t="n"/>
      <c r="H343" s="20" t="n"/>
      <c r="I343" s="20" t="n"/>
      <c r="J343" s="19" t="n"/>
      <c r="K343" s="21" t="n"/>
      <c r="L343" s="22">
        <f>IF(OR(J343="",K343=""),"",J343*K343)</f>
        <v/>
      </c>
      <c r="M343" s="19" t="n"/>
      <c r="N343" s="20" t="n"/>
      <c r="O343" s="20" t="n"/>
    </row>
    <row r="344">
      <c r="A344" s="16" t="n">
        <v>341</v>
      </c>
      <c r="B344" s="17" t="inlineStr">
        <is>
          <t>1.6.1.18</t>
        </is>
      </c>
      <c r="C344" s="18" t="inlineStr">
        <is>
          <t>Part 1 – General &amp; Programme</t>
        </is>
      </c>
      <c r="D344" s="18" t="inlineStr">
        <is>
          <t>1.6 SYSTEMS DEVELOPMENT, INTEGRATION AND TESTING</t>
        </is>
      </c>
      <c r="E344" s="18" t="inlineStr">
        <is>
          <t>1.6.1 REQUIREMENTS FOR A FULLY INTEGRATED OSS911 SOLUTION</t>
        </is>
      </c>
      <c r="F344" s="18" t="inlineStr">
        <is>
          <t>The CONTRACTOR shall deliver an integrated set of OSS911 applications as defined in this RFP as a fully integrated enterprise application product.</t>
        </is>
      </c>
      <c r="G344" s="19" t="n"/>
      <c r="H344" s="20" t="n"/>
      <c r="I344" s="20" t="n"/>
      <c r="J344" s="19" t="n"/>
      <c r="K344" s="21" t="n"/>
      <c r="L344" s="22">
        <f>IF(OR(J344="",K344=""),"",J344*K344)</f>
        <v/>
      </c>
      <c r="M344" s="19" t="n"/>
      <c r="N344" s="20" t="n"/>
      <c r="O344" s="20" t="n"/>
    </row>
    <row r="345">
      <c r="A345" s="23" t="n">
        <v>342</v>
      </c>
      <c r="B345" s="24" t="inlineStr">
        <is>
          <t>1.6.1.19</t>
        </is>
      </c>
      <c r="C345" s="25" t="inlineStr">
        <is>
          <t>Part 1 – General &amp; Programme</t>
        </is>
      </c>
      <c r="D345" s="25" t="inlineStr">
        <is>
          <t>1.6 SYSTEMS DEVELOPMENT, INTEGRATION AND TESTING</t>
        </is>
      </c>
      <c r="E345" s="25" t="inlineStr">
        <is>
          <t>1.6.1 REQUIREMENTS FOR A FULLY INTEGRATED OSS911 SOLUTION</t>
        </is>
      </c>
      <c r="F345" s="25" t="inlineStr">
        <is>
          <t>All components and subsystems of the OSS911 solution shall be fully Arabized following the official KSA Arabic language rules to include the date and time display that follows the official KSA Arabic calendar and which is based on the Umm Al Qura, unless otherwise notified by the MOI.</t>
        </is>
      </c>
      <c r="G345" s="19" t="n"/>
      <c r="H345" s="20" t="n"/>
      <c r="I345" s="20" t="n"/>
      <c r="J345" s="19" t="n"/>
      <c r="K345" s="21" t="n"/>
      <c r="L345" s="22">
        <f>IF(OR(J345="",K345=""),"",J345*K345)</f>
        <v/>
      </c>
      <c r="M345" s="19" t="n"/>
      <c r="N345" s="20" t="n"/>
      <c r="O345" s="20" t="n"/>
    </row>
    <row r="346">
      <c r="A346" s="16" t="n">
        <v>343</v>
      </c>
      <c r="B346" s="17" t="inlineStr">
        <is>
          <t>1.6.1.20</t>
        </is>
      </c>
      <c r="C346" s="18" t="inlineStr">
        <is>
          <t>Part 1 – General &amp; Programme</t>
        </is>
      </c>
      <c r="D346" s="18" t="inlineStr">
        <is>
          <t>1.6 SYSTEMS DEVELOPMENT, INTEGRATION AND TESTING</t>
        </is>
      </c>
      <c r="E346" s="18" t="inlineStr">
        <is>
          <t>1.6.1 REQUIREMENTS FOR A FULLY INTEGRATED OSS911 SOLUTION</t>
        </is>
      </c>
      <c r="F346" s="18" t="inlineStr">
        <is>
          <t>The CONTRACTOR shall supply an integrated suite of applications that utilizes a Service Oriented Architecture (SOA) and integrates the different subsystems of the OSS911 solutions in this document including but not limited to Incident and Resource Management System (IRMS), Common Operational Picture (COP) Solution, IP Telephony solution, Recording solution, all of which shall be interlinked by an Enterprise Service Bus (ESB) and shall be delivered through a Software Defined Network (SDN) in a private cloud infrastructure.</t>
        </is>
      </c>
      <c r="G346" s="19" t="n"/>
      <c r="H346" s="20" t="n"/>
      <c r="I346" s="20" t="n"/>
      <c r="J346" s="19" t="n"/>
      <c r="K346" s="21" t="n"/>
      <c r="L346" s="22">
        <f>IF(OR(J346="",K346=""),"",J346*K346)</f>
        <v/>
      </c>
      <c r="M346" s="19" t="n"/>
      <c r="N346" s="20" t="n"/>
      <c r="O346" s="20" t="n"/>
    </row>
    <row r="347">
      <c r="A347" s="23" t="n">
        <v>344</v>
      </c>
      <c r="B347" s="24" t="inlineStr">
        <is>
          <t>1.6.1.21</t>
        </is>
      </c>
      <c r="C347" s="25" t="inlineStr">
        <is>
          <t>Part 1 – General &amp; Programme</t>
        </is>
      </c>
      <c r="D347" s="25" t="inlineStr">
        <is>
          <t>1.6 SYSTEMS DEVELOPMENT, INTEGRATION AND TESTING</t>
        </is>
      </c>
      <c r="E347" s="25" t="inlineStr">
        <is>
          <t>1.6.1 REQUIREMENTS FOR A FULLY INTEGRATED OSS911 SOLUTION</t>
        </is>
      </c>
      <c r="F347" s="25" t="inlineStr">
        <is>
          <t>The CONTRACTOR shall deliver all OSS911 solutions that are aligned with the high-level concept of operations described for OSS911 in the respective section within this document and with the concept of operations that will be finalized by the MOI during the detailed design stage following the contract start.</t>
        </is>
      </c>
      <c r="G347" s="19" t="n"/>
      <c r="H347" s="20" t="n"/>
      <c r="I347" s="20" t="n"/>
      <c r="J347" s="19" t="n"/>
      <c r="K347" s="21" t="n"/>
      <c r="L347" s="22">
        <f>IF(OR(J347="",K347=""),"",J347*K347)</f>
        <v/>
      </c>
      <c r="M347" s="19" t="n"/>
      <c r="N347" s="20" t="n"/>
      <c r="O347" s="20" t="n"/>
    </row>
    <row r="348">
      <c r="A348" s="16" t="n">
        <v>345</v>
      </c>
      <c r="B348" s="17" t="inlineStr">
        <is>
          <t>1.6.1.22</t>
        </is>
      </c>
      <c r="C348" s="18" t="inlineStr">
        <is>
          <t>Part 1 – General &amp; Programme</t>
        </is>
      </c>
      <c r="D348" s="18" t="inlineStr">
        <is>
          <t>1.6 SYSTEMS DEVELOPMENT, INTEGRATION AND TESTING</t>
        </is>
      </c>
      <c r="E348" s="18" t="inlineStr">
        <is>
          <t>1.6.1 REQUIREMENTS FOR A FULLY INTEGRATED OSS911 SOLUTION</t>
        </is>
      </c>
      <c r="F348" s="18" t="inlineStr">
        <is>
          <t>The CONTRACTOR shall supply and deliver an Enterprise Service Bus (ESB) for message brokering between various OSS911 systems, subsystems and applications, orchestration, mediation, transformation and routing of services and events.</t>
        </is>
      </c>
      <c r="G348" s="19" t="n"/>
      <c r="H348" s="20" t="n"/>
      <c r="I348" s="20" t="n"/>
      <c r="J348" s="19" t="n"/>
      <c r="K348" s="21" t="n"/>
      <c r="L348" s="22">
        <f>IF(OR(J348="",K348=""),"",J348*K348)</f>
        <v/>
      </c>
      <c r="M348" s="19" t="n"/>
      <c r="N348" s="20" t="n"/>
      <c r="O348" s="20" t="n"/>
    </row>
    <row r="349">
      <c r="A349" s="23" t="n">
        <v>346</v>
      </c>
      <c r="B349" s="24" t="inlineStr">
        <is>
          <t>1.6.1.23</t>
        </is>
      </c>
      <c r="C349" s="25" t="inlineStr">
        <is>
          <t>Part 1 – General &amp; Programme</t>
        </is>
      </c>
      <c r="D349" s="25" t="inlineStr">
        <is>
          <t>1.6 SYSTEMS DEVELOPMENT, INTEGRATION AND TESTING</t>
        </is>
      </c>
      <c r="E349" s="25" t="inlineStr">
        <is>
          <t>1.6.1 REQUIREMENTS FOR A FULLY INTEGRATED OSS911 SOLUTION</t>
        </is>
      </c>
      <c r="F349" s="25" t="inlineStr">
        <is>
          <t>All the CONTRACTOR solutions shall be capable of independent deployment of services and components therein.</t>
        </is>
      </c>
      <c r="G349" s="19" t="n"/>
      <c r="H349" s="20" t="n"/>
      <c r="I349" s="20" t="n"/>
      <c r="J349" s="19" t="n"/>
      <c r="K349" s="21" t="n"/>
      <c r="L349" s="22">
        <f>IF(OR(J349="",K349=""),"",J349*K349)</f>
        <v/>
      </c>
      <c r="M349" s="19" t="n"/>
      <c r="N349" s="20" t="n"/>
      <c r="O349" s="20" t="n"/>
    </row>
    <row r="350">
      <c r="A350" s="16" t="n">
        <v>347</v>
      </c>
      <c r="B350" s="17" t="inlineStr">
        <is>
          <t>1.6.1.24</t>
        </is>
      </c>
      <c r="C350" s="18" t="inlineStr">
        <is>
          <t>Part 1 – General &amp; Programme</t>
        </is>
      </c>
      <c r="D350" s="18" t="inlineStr">
        <is>
          <t>1.6 SYSTEMS DEVELOPMENT, INTEGRATION AND TESTING</t>
        </is>
      </c>
      <c r="E350" s="18" t="inlineStr">
        <is>
          <t>1.6.1 REQUIREMENTS FOR A FULLY INTEGRATED OSS911 SOLUTION</t>
        </is>
      </c>
      <c r="F350" s="18" t="inlineStr">
        <is>
          <t>All the CONTRACTOR solutions shall be automated for start, stop, recovery and restart of components.</t>
        </is>
      </c>
      <c r="G350" s="19" t="n"/>
      <c r="H350" s="20" t="n"/>
      <c r="I350" s="20" t="n"/>
      <c r="J350" s="19" t="n"/>
      <c r="K350" s="21" t="n"/>
      <c r="L350" s="22">
        <f>IF(OR(J350="",K350=""),"",J350*K350)</f>
        <v/>
      </c>
      <c r="M350" s="19" t="n"/>
      <c r="N350" s="20" t="n"/>
      <c r="O350" s="20" t="n"/>
    </row>
    <row r="351">
      <c r="A351" s="23" t="n">
        <v>348</v>
      </c>
      <c r="B351" s="24" t="inlineStr">
        <is>
          <t>1.6.1.25</t>
        </is>
      </c>
      <c r="C351" s="25" t="inlineStr">
        <is>
          <t>Part 1 – General &amp; Programme</t>
        </is>
      </c>
      <c r="D351" s="25" t="inlineStr">
        <is>
          <t>1.6 SYSTEMS DEVELOPMENT, INTEGRATION AND TESTING</t>
        </is>
      </c>
      <c r="E351" s="25" t="inlineStr">
        <is>
          <t>1.6.1 REQUIREMENTS FOR A FULLY INTEGRATED OSS911 SOLUTION</t>
        </is>
      </c>
      <c r="F351" s="25" t="inlineStr">
        <is>
          <t>The CONTRACTOR solution shall be enabled for minimal service disruption and/or interruption during updates, and shall be capable of rollback in case of update failures.</t>
        </is>
      </c>
      <c r="G351" s="19" t="n"/>
      <c r="H351" s="20" t="n"/>
      <c r="I351" s="20" t="n"/>
      <c r="J351" s="19" t="n"/>
      <c r="K351" s="21" t="n"/>
      <c r="L351" s="22">
        <f>IF(OR(J351="",K351=""),"",J351*K351)</f>
        <v/>
      </c>
      <c r="M351" s="19" t="n"/>
      <c r="N351" s="20" t="n"/>
      <c r="O351" s="20" t="n"/>
    </row>
    <row r="352">
      <c r="A352" s="16" t="n">
        <v>349</v>
      </c>
      <c r="B352" s="17" t="inlineStr">
        <is>
          <t>1.6.1.26</t>
        </is>
      </c>
      <c r="C352" s="18" t="inlineStr">
        <is>
          <t>Part 1 – General &amp; Programme</t>
        </is>
      </c>
      <c r="D352" s="18" t="inlineStr">
        <is>
          <t>1.6 SYSTEMS DEVELOPMENT, INTEGRATION AND TESTING</t>
        </is>
      </c>
      <c r="E352" s="18" t="inlineStr">
        <is>
          <t>1.6.1 REQUIREMENTS FOR A FULLY INTEGRATED OSS911 SOLUTION</t>
        </is>
      </c>
      <c r="F352" s="18" t="inlineStr">
        <is>
          <t>The CONTRACTOR shall deploy all the OSS911 applications with a secure web-based front-end that provides all the functionalities of a ‘thick’ client.</t>
        </is>
      </c>
      <c r="G352" s="19" t="n"/>
      <c r="H352" s="20" t="n"/>
      <c r="I352" s="20" t="n"/>
      <c r="J352" s="19" t="n"/>
      <c r="K352" s="21" t="n"/>
      <c r="L352" s="22">
        <f>IF(OR(J352="",K352=""),"",J352*K352)</f>
        <v/>
      </c>
      <c r="M352" s="19" t="n"/>
      <c r="N352" s="20" t="n"/>
      <c r="O352" s="20" t="n"/>
    </row>
    <row r="353">
      <c r="A353" s="23" t="n">
        <v>350</v>
      </c>
      <c r="B353" s="24" t="inlineStr">
        <is>
          <t>1.6.1.27</t>
        </is>
      </c>
      <c r="C353" s="25" t="inlineStr">
        <is>
          <t>Part 1 – General &amp; Programme</t>
        </is>
      </c>
      <c r="D353" s="25" t="inlineStr">
        <is>
          <t>1.6 SYSTEMS DEVELOPMENT, INTEGRATION AND TESTING</t>
        </is>
      </c>
      <c r="E353" s="25" t="inlineStr">
        <is>
          <t>1.6.1 REQUIREMENTS FOR A FULLY INTEGRATED OSS911 SOLUTION</t>
        </is>
      </c>
      <c r="F353" s="25" t="inlineStr">
        <is>
          <t>The CONTRACTOR shall deliver all OSS911 applications as commercial-off-the-shelf (COTS) products with required features requiring customization in interfacing and integration with third-parties, custom reports, custom user interface and custom data representation among other things.</t>
        </is>
      </c>
      <c r="G353" s="19" t="n"/>
      <c r="H353" s="20" t="n"/>
      <c r="I353" s="20" t="n"/>
      <c r="J353" s="19" t="n"/>
      <c r="K353" s="21" t="n"/>
      <c r="L353" s="22">
        <f>IF(OR(J353="",K353=""),"",J353*K353)</f>
        <v/>
      </c>
      <c r="M353" s="19" t="n"/>
      <c r="N353" s="20" t="n"/>
      <c r="O353" s="20" t="n"/>
    </row>
    <row r="354">
      <c r="A354" s="16" t="n">
        <v>351</v>
      </c>
      <c r="B354" s="17" t="inlineStr">
        <is>
          <t>1.6.1.28</t>
        </is>
      </c>
      <c r="C354" s="18" t="inlineStr">
        <is>
          <t>Part 1 – General &amp; Programme</t>
        </is>
      </c>
      <c r="D354" s="18" t="inlineStr">
        <is>
          <t>1.6 SYSTEMS DEVELOPMENT, INTEGRATION AND TESTING</t>
        </is>
      </c>
      <c r="E354" s="18" t="inlineStr">
        <is>
          <t>1.6.1 REQUIREMENTS FOR A FULLY INTEGRATED OSS911 SOLUTION</t>
        </is>
      </c>
      <c r="F354" s="18" t="inlineStr">
        <is>
          <t>The CONTRACTOR shall deliver all OSS911 COTS applications which have been in the market for at least five years and which are the latest Original Equipment Manufacturer (OEM) versions of the COTS application vendor and which shall not have OEM end-of-life and/or end- of-support for the next five years.</t>
        </is>
      </c>
      <c r="G354" s="19" t="n"/>
      <c r="H354" s="20" t="n"/>
      <c r="I354" s="20" t="n"/>
      <c r="J354" s="19" t="n"/>
      <c r="K354" s="21" t="n"/>
      <c r="L354" s="22">
        <f>IF(OR(J354="",K354=""),"",J354*K354)</f>
        <v/>
      </c>
      <c r="M354" s="19" t="n"/>
      <c r="N354" s="20" t="n"/>
      <c r="O354" s="20" t="n"/>
    </row>
    <row r="355">
      <c r="A355" s="23" t="n">
        <v>352</v>
      </c>
      <c r="B355" s="24" t="inlineStr">
        <is>
          <t>1.6.1.29</t>
        </is>
      </c>
      <c r="C355" s="25" t="inlineStr">
        <is>
          <t>Part 1 – General &amp; Programme</t>
        </is>
      </c>
      <c r="D355" s="25" t="inlineStr">
        <is>
          <t>1.6 SYSTEMS DEVELOPMENT, INTEGRATION AND TESTING</t>
        </is>
      </c>
      <c r="E355" s="25" t="inlineStr">
        <is>
          <t>1.6.1 REQUIREMENTS FOR A FULLY INTEGRATED OSS911 SOLUTION</t>
        </is>
      </c>
      <c r="F355" s="25" t="inlineStr">
        <is>
          <t>The CONTRACTOR solutions shall comply with the data and transport security requirements for OSS911 center outlined in this document and with the MOI security standards and policies.</t>
        </is>
      </c>
      <c r="G355" s="19" t="n"/>
      <c r="H355" s="20" t="n"/>
      <c r="I355" s="20" t="n"/>
      <c r="J355" s="19" t="n"/>
      <c r="K355" s="21" t="n"/>
      <c r="L355" s="22">
        <f>IF(OR(J355="",K355=""),"",J355*K355)</f>
        <v/>
      </c>
      <c r="M355" s="19" t="n"/>
      <c r="N355" s="20" t="n"/>
      <c r="O355" s="20" t="n"/>
    </row>
    <row r="356">
      <c r="A356" s="16" t="n">
        <v>353</v>
      </c>
      <c r="B356" s="17" t="inlineStr">
        <is>
          <t>1.6.1.30</t>
        </is>
      </c>
      <c r="C356" s="18" t="inlineStr">
        <is>
          <t>Part 1 – General &amp; Programme</t>
        </is>
      </c>
      <c r="D356" s="18" t="inlineStr">
        <is>
          <t>1.6 SYSTEMS DEVELOPMENT, INTEGRATION AND TESTING</t>
        </is>
      </c>
      <c r="E356" s="18" t="inlineStr">
        <is>
          <t>1.6.1 REQUIREMENTS FOR A FULLY INTEGRATED OSS911 SOLUTION</t>
        </is>
      </c>
      <c r="F356" s="18" t="inlineStr">
        <is>
          <t>The CONTRACTOR shall deliver OSS911 systems interfaces allowing the OSS911 applications to:</t>
        </is>
      </c>
      <c r="G356" s="19" t="n"/>
      <c r="H356" s="20" t="n"/>
      <c r="I356" s="20" t="n"/>
      <c r="J356" s="19" t="n"/>
      <c r="K356" s="21" t="n"/>
      <c r="L356" s="22">
        <f>IF(OR(J356="",K356=""),"",J356*K356)</f>
        <v/>
      </c>
      <c r="M356" s="19" t="n"/>
      <c r="N356" s="20" t="n"/>
      <c r="O356" s="20" t="n"/>
    </row>
    <row r="357">
      <c r="A357" s="23" t="n">
        <v>354</v>
      </c>
      <c r="B357" s="23" t="inlineStr">
        <is>
          <t>1.6.1.30.1</t>
        </is>
      </c>
      <c r="C357" s="25" t="inlineStr">
        <is>
          <t>Part 1 – General &amp; Programme</t>
        </is>
      </c>
      <c r="D357" s="25" t="inlineStr">
        <is>
          <t>1.6 SYSTEMS DEVELOPMENT, INTEGRATION AND TESTING</t>
        </is>
      </c>
      <c r="E357" s="25" t="inlineStr">
        <is>
          <t>1.6.1 REQUIREMENTS FOR A FULLY INTEGRATED OSS911 SOLUTION</t>
        </is>
      </c>
      <c r="F357" s="25" t="inlineStr">
        <is>
          <t>Be able to locate transparently across the network, thus providing interaction with another service or application</t>
        </is>
      </c>
      <c r="G357" s="19" t="n"/>
      <c r="H357" s="20" t="n"/>
      <c r="I357" s="20" t="n"/>
      <c r="J357" s="19" t="n"/>
      <c r="K357" s="21" t="n"/>
      <c r="L357" s="22">
        <f>IF(OR(J357="",K357=""),"",J357*K357)</f>
        <v/>
      </c>
      <c r="M357" s="19" t="n"/>
      <c r="N357" s="20" t="n"/>
      <c r="O357" s="20" t="n"/>
    </row>
    <row r="358">
      <c r="A358" s="16" t="n">
        <v>355</v>
      </c>
      <c r="B358" s="16" t="inlineStr">
        <is>
          <t>1.6.1.30.2</t>
        </is>
      </c>
      <c r="C358" s="18" t="inlineStr">
        <is>
          <t>Part 1 – General &amp; Programme</t>
        </is>
      </c>
      <c r="D358" s="18" t="inlineStr">
        <is>
          <t>1.6 SYSTEMS DEVELOPMENT, INTEGRATION AND TESTING</t>
        </is>
      </c>
      <c r="E358" s="18" t="inlineStr">
        <is>
          <t>1.6.1 REQUIREMENTS FOR A FULLY INTEGRATED OSS911 SOLUTION</t>
        </is>
      </c>
      <c r="F358" s="18" t="inlineStr">
        <is>
          <t>Be independent from network services</t>
        </is>
      </c>
      <c r="G358" s="19" t="n"/>
      <c r="H358" s="20" t="n"/>
      <c r="I358" s="20" t="n"/>
      <c r="J358" s="19" t="n"/>
      <c r="K358" s="21" t="n"/>
      <c r="L358" s="22">
        <f>IF(OR(J358="",K358=""),"",J358*K358)</f>
        <v/>
      </c>
      <c r="M358" s="19" t="n"/>
      <c r="N358" s="20" t="n"/>
      <c r="O358" s="20" t="n"/>
    </row>
    <row r="359">
      <c r="A359" s="23" t="n">
        <v>356</v>
      </c>
      <c r="B359" s="23" t="inlineStr">
        <is>
          <t>1.6.1.30.3</t>
        </is>
      </c>
      <c r="C359" s="25" t="inlineStr">
        <is>
          <t>Part 1 – General &amp; Programme</t>
        </is>
      </c>
      <c r="D359" s="25" t="inlineStr">
        <is>
          <t>1.6 SYSTEMS DEVELOPMENT, INTEGRATION AND TESTING</t>
        </is>
      </c>
      <c r="E359" s="25" t="inlineStr">
        <is>
          <t>1.6.1 REQUIREMENTS FOR A FULLY INTEGRATED OSS911 SOLUTION</t>
        </is>
      </c>
      <c r="F359" s="25" t="inlineStr">
        <is>
          <t>Be reliable and always available</t>
        </is>
      </c>
      <c r="G359" s="19" t="n"/>
      <c r="H359" s="20" t="n"/>
      <c r="I359" s="20" t="n"/>
      <c r="J359" s="19" t="n"/>
      <c r="K359" s="21" t="n"/>
      <c r="L359" s="22">
        <f>IF(OR(J359="",K359=""),"",J359*K359)</f>
        <v/>
      </c>
      <c r="M359" s="19" t="n"/>
      <c r="N359" s="20" t="n"/>
      <c r="O359" s="20" t="n"/>
    </row>
    <row r="360">
      <c r="A360" s="16" t="n">
        <v>357</v>
      </c>
      <c r="B360" s="17" t="inlineStr">
        <is>
          <t>1.6.1.31</t>
        </is>
      </c>
      <c r="C360" s="18" t="inlineStr">
        <is>
          <t>Part 1 – General &amp; Programme</t>
        </is>
      </c>
      <c r="D360" s="18" t="inlineStr">
        <is>
          <t>1.6 SYSTEMS DEVELOPMENT, INTEGRATION AND TESTING</t>
        </is>
      </c>
      <c r="E360" s="18" t="inlineStr">
        <is>
          <t>1.6.1 REQUIREMENTS FOR A FULLY INTEGRATED OSS911 SOLUTION</t>
        </is>
      </c>
      <c r="F360" s="18" t="inlineStr">
        <is>
          <t>The CONTRACTOR shall implement full lifecycle management for all OSS911 solutions including but not limited to versioning and backward compatibility, controlled deprecation of services and contract management (schemas, APIs).</t>
        </is>
      </c>
      <c r="G360" s="19" t="n"/>
      <c r="H360" s="20" t="n"/>
      <c r="I360" s="20" t="n"/>
      <c r="J360" s="19" t="n"/>
      <c r="K360" s="21" t="n"/>
      <c r="L360" s="22">
        <f>IF(OR(J360="",K360=""),"",J360*K360)</f>
        <v/>
      </c>
      <c r="M360" s="19" t="n"/>
      <c r="N360" s="20" t="n"/>
      <c r="O360" s="20" t="n"/>
    </row>
    <row r="361">
      <c r="A361" s="23" t="n">
        <v>358</v>
      </c>
      <c r="B361" s="24" t="inlineStr">
        <is>
          <t>1.6.1.32</t>
        </is>
      </c>
      <c r="C361" s="25" t="inlineStr">
        <is>
          <t>Part 1 – General &amp; Programme</t>
        </is>
      </c>
      <c r="D361" s="25" t="inlineStr">
        <is>
          <t>1.6 SYSTEMS DEVELOPMENT, INTEGRATION AND TESTING</t>
        </is>
      </c>
      <c r="E361" s="25" t="inlineStr">
        <is>
          <t>1.6.1 REQUIREMENTS FOR A FULLY INTEGRATED OSS911 SOLUTION</t>
        </is>
      </c>
      <c r="F361" s="25" t="inlineStr">
        <is>
          <t>The CONTRACTOR OSS911 solutions shall be capable of synchronous and asynchronous integration patters, depending on the use case finalization with the MOI.</t>
        </is>
      </c>
      <c r="G361" s="19" t="n"/>
      <c r="H361" s="20" t="n"/>
      <c r="I361" s="20" t="n"/>
      <c r="J361" s="19" t="n"/>
      <c r="K361" s="21" t="n"/>
      <c r="L361" s="22">
        <f>IF(OR(J361="",K361=""),"",J361*K361)</f>
        <v/>
      </c>
      <c r="M361" s="19" t="n"/>
      <c r="N361" s="20" t="n"/>
      <c r="O361" s="20" t="n"/>
    </row>
    <row r="362">
      <c r="A362" s="16" t="n">
        <v>359</v>
      </c>
      <c r="B362" s="17" t="inlineStr">
        <is>
          <t>1.6.1.33</t>
        </is>
      </c>
      <c r="C362" s="18" t="inlineStr">
        <is>
          <t>Part 1 – General &amp; Programme</t>
        </is>
      </c>
      <c r="D362" s="18" t="inlineStr">
        <is>
          <t>1.6 SYSTEMS DEVELOPMENT, INTEGRATION AND TESTING</t>
        </is>
      </c>
      <c r="E362" s="18" t="inlineStr">
        <is>
          <t>1.6.1 REQUIREMENTS FOR A FULLY INTEGRATED OSS911 SOLUTION</t>
        </is>
      </c>
      <c r="F362" s="18" t="inlineStr">
        <is>
          <t>The CONTRACTOR shall deliver an OSS911 solution that shall be integrated with the Automatic Location Identification (ALI) information available from the sources defined by MOI which include but are not limited to the National Information Center (NIC), the National Center for Security Operations (NCSO) and any third-party service provider that include technologies such as Advanced Mobile Location (AML), Enhanced Location Services (ELS) and eCall Minimum Set of Data (MSD).</t>
        </is>
      </c>
      <c r="G362" s="19" t="n"/>
      <c r="H362" s="20" t="n"/>
      <c r="I362" s="20" t="n"/>
      <c r="J362" s="19" t="n"/>
      <c r="K362" s="21" t="n"/>
      <c r="L362" s="22">
        <f>IF(OR(J362="",K362=""),"",J362*K362)</f>
        <v/>
      </c>
      <c r="M362" s="19" t="n"/>
      <c r="N362" s="20" t="n"/>
      <c r="O362" s="20" t="n"/>
    </row>
    <row r="363">
      <c r="A363" s="23" t="n">
        <v>360</v>
      </c>
      <c r="B363" s="24" t="inlineStr">
        <is>
          <t>1.6.1.34</t>
        </is>
      </c>
      <c r="C363" s="25" t="inlineStr">
        <is>
          <t>Part 1 – General &amp; Programme</t>
        </is>
      </c>
      <c r="D363" s="25" t="inlineStr">
        <is>
          <t>1.6 SYSTEMS DEVELOPMENT, INTEGRATION AND TESTING</t>
        </is>
      </c>
      <c r="E363" s="25" t="inlineStr">
        <is>
          <t>1.6.1 REQUIREMENTS FOR A FULLY INTEGRATED OSS911 SOLUTION</t>
        </is>
      </c>
      <c r="F363" s="25" t="inlineStr">
        <is>
          <t>The word “location” as mentioned in this document anywhere includes the location returned from any of the sources authorized by the MOI.</t>
        </is>
      </c>
      <c r="G363" s="19" t="n"/>
      <c r="H363" s="20" t="n"/>
      <c r="I363" s="20" t="n"/>
      <c r="J363" s="19" t="n"/>
      <c r="K363" s="21" t="n"/>
      <c r="L363" s="22">
        <f>IF(OR(J363="",K363=""),"",J363*K363)</f>
        <v/>
      </c>
      <c r="M363" s="19" t="n"/>
      <c r="N363" s="20" t="n"/>
      <c r="O363" s="20" t="n"/>
    </row>
    <row r="364">
      <c r="A364" s="16" t="n">
        <v>361</v>
      </c>
      <c r="B364" s="17" t="inlineStr">
        <is>
          <t>1.6.1.35</t>
        </is>
      </c>
      <c r="C364" s="18" t="inlineStr">
        <is>
          <t>Part 1 – General &amp; Programme</t>
        </is>
      </c>
      <c r="D364" s="18" t="inlineStr">
        <is>
          <t>1.6 SYSTEMS DEVELOPMENT, INTEGRATION AND TESTING</t>
        </is>
      </c>
      <c r="E364" s="18" t="inlineStr">
        <is>
          <t>1.6.1 REQUIREMENTS FOR A FULLY INTEGRATED OSS911 SOLUTION</t>
        </is>
      </c>
      <c r="F364" s="18" t="inlineStr">
        <is>
          <t>The CONTRACTOR solution shall ensure that all the location data returned from any location source including the latitude, longitude, radius, time of positioning and level of confidence, and the eCall MSD is decoded and presented on the IRMS and stored in all the OSS911 solution databases and tagged with the related calls, incidents and alerts.</t>
        </is>
      </c>
      <c r="G364" s="19" t="n"/>
      <c r="H364" s="20" t="n"/>
      <c r="I364" s="20" t="n"/>
      <c r="J364" s="19" t="n"/>
      <c r="K364" s="21" t="n"/>
      <c r="L364" s="22">
        <f>IF(OR(J364="",K364=""),"",J364*K364)</f>
        <v/>
      </c>
      <c r="M364" s="19" t="n"/>
      <c r="N364" s="20" t="n"/>
      <c r="O364" s="20" t="n"/>
    </row>
    <row r="365">
      <c r="A365" s="23" t="n">
        <v>362</v>
      </c>
      <c r="B365" s="24" t="inlineStr">
        <is>
          <t>1.6.1.36</t>
        </is>
      </c>
      <c r="C365" s="25" t="inlineStr">
        <is>
          <t>Part 1 – General &amp; Programme</t>
        </is>
      </c>
      <c r="D365" s="25" t="inlineStr">
        <is>
          <t>1.6 SYSTEMS DEVELOPMENT, INTEGRATION AND TESTING</t>
        </is>
      </c>
      <c r="E365" s="25" t="inlineStr">
        <is>
          <t>1.6.1 REQUIREMENTS FOR A FULLY INTEGRATED OSS911 SOLUTION</t>
        </is>
      </c>
      <c r="F365" s="25" t="inlineStr">
        <is>
          <t>The CONTRACTOR solution shall ensure that all the location data is presented to the operator in IRMS within the incident capture/creation forms of the computer aided dispatch solution and within the softphone / software telephony console that receives the emergency call at the operator – this presentation shall include the location source, the location coordinates and all the location attributes.</t>
        </is>
      </c>
      <c r="G365" s="19" t="n"/>
      <c r="H365" s="20" t="n"/>
      <c r="I365" s="20" t="n"/>
      <c r="J365" s="19" t="n"/>
      <c r="K365" s="21" t="n"/>
      <c r="L365" s="22">
        <f>IF(OR(J365="",K365=""),"",J365*K365)</f>
        <v/>
      </c>
      <c r="M365" s="19" t="n"/>
      <c r="N365" s="20" t="n"/>
      <c r="O365" s="20" t="n"/>
    </row>
    <row r="366">
      <c r="A366" s="16" t="n">
        <v>363</v>
      </c>
      <c r="B366" s="17" t="inlineStr">
        <is>
          <t>1.6.1.37</t>
        </is>
      </c>
      <c r="C366" s="18" t="inlineStr">
        <is>
          <t>Part 1 – General &amp; Programme</t>
        </is>
      </c>
      <c r="D366" s="18" t="inlineStr">
        <is>
          <t>1.6 SYSTEMS DEVELOPMENT, INTEGRATION AND TESTING</t>
        </is>
      </c>
      <c r="E366" s="18" t="inlineStr">
        <is>
          <t>1.6.1 REQUIREMENTS FOR A FULLY INTEGRATED OSS911 SOLUTION</t>
        </is>
      </c>
      <c r="F366" s="18" t="inlineStr">
        <is>
          <t>The CONTRACTOR shall deliver an OSS911 solution that shall be integrated with the Automatic Number Identification (ANI) information available from the telephony service providers and/or sources identified by the MOI.</t>
        </is>
      </c>
      <c r="G366" s="19" t="n"/>
      <c r="H366" s="20" t="n"/>
      <c r="I366" s="20" t="n"/>
      <c r="J366" s="19" t="n"/>
      <c r="K366" s="21" t="n"/>
      <c r="L366" s="22">
        <f>IF(OR(J366="",K366=""),"",J366*K366)</f>
        <v/>
      </c>
      <c r="M366" s="19" t="n"/>
      <c r="N366" s="20" t="n"/>
      <c r="O366" s="20" t="n"/>
    </row>
    <row r="367">
      <c r="A367" s="23" t="n">
        <v>364</v>
      </c>
      <c r="B367" s="24" t="inlineStr">
        <is>
          <t>1.6.1.38</t>
        </is>
      </c>
      <c r="C367" s="25" t="inlineStr">
        <is>
          <t>Part 1 – General &amp; Programme</t>
        </is>
      </c>
      <c r="D367" s="25" t="inlineStr">
        <is>
          <t>1.6 SYSTEMS DEVELOPMENT, INTEGRATION AND TESTING</t>
        </is>
      </c>
      <c r="E367" s="25" t="inlineStr">
        <is>
          <t>1.6.1 REQUIREMENTS FOR A FULLY INTEGRATED OSS911 SOLUTION</t>
        </is>
      </c>
      <c r="F367" s="25" t="inlineStr">
        <is>
          <t>The CONTRACTOR shall be responsible for ensuring that the capability exists for collecting, storing and presenting or displaying the caller ID information from each of the external telephone service providers while identifying the service provider from which the call was received and the incoming source from which the call was received.</t>
        </is>
      </c>
      <c r="G367" s="19" t="n"/>
      <c r="H367" s="20" t="n"/>
      <c r="I367" s="20" t="n"/>
      <c r="J367" s="19" t="n"/>
      <c r="K367" s="21" t="n"/>
      <c r="L367" s="22">
        <f>IF(OR(J367="",K367=""),"",J367*K367)</f>
        <v/>
      </c>
      <c r="M367" s="19" t="n"/>
      <c r="N367" s="20" t="n"/>
      <c r="O367" s="20" t="n"/>
    </row>
    <row r="368">
      <c r="A368" s="16" t="n">
        <v>365</v>
      </c>
      <c r="B368" s="17" t="inlineStr">
        <is>
          <t>1.6.1.39</t>
        </is>
      </c>
      <c r="C368" s="18" t="inlineStr">
        <is>
          <t>Part 1 – General &amp; Programme</t>
        </is>
      </c>
      <c r="D368" s="18" t="inlineStr">
        <is>
          <t>1.6 SYSTEMS DEVELOPMENT, INTEGRATION AND TESTING</t>
        </is>
      </c>
      <c r="E368" s="18" t="inlineStr">
        <is>
          <t>1.6.1 REQUIREMENTS FOR A FULLY INTEGRATED OSS911 SOLUTION</t>
        </is>
      </c>
      <c r="F368" s="18" t="inlineStr">
        <is>
          <t>The CONTRACTOR delivered OSS911 solutions shall retrieve and store call detail records information from the telephony service providers and/or sources identified by the MOI.</t>
        </is>
      </c>
      <c r="G368" s="19" t="n"/>
      <c r="H368" s="20" t="n"/>
      <c r="I368" s="20" t="n"/>
      <c r="J368" s="19" t="n"/>
      <c r="K368" s="21" t="n"/>
      <c r="L368" s="22">
        <f>IF(OR(J368="",K368=""),"",J368*K368)</f>
        <v/>
      </c>
      <c r="M368" s="19" t="n"/>
      <c r="N368" s="20" t="n"/>
      <c r="O368" s="20" t="n"/>
    </row>
    <row r="369">
      <c r="A369" s="23" t="n">
        <v>366</v>
      </c>
      <c r="B369" s="24" t="inlineStr">
        <is>
          <t>1.6.1.40</t>
        </is>
      </c>
      <c r="C369" s="25" t="inlineStr">
        <is>
          <t>Part 1 – General &amp; Programme</t>
        </is>
      </c>
      <c r="D369" s="25" t="inlineStr">
        <is>
          <t>1.6 SYSTEMS DEVELOPMENT, INTEGRATION AND TESTING</t>
        </is>
      </c>
      <c r="E369" s="25" t="inlineStr">
        <is>
          <t>1.6.1 REQUIREMENTS FOR A FULLY INTEGRATED OSS911 SOLUTION</t>
        </is>
      </c>
      <c r="F369" s="25" t="inlineStr">
        <is>
          <t>The CONTRACTOR shall deliver an OSS911 solution that shall be integrated with the caller information database available from the National Information Center (NIC) and/or other sources identified by the MOI.</t>
        </is>
      </c>
      <c r="G369" s="19" t="n"/>
      <c r="H369" s="20" t="n"/>
      <c r="I369" s="20" t="n"/>
      <c r="J369" s="19" t="n"/>
      <c r="K369" s="21" t="n"/>
      <c r="L369" s="22">
        <f>IF(OR(J369="",K369=""),"",J369*K369)</f>
        <v/>
      </c>
      <c r="M369" s="19" t="n"/>
      <c r="N369" s="20" t="n"/>
      <c r="O369" s="20" t="n"/>
    </row>
    <row r="370">
      <c r="A370" s="16" t="n">
        <v>367</v>
      </c>
      <c r="B370" s="17" t="inlineStr">
        <is>
          <t>1.6.1.41</t>
        </is>
      </c>
      <c r="C370" s="18" t="inlineStr">
        <is>
          <t>Part 1 – General &amp; Programme</t>
        </is>
      </c>
      <c r="D370" s="18" t="inlineStr">
        <is>
          <t>1.6 SYSTEMS DEVELOPMENT, INTEGRATION AND TESTING</t>
        </is>
      </c>
      <c r="E370" s="18" t="inlineStr">
        <is>
          <t>1.6.1 REQUIREMENTS FOR A FULLY INTEGRATED OSS911 SOLUTION</t>
        </is>
      </c>
      <c r="F370" s="18" t="inlineStr">
        <is>
          <t>The CONTRACTOR solution shall allow the population of the OSS911 systems’ fields with relevant person information available from the different integrations – such as but not limited to the address, the national water company meter location identification data, and Saudi electricity company meter location data.</t>
        </is>
      </c>
      <c r="G370" s="19" t="n"/>
      <c r="H370" s="20" t="n"/>
      <c r="I370" s="20" t="n"/>
      <c r="J370" s="19" t="n"/>
      <c r="K370" s="21" t="n"/>
      <c r="L370" s="22">
        <f>IF(OR(J370="",K370=""),"",J370*K370)</f>
        <v/>
      </c>
      <c r="M370" s="19" t="n"/>
      <c r="N370" s="20" t="n"/>
      <c r="O370" s="20" t="n"/>
    </row>
    <row r="371">
      <c r="A371" s="23" t="n">
        <v>368</v>
      </c>
      <c r="B371" s="24" t="inlineStr">
        <is>
          <t>1.6.1.42</t>
        </is>
      </c>
      <c r="C371" s="25" t="inlineStr">
        <is>
          <t>Part 1 – General &amp; Programme</t>
        </is>
      </c>
      <c r="D371" s="25" t="inlineStr">
        <is>
          <t>1.6 SYSTEMS DEVELOPMENT, INTEGRATION AND TESTING</t>
        </is>
      </c>
      <c r="E371" s="25" t="inlineStr">
        <is>
          <t>1.6.1 REQUIREMENTS FOR A FULLY INTEGRATED OSS911 SOLUTION</t>
        </is>
      </c>
      <c r="F371" s="25" t="inlineStr">
        <is>
          <t>The CONTRACTOR shall deliver an OSS911 solution that is integrated with MOI-authorized databases including but not limited to vehicle owner, vehicle license plate information, residence information, visitor information databases etc.</t>
        </is>
      </c>
      <c r="G371" s="19" t="n"/>
      <c r="H371" s="20" t="n"/>
      <c r="I371" s="20" t="n"/>
      <c r="J371" s="19" t="n"/>
      <c r="K371" s="21" t="n"/>
      <c r="L371" s="22">
        <f>IF(OR(J371="",K371=""),"",J371*K371)</f>
        <v/>
      </c>
      <c r="M371" s="19" t="n"/>
      <c r="N371" s="20" t="n"/>
      <c r="O371" s="20" t="n"/>
    </row>
    <row r="372">
      <c r="A372" s="16" t="n">
        <v>369</v>
      </c>
      <c r="B372" s="17" t="inlineStr">
        <is>
          <t>1.6.1.43</t>
        </is>
      </c>
      <c r="C372" s="18" t="inlineStr">
        <is>
          <t>Part 1 – General &amp; Programme</t>
        </is>
      </c>
      <c r="D372" s="18" t="inlineStr">
        <is>
          <t>1.6 SYSTEMS DEVELOPMENT, INTEGRATION AND TESTING</t>
        </is>
      </c>
      <c r="E372" s="18" t="inlineStr">
        <is>
          <t>1.6.1 REQUIREMENTS FOR A FULLY INTEGRATED OSS911 SOLUTION</t>
        </is>
      </c>
      <c r="F372" s="18" t="inlineStr">
        <is>
          <t>The CONTRACTOR delivered solution for OSS911 shall include a gazetteer capability that provides free-form text-based search, spatial search, fuzzy search and matching, and retrieval of all the stored geospatial information around set of coordinates.</t>
        </is>
      </c>
      <c r="G372" s="19" t="n"/>
      <c r="H372" s="20" t="n"/>
      <c r="I372" s="20" t="n"/>
      <c r="J372" s="19" t="n"/>
      <c r="K372" s="21" t="n"/>
      <c r="L372" s="22">
        <f>IF(OR(J372="",K372=""),"",J372*K372)</f>
        <v/>
      </c>
      <c r="M372" s="19" t="n"/>
      <c r="N372" s="20" t="n"/>
      <c r="O372" s="20" t="n"/>
    </row>
    <row r="373">
      <c r="A373" s="23" t="n">
        <v>370</v>
      </c>
      <c r="B373" s="24" t="inlineStr">
        <is>
          <t>1.6.1.44</t>
        </is>
      </c>
      <c r="C373" s="25" t="inlineStr">
        <is>
          <t>Part 1 – General &amp; Programme</t>
        </is>
      </c>
      <c r="D373" s="25" t="inlineStr">
        <is>
          <t>1.6 SYSTEMS DEVELOPMENT, INTEGRATION AND TESTING</t>
        </is>
      </c>
      <c r="E373" s="25" t="inlineStr">
        <is>
          <t>1.6.1 REQUIREMENTS FOR A FULLY INTEGRATED OSS911 SOLUTION</t>
        </is>
      </c>
      <c r="F373" s="25" t="inlineStr">
        <is>
          <t>The CONTRACTOR shall deliver the complete and detailed integration plans following award of contract.</t>
        </is>
      </c>
      <c r="G373" s="19" t="n"/>
      <c r="H373" s="20" t="n"/>
      <c r="I373" s="20" t="n"/>
      <c r="J373" s="19" t="n"/>
      <c r="K373" s="21" t="n"/>
      <c r="L373" s="22">
        <f>IF(OR(J373="",K373=""),"",J373*K373)</f>
        <v/>
      </c>
      <c r="M373" s="19" t="n"/>
      <c r="N373" s="20" t="n"/>
      <c r="O373" s="20" t="n"/>
    </row>
    <row r="374">
      <c r="A374" s="16" t="n">
        <v>371</v>
      </c>
      <c r="B374" s="17" t="inlineStr">
        <is>
          <t>1.6.1.45</t>
        </is>
      </c>
      <c r="C374" s="18" t="inlineStr">
        <is>
          <t>Part 1 – General &amp; Programme</t>
        </is>
      </c>
      <c r="D374" s="18" t="inlineStr">
        <is>
          <t>1.6 SYSTEMS DEVELOPMENT, INTEGRATION AND TESTING</t>
        </is>
      </c>
      <c r="E374" s="18" t="inlineStr">
        <is>
          <t>1.6.1 REQUIREMENTS FOR A FULLY INTEGRATED OSS911 SOLUTION</t>
        </is>
      </c>
      <c r="F374" s="18" t="inlineStr">
        <is>
          <t>The CONTRACTOR shall ensure that status updates and messages from resources assigned to incidents shall automatically populate the OSS911 systems logs including the incident log.</t>
        </is>
      </c>
      <c r="G374" s="19" t="n"/>
      <c r="H374" s="20" t="n"/>
      <c r="I374" s="20" t="n"/>
      <c r="J374" s="19" t="n"/>
      <c r="K374" s="21" t="n"/>
      <c r="L374" s="22">
        <f>IF(OR(J374="",K374=""),"",J374*K374)</f>
        <v/>
      </c>
      <c r="M374" s="19" t="n"/>
      <c r="N374" s="20" t="n"/>
      <c r="O374" s="20" t="n"/>
    </row>
    <row r="375">
      <c r="A375" s="23" t="n">
        <v>372</v>
      </c>
      <c r="B375" s="24" t="inlineStr">
        <is>
          <t>1.6.1.46</t>
        </is>
      </c>
      <c r="C375" s="25" t="inlineStr">
        <is>
          <t>Part 1 – General &amp; Programme</t>
        </is>
      </c>
      <c r="D375" s="25" t="inlineStr">
        <is>
          <t>1.6 SYSTEMS DEVELOPMENT, INTEGRATION AND TESTING</t>
        </is>
      </c>
      <c r="E375" s="25" t="inlineStr">
        <is>
          <t>1.6.1 REQUIREMENTS FOR A FULLY INTEGRATED OSS911 SOLUTION</t>
        </is>
      </c>
      <c r="F375" s="25" t="inlineStr">
        <is>
          <t>The CONTRACTOR shall configure the OSS911 solutions for integration of automatic resource location (ARL) such that the OSS911 solution receives and stores location data from any location service enabled device and/or any automatic resource location system/service authorized by the MOI.</t>
        </is>
      </c>
      <c r="G375" s="19" t="n"/>
      <c r="H375" s="20" t="n"/>
      <c r="I375" s="20" t="n"/>
      <c r="J375" s="19" t="n"/>
      <c r="K375" s="21" t="n"/>
      <c r="L375" s="22">
        <f>IF(OR(J375="",K375=""),"",J375*K375)</f>
        <v/>
      </c>
      <c r="M375" s="19" t="n"/>
      <c r="N375" s="20" t="n"/>
      <c r="O375" s="20" t="n"/>
    </row>
    <row r="376">
      <c r="A376" s="16" t="n">
        <v>373</v>
      </c>
      <c r="B376" s="17" t="inlineStr">
        <is>
          <t>1.6.1.47</t>
        </is>
      </c>
      <c r="C376" s="18" t="inlineStr">
        <is>
          <t>Part 1 – General &amp; Programme</t>
        </is>
      </c>
      <c r="D376" s="18" t="inlineStr">
        <is>
          <t>1.6 SYSTEMS DEVELOPMENT, INTEGRATION AND TESTING</t>
        </is>
      </c>
      <c r="E376" s="18" t="inlineStr">
        <is>
          <t>1.6.1 REQUIREMENTS FOR A FULLY INTEGRATED OSS911 SOLUTION</t>
        </is>
      </c>
      <c r="F376" s="18" t="inlineStr">
        <is>
          <t>The CONTRACTOR shall deliver OSS911 solution that has the capability to receive eCall information using the eCall MSD from the authorized mobile network operators (MNOs) and/or third-party service providers (TPS), and to route the voice part of the eCall through the IP telephony solution to the operators using the MOI-defined queue for emergency calls along with capturing the caller ID and the incident related information associated with this voice call that is contained within the related MSD and making all of these available to the operator through the various systems in the OSS911 solution (IP Telephony solution, the IRMS solution, etc.) within the various fields therein, and storing the voice, the caller ID and MSD within the emergency call and incident databases as part of the call and incident live and historical records.</t>
        </is>
      </c>
      <c r="G376" s="19" t="n"/>
      <c r="H376" s="20" t="n"/>
      <c r="I376" s="20" t="n"/>
      <c r="J376" s="19" t="n"/>
      <c r="K376" s="21" t="n"/>
      <c r="L376" s="22">
        <f>IF(OR(J376="",K376=""),"",J376*K376)</f>
        <v/>
      </c>
      <c r="M376" s="19" t="n"/>
      <c r="N376" s="20" t="n"/>
      <c r="O376" s="20" t="n"/>
    </row>
    <row r="377">
      <c r="A377" s="23" t="n">
        <v>374</v>
      </c>
      <c r="B377" s="24" t="inlineStr">
        <is>
          <t>1.6.1.48</t>
        </is>
      </c>
      <c r="C377" s="25" t="inlineStr">
        <is>
          <t>Part 1 – General &amp; Programme</t>
        </is>
      </c>
      <c r="D377" s="25" t="inlineStr">
        <is>
          <t>1.6 SYSTEMS DEVELOPMENT, INTEGRATION AND TESTING</t>
        </is>
      </c>
      <c r="E377" s="25" t="inlineStr">
        <is>
          <t>1.6.1 REQUIREMENTS FOR A FULLY INTEGRATED OSS911 SOLUTION</t>
        </is>
      </c>
      <c r="F377" s="25" t="inlineStr">
        <is>
          <t>The CONTRACTOR shall deliver an OSS911 solution with open architecture and platform independent interfaces that allows MOI to perform future integrations with other systems.</t>
        </is>
      </c>
      <c r="G377" s="19" t="n"/>
      <c r="H377" s="20" t="n"/>
      <c r="I377" s="20" t="n"/>
      <c r="J377" s="19" t="n"/>
      <c r="K377" s="21" t="n"/>
      <c r="L377" s="22">
        <f>IF(OR(J377="",K377=""),"",J377*K377)</f>
        <v/>
      </c>
      <c r="M377" s="19" t="n"/>
      <c r="N377" s="20" t="n"/>
      <c r="O377" s="20" t="n"/>
    </row>
    <row r="378">
      <c r="A378" s="16" t="n">
        <v>375</v>
      </c>
      <c r="B378" s="17" t="inlineStr">
        <is>
          <t>1.6.1.49</t>
        </is>
      </c>
      <c r="C378" s="18" t="inlineStr">
        <is>
          <t>Part 1 – General &amp; Programme</t>
        </is>
      </c>
      <c r="D378" s="18" t="inlineStr">
        <is>
          <t>1.6 SYSTEMS DEVELOPMENT, INTEGRATION AND TESTING</t>
        </is>
      </c>
      <c r="E378" s="18" t="inlineStr">
        <is>
          <t>1.6.1 REQUIREMENTS FOR A FULLY INTEGRATED OSS911 SOLUTION</t>
        </is>
      </c>
      <c r="F378" s="18" t="inlineStr">
        <is>
          <t>The CONTRACTOR shall deliver OSS911 solutions with the capability to serve on-the-fly the demand for data and databases through open standards and independent web services APIs utilizing Web Service Description Language (WSDL), XML and Simple Object Access Protocol (SOAP) based on most recent W3 XML standards and through APIs utilizing Representational State Transfer (REST), XML, JSON etc.</t>
        </is>
      </c>
      <c r="G378" s="19" t="n"/>
      <c r="H378" s="20" t="n"/>
      <c r="I378" s="20" t="n"/>
      <c r="J378" s="19" t="n"/>
      <c r="K378" s="21" t="n"/>
      <c r="L378" s="22">
        <f>IF(OR(J378="",K378=""),"",J378*K378)</f>
        <v/>
      </c>
      <c r="M378" s="19" t="n"/>
      <c r="N378" s="20" t="n"/>
      <c r="O378" s="20" t="n"/>
    </row>
    <row r="379">
      <c r="A379" s="23" t="n">
        <v>376</v>
      </c>
      <c r="B379" s="24" t="inlineStr">
        <is>
          <t>1.6.1.50</t>
        </is>
      </c>
      <c r="C379" s="25" t="inlineStr">
        <is>
          <t>Part 1 – General &amp; Programme</t>
        </is>
      </c>
      <c r="D379" s="25" t="inlineStr">
        <is>
          <t>1.6 SYSTEMS DEVELOPMENT, INTEGRATION AND TESTING</t>
        </is>
      </c>
      <c r="E379" s="25" t="inlineStr">
        <is>
          <t>1.6.1 REQUIREMENTS FOR A FULLY INTEGRATED OSS911 SOLUTION</t>
        </is>
      </c>
      <c r="F379" s="25" t="inlineStr">
        <is>
          <t>The CONTRACTOR shall design the OSS911 systems integrations such that each interface and/or integration with the external systems may contain a maximum of fifty (50) bidirectional rewritable fields with combinations of primitive and custom data types including but not limited to String, Long Integers, Date-time, Double, Arrays, universally unique identifier (UUIDs), Globally Unique Identifier (GUID), etc.</t>
        </is>
      </c>
      <c r="G379" s="19" t="n"/>
      <c r="H379" s="20" t="n"/>
      <c r="I379" s="20" t="n"/>
      <c r="J379" s="19" t="n"/>
      <c r="K379" s="21" t="n"/>
      <c r="L379" s="22">
        <f>IF(OR(J379="",K379=""),"",J379*K379)</f>
        <v/>
      </c>
      <c r="M379" s="19" t="n"/>
      <c r="N379" s="20" t="n"/>
      <c r="O379" s="20" t="n"/>
    </row>
    <row r="380">
      <c r="A380" s="16" t="n">
        <v>377</v>
      </c>
      <c r="B380" s="17" t="inlineStr">
        <is>
          <t>1.6.1.51</t>
        </is>
      </c>
      <c r="C380" s="18" t="inlineStr">
        <is>
          <t>Part 1 – General &amp; Programme</t>
        </is>
      </c>
      <c r="D380" s="18" t="inlineStr">
        <is>
          <t>1.6 SYSTEMS DEVELOPMENT, INTEGRATION AND TESTING</t>
        </is>
      </c>
      <c r="E380" s="18" t="inlineStr">
        <is>
          <t>1.6.1 REQUIREMENTS FOR A FULLY INTEGRATED OSS911 SOLUTION</t>
        </is>
      </c>
      <c r="F380" s="18" t="inlineStr">
        <is>
          <t>The CONTRACTOR shall consider the size limitation of these fields to the maximum supported for each of the data types and that each of these fields may contain alphanumeric Arabic and English characters, numbers, and special characters, and shall design the OSS911 databases and interfaces accordingly.</t>
        </is>
      </c>
      <c r="G380" s="19" t="n"/>
      <c r="H380" s="20" t="n"/>
      <c r="I380" s="20" t="n"/>
      <c r="J380" s="19" t="n"/>
      <c r="K380" s="21" t="n"/>
      <c r="L380" s="22">
        <f>IF(OR(J380="",K380=""),"",J380*K380)</f>
        <v/>
      </c>
      <c r="M380" s="19" t="n"/>
      <c r="N380" s="20" t="n"/>
      <c r="O380" s="20" t="n"/>
    </row>
    <row r="381">
      <c r="A381" s="23" t="n">
        <v>378</v>
      </c>
      <c r="B381" s="24" t="inlineStr">
        <is>
          <t>1.6.1.52</t>
        </is>
      </c>
      <c r="C381" s="25" t="inlineStr">
        <is>
          <t>Part 1 – General &amp; Programme</t>
        </is>
      </c>
      <c r="D381" s="25" t="inlineStr">
        <is>
          <t>1.6 SYSTEMS DEVELOPMENT, INTEGRATION AND TESTING</t>
        </is>
      </c>
      <c r="E381" s="25" t="inlineStr">
        <is>
          <t>1.6.1 REQUIREMENTS FOR A FULLY INTEGRATED OSS911 SOLUTION</t>
        </is>
      </c>
      <c r="F381" s="25" t="inlineStr">
        <is>
          <t>The CONTRACTOR shall deliver a smart and AI-powered integrated recording solution that records in a single integrated repository all data, voice, video and text relating to operations across all OSS911 subsystems.</t>
        </is>
      </c>
      <c r="G381" s="19" t="n"/>
      <c r="H381" s="20" t="n"/>
      <c r="I381" s="20" t="n"/>
      <c r="J381" s="19" t="n"/>
      <c r="K381" s="21" t="n"/>
      <c r="L381" s="22">
        <f>IF(OR(J381="",K381=""),"",J381*K381)</f>
        <v/>
      </c>
      <c r="M381" s="19" t="n"/>
      <c r="N381" s="20" t="n"/>
      <c r="O381" s="20" t="n"/>
    </row>
    <row r="382">
      <c r="A382" s="16" t="n">
        <v>379</v>
      </c>
      <c r="B382" s="17" t="inlineStr">
        <is>
          <t>1.6.1.53</t>
        </is>
      </c>
      <c r="C382" s="18" t="inlineStr">
        <is>
          <t>Part 1 – General &amp; Programme</t>
        </is>
      </c>
      <c r="D382" s="18" t="inlineStr">
        <is>
          <t>1.6 SYSTEMS DEVELOPMENT, INTEGRATION AND TESTING</t>
        </is>
      </c>
      <c r="E382" s="18" t="inlineStr">
        <is>
          <t>1.6.1 REQUIREMENTS FOR A FULLY INTEGRATED OSS911 SOLUTION</t>
        </is>
      </c>
      <c r="F382" s="18" t="inlineStr">
        <is>
          <t>The CONTRACTOR delivered integrated recording solution shall allow for linking of the stored information with related incidents and operational alerts, if any, for all OSS911 subsystems.</t>
        </is>
      </c>
      <c r="G382" s="19" t="n"/>
      <c r="H382" s="20" t="n"/>
      <c r="I382" s="20" t="n"/>
      <c r="J382" s="19" t="n"/>
      <c r="K382" s="21" t="n"/>
      <c r="L382" s="22">
        <f>IF(OR(J382="",K382=""),"",J382*K382)</f>
        <v/>
      </c>
      <c r="M382" s="19" t="n"/>
      <c r="N382" s="20" t="n"/>
      <c r="O382" s="20" t="n"/>
    </row>
    <row r="383">
      <c r="A383" s="23" t="n">
        <v>380</v>
      </c>
      <c r="B383" s="24" t="inlineStr">
        <is>
          <t>1.6.1.54</t>
        </is>
      </c>
      <c r="C383" s="25" t="inlineStr">
        <is>
          <t>Part 1 – General &amp; Programme</t>
        </is>
      </c>
      <c r="D383" s="25" t="inlineStr">
        <is>
          <t>1.6 SYSTEMS DEVELOPMENT, INTEGRATION AND TESTING</t>
        </is>
      </c>
      <c r="E383" s="25" t="inlineStr">
        <is>
          <t>1.6.1 REQUIREMENTS FOR A FULLY INTEGRATED OSS911 SOLUTION</t>
        </is>
      </c>
      <c r="F383" s="25" t="inlineStr">
        <is>
          <t>The CONTRACTOR delivered integrated recording solution shall allow retrieval of related voice, video, data and text for a given incident, as a single record for all OSS911 subsystems which is retrievable through a web-based retrieval solution.</t>
        </is>
      </c>
      <c r="G383" s="19" t="n"/>
      <c r="H383" s="20" t="n"/>
      <c r="I383" s="20" t="n"/>
      <c r="J383" s="19" t="n"/>
      <c r="K383" s="21" t="n"/>
      <c r="L383" s="22">
        <f>IF(OR(J383="",K383=""),"",J383*K383)</f>
        <v/>
      </c>
      <c r="M383" s="19" t="n"/>
      <c r="N383" s="20" t="n"/>
      <c r="O383" s="20" t="n"/>
    </row>
    <row r="384">
      <c r="A384" s="16" t="n">
        <v>381</v>
      </c>
      <c r="B384" s="17" t="inlineStr">
        <is>
          <t>1.6.1.55</t>
        </is>
      </c>
      <c r="C384" s="18" t="inlineStr">
        <is>
          <t>Part 1 – General &amp; Programme</t>
        </is>
      </c>
      <c r="D384" s="18" t="inlineStr">
        <is>
          <t>1.6 SYSTEMS DEVELOPMENT, INTEGRATION AND TESTING</t>
        </is>
      </c>
      <c r="E384" s="18" t="inlineStr">
        <is>
          <t>1.6.1 REQUIREMENTS FOR A FULLY INTEGRATED OSS911 SOLUTION</t>
        </is>
      </c>
      <c r="F384" s="18" t="inlineStr">
        <is>
          <t>The CONTRACTOR delivered integrated recording solution shall support the retrieval of recordings as a single integrated record based on any or a combination of the following parameters, including but not limited to:</t>
        </is>
      </c>
      <c r="G384" s="19" t="n"/>
      <c r="H384" s="20" t="n"/>
      <c r="I384" s="20" t="n"/>
      <c r="J384" s="19" t="n"/>
      <c r="K384" s="21" t="n"/>
      <c r="L384" s="22">
        <f>IF(OR(J384="",K384=""),"",J384*K384)</f>
        <v/>
      </c>
      <c r="M384" s="19" t="n"/>
      <c r="N384" s="20" t="n"/>
      <c r="O384" s="20" t="n"/>
    </row>
    <row r="385">
      <c r="A385" s="23" t="n">
        <v>382</v>
      </c>
      <c r="B385" s="23" t="inlineStr">
        <is>
          <t>1.6.1.55.1</t>
        </is>
      </c>
      <c r="C385" s="25" t="inlineStr">
        <is>
          <t>Part 1 – General &amp; Programme</t>
        </is>
      </c>
      <c r="D385" s="25" t="inlineStr">
        <is>
          <t>1.6 SYSTEMS DEVELOPMENT, INTEGRATION AND TESTING</t>
        </is>
      </c>
      <c r="E385" s="25" t="inlineStr">
        <is>
          <t>1.6.1 REQUIREMENTS FOR A FULLY INTEGRATED OSS911 SOLUTION</t>
        </is>
      </c>
      <c r="F385" s="25" t="inlineStr">
        <is>
          <t>Date</t>
        </is>
      </c>
      <c r="G385" s="19" t="n"/>
      <c r="H385" s="20" t="n"/>
      <c r="I385" s="20" t="n"/>
      <c r="J385" s="19" t="n"/>
      <c r="K385" s="21" t="n"/>
      <c r="L385" s="22">
        <f>IF(OR(J385="",K385=""),"",J385*K385)</f>
        <v/>
      </c>
      <c r="M385" s="19" t="n"/>
      <c r="N385" s="20" t="n"/>
      <c r="O385" s="20" t="n"/>
    </row>
    <row r="386">
      <c r="A386" s="16" t="n">
        <v>383</v>
      </c>
      <c r="B386" s="16" t="inlineStr">
        <is>
          <t>1.6.1.55.2</t>
        </is>
      </c>
      <c r="C386" s="18" t="inlineStr">
        <is>
          <t>Part 1 – General &amp; Programme</t>
        </is>
      </c>
      <c r="D386" s="18" t="inlineStr">
        <is>
          <t>1.6 SYSTEMS DEVELOPMENT, INTEGRATION AND TESTING</t>
        </is>
      </c>
      <c r="E386" s="18" t="inlineStr">
        <is>
          <t>1.6.1 REQUIREMENTS FOR A FULLY INTEGRATED OSS911 SOLUTION</t>
        </is>
      </c>
      <c r="F386" s="18" t="inlineStr">
        <is>
          <t>Time</t>
        </is>
      </c>
      <c r="G386" s="19" t="n"/>
      <c r="H386" s="20" t="n"/>
      <c r="I386" s="20" t="n"/>
      <c r="J386" s="19" t="n"/>
      <c r="K386" s="21" t="n"/>
      <c r="L386" s="22">
        <f>IF(OR(J386="",K386=""),"",J386*K386)</f>
        <v/>
      </c>
      <c r="M386" s="19" t="n"/>
      <c r="N386" s="20" t="n"/>
      <c r="O386" s="20" t="n"/>
    </row>
    <row r="387">
      <c r="A387" s="23" t="n">
        <v>384</v>
      </c>
      <c r="B387" s="23" t="inlineStr">
        <is>
          <t>1.6.1.55.3</t>
        </is>
      </c>
      <c r="C387" s="25" t="inlineStr">
        <is>
          <t>Part 1 – General &amp; Programme</t>
        </is>
      </c>
      <c r="D387" s="25" t="inlineStr">
        <is>
          <t>1.6 SYSTEMS DEVELOPMENT, INTEGRATION AND TESTING</t>
        </is>
      </c>
      <c r="E387" s="25" t="inlineStr">
        <is>
          <t>1.6.1 REQUIREMENTS FOR A FULLY INTEGRATED OSS911 SOLUTION</t>
        </is>
      </c>
      <c r="F387" s="25" t="inlineStr">
        <is>
          <t>Calling line identity</t>
        </is>
      </c>
      <c r="G387" s="19" t="n"/>
      <c r="H387" s="20" t="n"/>
      <c r="I387" s="20" t="n"/>
      <c r="J387" s="19" t="n"/>
      <c r="K387" s="21" t="n"/>
      <c r="L387" s="22">
        <f>IF(OR(J387="",K387=""),"",J387*K387)</f>
        <v/>
      </c>
      <c r="M387" s="19" t="n"/>
      <c r="N387" s="20" t="n"/>
      <c r="O387" s="20" t="n"/>
    </row>
    <row r="388">
      <c r="A388" s="16" t="n">
        <v>385</v>
      </c>
      <c r="B388" s="16" t="inlineStr">
        <is>
          <t>1.6.1.55.4</t>
        </is>
      </c>
      <c r="C388" s="18" t="inlineStr">
        <is>
          <t>Part 1 – General &amp; Programme</t>
        </is>
      </c>
      <c r="D388" s="18" t="inlineStr">
        <is>
          <t>1.6 SYSTEMS DEVELOPMENT, INTEGRATION AND TESTING</t>
        </is>
      </c>
      <c r="E388" s="18" t="inlineStr">
        <is>
          <t>1.6.1 REQUIREMENTS FOR A FULLY INTEGRATED OSS911 SOLUTION</t>
        </is>
      </c>
      <c r="F388" s="18" t="inlineStr">
        <is>
          <t>Called number</t>
        </is>
      </c>
      <c r="G388" s="19" t="n"/>
      <c r="H388" s="20" t="n"/>
      <c r="I388" s="20" t="n"/>
      <c r="J388" s="19" t="n"/>
      <c r="K388" s="21" t="n"/>
      <c r="L388" s="22">
        <f>IF(OR(J388="",K388=""),"",J388*K388)</f>
        <v/>
      </c>
      <c r="M388" s="19" t="n"/>
      <c r="N388" s="20" t="n"/>
      <c r="O388" s="20" t="n"/>
    </row>
    <row r="389">
      <c r="A389" s="23" t="n">
        <v>386</v>
      </c>
      <c r="B389" s="23" t="inlineStr">
        <is>
          <t>1.6.1.55.5</t>
        </is>
      </c>
      <c r="C389" s="25" t="inlineStr">
        <is>
          <t>Part 1 – General &amp; Programme</t>
        </is>
      </c>
      <c r="D389" s="25" t="inlineStr">
        <is>
          <t>1.6 SYSTEMS DEVELOPMENT, INTEGRATION AND TESTING</t>
        </is>
      </c>
      <c r="E389" s="25" t="inlineStr">
        <is>
          <t>1.6.1 REQUIREMENTS FOR A FULLY INTEGRATED OSS911 SOLUTION</t>
        </is>
      </c>
      <c r="F389" s="25" t="inlineStr">
        <is>
          <t>Operator position (console ID)</t>
        </is>
      </c>
      <c r="G389" s="19" t="n"/>
      <c r="H389" s="20" t="n"/>
      <c r="I389" s="20" t="n"/>
      <c r="J389" s="19" t="n"/>
      <c r="K389" s="21" t="n"/>
      <c r="L389" s="22">
        <f>IF(OR(J389="",K389=""),"",J389*K389)</f>
        <v/>
      </c>
      <c r="M389" s="19" t="n"/>
      <c r="N389" s="20" t="n"/>
      <c r="O389" s="20" t="n"/>
    </row>
    <row r="390">
      <c r="A390" s="16" t="n">
        <v>387</v>
      </c>
      <c r="B390" s="16" t="inlineStr">
        <is>
          <t>1.6.1.55.6</t>
        </is>
      </c>
      <c r="C390" s="18" t="inlineStr">
        <is>
          <t>Part 1 – General &amp; Programme</t>
        </is>
      </c>
      <c r="D390" s="18" t="inlineStr">
        <is>
          <t>1.6 SYSTEMS DEVELOPMENT, INTEGRATION AND TESTING</t>
        </is>
      </c>
      <c r="E390" s="18" t="inlineStr">
        <is>
          <t>1.6.1 REQUIREMENTS FOR A FULLY INTEGRATED OSS911 SOLUTION</t>
        </is>
      </c>
      <c r="F390" s="18" t="inlineStr">
        <is>
          <t>Operator ID</t>
        </is>
      </c>
      <c r="G390" s="19" t="n"/>
      <c r="H390" s="20" t="n"/>
      <c r="I390" s="20" t="n"/>
      <c r="J390" s="19" t="n"/>
      <c r="K390" s="21" t="n"/>
      <c r="L390" s="22">
        <f>IF(OR(J390="",K390=""),"",J390*K390)</f>
        <v/>
      </c>
      <c r="M390" s="19" t="n"/>
      <c r="N390" s="20" t="n"/>
      <c r="O390" s="20" t="n"/>
    </row>
    <row r="391">
      <c r="A391" s="23" t="n">
        <v>388</v>
      </c>
      <c r="B391" s="23" t="inlineStr">
        <is>
          <t>1.6.1.55.7</t>
        </is>
      </c>
      <c r="C391" s="25" t="inlineStr">
        <is>
          <t>Part 1 – General &amp; Programme</t>
        </is>
      </c>
      <c r="D391" s="25" t="inlineStr">
        <is>
          <t>1.6 SYSTEMS DEVELOPMENT, INTEGRATION AND TESTING</t>
        </is>
      </c>
      <c r="E391" s="25" t="inlineStr">
        <is>
          <t>1.6.1 REQUIREMENTS FOR A FULLY INTEGRATED OSS911 SOLUTION</t>
        </is>
      </c>
      <c r="F391" s="25" t="inlineStr">
        <is>
          <t>Incident ID</t>
        </is>
      </c>
      <c r="G391" s="19" t="n"/>
      <c r="H391" s="20" t="n"/>
      <c r="I391" s="20" t="n"/>
      <c r="J391" s="19" t="n"/>
      <c r="K391" s="21" t="n"/>
      <c r="L391" s="22">
        <f>IF(OR(J391="",K391=""),"",J391*K391)</f>
        <v/>
      </c>
      <c r="M391" s="19" t="n"/>
      <c r="N391" s="20" t="n"/>
      <c r="O391" s="20" t="n"/>
    </row>
    <row r="392">
      <c r="A392" s="16" t="n">
        <v>389</v>
      </c>
      <c r="B392" s="16" t="inlineStr">
        <is>
          <t>1.6.1.55.8</t>
        </is>
      </c>
      <c r="C392" s="18" t="inlineStr">
        <is>
          <t>Part 1 – General &amp; Programme</t>
        </is>
      </c>
      <c r="D392" s="18" t="inlineStr">
        <is>
          <t>1.6 SYSTEMS DEVELOPMENT, INTEGRATION AND TESTING</t>
        </is>
      </c>
      <c r="E392" s="18" t="inlineStr">
        <is>
          <t>1.6.1 REQUIREMENTS FOR A FULLY INTEGRATED OSS911 SOLUTION</t>
        </is>
      </c>
      <c r="F392" s="18" t="inlineStr">
        <is>
          <t>Camera ID</t>
        </is>
      </c>
      <c r="G392" s="19" t="n"/>
      <c r="H392" s="20" t="n"/>
      <c r="I392" s="20" t="n"/>
      <c r="J392" s="19" t="n"/>
      <c r="K392" s="21" t="n"/>
      <c r="L392" s="22">
        <f>IF(OR(J392="",K392=""),"",J392*K392)</f>
        <v/>
      </c>
      <c r="M392" s="19" t="n"/>
      <c r="N392" s="20" t="n"/>
      <c r="O392" s="20" t="n"/>
    </row>
    <row r="393">
      <c r="A393" s="23" t="n">
        <v>390</v>
      </c>
      <c r="B393" s="23" t="inlineStr">
        <is>
          <t>1.6.1.55.9</t>
        </is>
      </c>
      <c r="C393" s="25" t="inlineStr">
        <is>
          <t>Part 1 – General &amp; Programme</t>
        </is>
      </c>
      <c r="D393" s="25" t="inlineStr">
        <is>
          <t>1.6 SYSTEMS DEVELOPMENT, INTEGRATION AND TESTING</t>
        </is>
      </c>
      <c r="E393" s="25" t="inlineStr">
        <is>
          <t>1.6.1 REQUIREMENTS FOR A FULLY INTEGRATED OSS911 SOLUTION</t>
        </is>
      </c>
      <c r="F393" s="25" t="inlineStr">
        <is>
          <t>Vehicle plate number</t>
        </is>
      </c>
      <c r="G393" s="19" t="n"/>
      <c r="H393" s="20" t="n"/>
      <c r="I393" s="20" t="n"/>
      <c r="J393" s="19" t="n"/>
      <c r="K393" s="21" t="n"/>
      <c r="L393" s="22">
        <f>IF(OR(J393="",K393=""),"",J393*K393)</f>
        <v/>
      </c>
      <c r="M393" s="19" t="n"/>
      <c r="N393" s="20" t="n"/>
      <c r="O393" s="20" t="n"/>
    </row>
    <row r="394">
      <c r="A394" s="16" t="n">
        <v>391</v>
      </c>
      <c r="B394" s="16" t="inlineStr">
        <is>
          <t>1.6.1.55.10</t>
        </is>
      </c>
      <c r="C394" s="18" t="inlineStr">
        <is>
          <t>Part 1 – General &amp; Programme</t>
        </is>
      </c>
      <c r="D394" s="18" t="inlineStr">
        <is>
          <t>1.6 SYSTEMS DEVELOPMENT, INTEGRATION AND TESTING</t>
        </is>
      </c>
      <c r="E394" s="18" t="inlineStr">
        <is>
          <t>1.6.1 REQUIREMENTS FOR A FULLY INTEGRATED OSS911 SOLUTION</t>
        </is>
      </c>
      <c r="F394" s="18" t="inlineStr">
        <is>
          <t>Radio Talk group</t>
        </is>
      </c>
      <c r="G394" s="19" t="n"/>
      <c r="H394" s="20" t="n"/>
      <c r="I394" s="20" t="n"/>
      <c r="J394" s="19" t="n"/>
      <c r="K394" s="21" t="n"/>
      <c r="L394" s="22">
        <f>IF(OR(J394="",K394=""),"",J394*K394)</f>
        <v/>
      </c>
      <c r="M394" s="19" t="n"/>
      <c r="N394" s="20" t="n"/>
      <c r="O394" s="20" t="n"/>
    </row>
    <row r="395">
      <c r="A395" s="23" t="n">
        <v>392</v>
      </c>
      <c r="B395" s="23" t="inlineStr">
        <is>
          <t>1.6.1.55.11</t>
        </is>
      </c>
      <c r="C395" s="25" t="inlineStr">
        <is>
          <t>Part 1 – General &amp; Programme</t>
        </is>
      </c>
      <c r="D395" s="25" t="inlineStr">
        <is>
          <t>1.6 SYSTEMS DEVELOPMENT, INTEGRATION AND TESTING</t>
        </is>
      </c>
      <c r="E395" s="25" t="inlineStr">
        <is>
          <t>1.6.1 REQUIREMENTS FOR A FULLY INTEGRATED OSS911 SOLUTION</t>
        </is>
      </c>
      <c r="F395" s="25" t="inlineStr">
        <is>
          <t>Radio ID</t>
        </is>
      </c>
      <c r="G395" s="19" t="n"/>
      <c r="H395" s="20" t="n"/>
      <c r="I395" s="20" t="n"/>
      <c r="J395" s="19" t="n"/>
      <c r="K395" s="21" t="n"/>
      <c r="L395" s="22">
        <f>IF(OR(J395="",K395=""),"",J395*K395)</f>
        <v/>
      </c>
      <c r="M395" s="19" t="n"/>
      <c r="N395" s="20" t="n"/>
      <c r="O395" s="20" t="n"/>
    </row>
    <row r="396">
      <c r="A396" s="16" t="n">
        <v>393</v>
      </c>
      <c r="B396" s="17" t="inlineStr">
        <is>
          <t>1.6.2.1</t>
        </is>
      </c>
      <c r="C396" s="18" t="inlineStr">
        <is>
          <t>Part 1 – General &amp; Programme</t>
        </is>
      </c>
      <c r="D396" s="18" t="inlineStr">
        <is>
          <t>1.6 SYSTEMS DEVELOPMENT, INTEGRATION AND TESTING</t>
        </is>
      </c>
      <c r="E396" s="18" t="inlineStr">
        <is>
          <t>1.6.2 OSS911 SOLUTION BUSINESS INTELLIGENCE, DATABASE REPOSITORY, DASHBOARDS AND REPORTS</t>
        </is>
      </c>
      <c r="F396" s="18" t="inlineStr">
        <is>
          <t>The CONTRACTOR shall migrate existing operational data from existing datastores for Makkah 911 center into the single highly available structured relational database for the OSS911 solution.</t>
        </is>
      </c>
      <c r="G396" s="30" t="inlineStr">
        <is>
          <t>C</t>
        </is>
      </c>
      <c r="H396" s="31" t="inlineStr">
        <is>
          <t>AI Innovation Solutions Co. (AIIS)</t>
        </is>
      </c>
      <c r="I396" s="31" t="inlineStr">
        <is>
          <t>Nexora-BI</t>
        </is>
      </c>
      <c r="J396" s="19" t="n"/>
      <c r="K396" s="21" t="n"/>
      <c r="L396" s="22">
        <f>IF(OR(J396="",K396=""),"",J396*K396)</f>
        <v/>
      </c>
      <c r="M396" s="19" t="n"/>
      <c r="N396" s="31" t="inlineStr">
        <is>
          <t>Nexora-BI §5; §9 Phase 04</t>
        </is>
      </c>
      <c r="O396" s="31" t="inlineStr">
        <is>
          <t>Historical data of the existing Makkah 911 centre is loaded once from the archive database into the central repository, followed by complete record-level reconciliation.</t>
        </is>
      </c>
    </row>
    <row r="397">
      <c r="A397" s="23" t="n">
        <v>394</v>
      </c>
      <c r="B397" s="24" t="inlineStr">
        <is>
          <t>1.6.2.2</t>
        </is>
      </c>
      <c r="C397" s="25" t="inlineStr">
        <is>
          <t>Part 1 – General &amp; Programme</t>
        </is>
      </c>
      <c r="D397" s="25" t="inlineStr">
        <is>
          <t>1.6 SYSTEMS DEVELOPMENT, INTEGRATION AND TESTING</t>
        </is>
      </c>
      <c r="E397" s="25" t="inlineStr">
        <is>
          <t>1.6.2 OSS911 SOLUTION BUSINESS INTELLIGENCE, DATABASE REPOSITORY, DASHBOARDS AND REPORTS</t>
        </is>
      </c>
      <c r="F397" s="25" t="inlineStr">
        <is>
          <t>The CONTRACTOR shall implement all the requirements as below on the single highly available structured relational database for the OSS911 solution.</t>
        </is>
      </c>
      <c r="G397" s="30" t="inlineStr">
        <is>
          <t>C</t>
        </is>
      </c>
      <c r="H397" s="31" t="inlineStr">
        <is>
          <t>AI Innovation Solutions Co. (AIIS)</t>
        </is>
      </c>
      <c r="I397" s="31" t="inlineStr">
        <is>
          <t>Nexora-BI</t>
        </is>
      </c>
      <c r="J397" s="19" t="n"/>
      <c r="K397" s="21" t="n"/>
      <c r="L397" s="22">
        <f>IF(OR(J397="",K397=""),"",J397*K397)</f>
        <v/>
      </c>
      <c r="M397" s="19" t="n"/>
      <c r="N397" s="31" t="inlineStr">
        <is>
          <t>Nexora-BI §3; §3.1; §8</t>
        </is>
      </c>
      <c r="O397" s="31" t="inlineStr">
        <is>
          <t>Delivered by Nexora-BI within the business intelligence, data warehouse, dashboard and reporting scope.</t>
        </is>
      </c>
    </row>
    <row r="398">
      <c r="A398" s="16" t="n">
        <v>395</v>
      </c>
      <c r="B398" s="17" t="inlineStr">
        <is>
          <t>1.6.2.3</t>
        </is>
      </c>
      <c r="C398" s="18" t="inlineStr">
        <is>
          <t>Part 1 – General &amp; Programme</t>
        </is>
      </c>
      <c r="D398" s="18" t="inlineStr">
        <is>
          <t>1.6 SYSTEMS DEVELOPMENT, INTEGRATION AND TESTING</t>
        </is>
      </c>
      <c r="E398" s="18" t="inlineStr">
        <is>
          <t>1.6.2 OSS911 SOLUTION BUSINESS INTELLIGENCE, DATABASE REPOSITORY, DASHBOARDS AND REPORTS</t>
        </is>
      </c>
      <c r="F398" s="18" t="inlineStr">
        <is>
          <t>The CONTRACTOR shall implement a highly available smart and AI- powered central structured information database solution that combines in a relational database the data from the different subsystems of the OSS911 solution and from any other relational databases identified by the MOI during the design stage.</t>
        </is>
      </c>
      <c r="G398" s="30" t="inlineStr">
        <is>
          <t>C</t>
        </is>
      </c>
      <c r="H398" s="31" t="inlineStr">
        <is>
          <t>AI Innovation Solutions Co. (AIIS)</t>
        </is>
      </c>
      <c r="I398" s="31" t="inlineStr">
        <is>
          <t>Nexora-BI</t>
        </is>
      </c>
      <c r="J398" s="19" t="n"/>
      <c r="K398" s="21" t="n"/>
      <c r="L398" s="22">
        <f>IF(OR(J398="",K398=""),"",J398*K398)</f>
        <v/>
      </c>
      <c r="M398" s="19" t="n"/>
      <c r="N398" s="31" t="inlineStr">
        <is>
          <t>Nexora-BI §3; §3.1; §8</t>
        </is>
      </c>
      <c r="O398" s="31" t="inlineStr">
        <is>
          <t>Highly available PostgreSQL repository consolidating the OSS911 subsystem data in one conformed relational model. The repository tier is intelligence-assisted: index and query-plan advisory, workload-aware optimisation, data anomaly detection and capacity trend forecasting.</t>
        </is>
      </c>
    </row>
    <row r="399">
      <c r="A399" s="23" t="n">
        <v>396</v>
      </c>
      <c r="B399" s="24" t="inlineStr">
        <is>
          <t>1.6.2.4</t>
        </is>
      </c>
      <c r="C399" s="25" t="inlineStr">
        <is>
          <t>Part 1 – General &amp; Programme</t>
        </is>
      </c>
      <c r="D399" s="25" t="inlineStr">
        <is>
          <t>1.6 SYSTEMS DEVELOPMENT, INTEGRATION AND TESTING</t>
        </is>
      </c>
      <c r="E399" s="25" t="inlineStr">
        <is>
          <t>1.6.2 OSS911 SOLUTION BUSINESS INTELLIGENCE, DATABASE REPOSITORY, DASHBOARDS AND REPORTS</t>
        </is>
      </c>
      <c r="F399" s="25" t="inlineStr">
        <is>
          <t>The CONTRACTOR shall deliver this highly available central structured database repository solution for all OSS911 systems covering:</t>
        </is>
      </c>
      <c r="G399" s="30" t="inlineStr">
        <is>
          <t>C</t>
        </is>
      </c>
      <c r="H399" s="31" t="inlineStr">
        <is>
          <t>AI Innovation Solutions Co. (AIIS)</t>
        </is>
      </c>
      <c r="I399" s="31" t="inlineStr">
        <is>
          <t>Nexora-BI</t>
        </is>
      </c>
      <c r="J399" s="19" t="n"/>
      <c r="K399" s="21" t="n"/>
      <c r="L399" s="22">
        <f>IF(OR(J399="",K399=""),"",J399*K399)</f>
        <v/>
      </c>
      <c r="M399" s="19" t="n"/>
      <c r="N399" s="31" t="inlineStr">
        <is>
          <t>Nexora-BI §3; §3.1; §8</t>
        </is>
      </c>
      <c r="O399" s="31" t="inlineStr">
        <is>
          <t>Delivered by Nexora-BI within the business intelligence, data warehouse, dashboard and reporting scope.</t>
        </is>
      </c>
    </row>
    <row r="400">
      <c r="A400" s="16" t="n">
        <v>397</v>
      </c>
      <c r="B400" s="16" t="inlineStr">
        <is>
          <t>1.6.2.4.1</t>
        </is>
      </c>
      <c r="C400" s="18" t="inlineStr">
        <is>
          <t>Part 1 – General &amp; Programme</t>
        </is>
      </c>
      <c r="D400" s="18" t="inlineStr">
        <is>
          <t>1.6 SYSTEMS DEVELOPMENT, INTEGRATION AND TESTING</t>
        </is>
      </c>
      <c r="E400" s="18" t="inlineStr">
        <is>
          <t>1.6.2 OSS911 SOLUTION BUSINESS INTELLIGENCE, DATABASE REPOSITORY, DASHBOARDS AND REPORTS</t>
        </is>
      </c>
      <c r="F400" s="18" t="inlineStr">
        <is>
          <t>Live data</t>
        </is>
      </c>
      <c r="G400" s="30" t="inlineStr">
        <is>
          <t>C</t>
        </is>
      </c>
      <c r="H400" s="31" t="inlineStr">
        <is>
          <t>AI Innovation Solutions Co. (AIIS)</t>
        </is>
      </c>
      <c r="I400" s="31" t="inlineStr">
        <is>
          <t>Nexora-BI</t>
        </is>
      </c>
      <c r="J400" s="19" t="n"/>
      <c r="K400" s="21" t="n"/>
      <c r="L400" s="22">
        <f>IF(OR(J400="",K400=""),"",J400*K400)</f>
        <v/>
      </c>
      <c r="M400" s="19" t="n"/>
      <c r="N400" s="31" t="inlineStr">
        <is>
          <t>Nexora-BI §3; §3.1; §8</t>
        </is>
      </c>
      <c r="O400" s="31" t="inlineStr">
        <is>
          <t>Delivered by Nexora-BI within the business intelligence, data warehouse, dashboard and reporting scope.</t>
        </is>
      </c>
    </row>
    <row r="401">
      <c r="A401" s="23" t="n">
        <v>398</v>
      </c>
      <c r="B401" s="23" t="inlineStr">
        <is>
          <t>1.6.2.4.2</t>
        </is>
      </c>
      <c r="C401" s="25" t="inlineStr">
        <is>
          <t>Part 1 – General &amp; Programme</t>
        </is>
      </c>
      <c r="D401" s="25" t="inlineStr">
        <is>
          <t>1.6 SYSTEMS DEVELOPMENT, INTEGRATION AND TESTING</t>
        </is>
      </c>
      <c r="E401" s="25" t="inlineStr">
        <is>
          <t>1.6.2 OSS911 SOLUTION BUSINESS INTELLIGENCE, DATABASE REPOSITORY, DASHBOARDS AND REPORTS</t>
        </is>
      </c>
      <c r="F401" s="25" t="inlineStr">
        <is>
          <t>Historical data (any data that is older than the current day)</t>
        </is>
      </c>
      <c r="G401" s="30" t="inlineStr">
        <is>
          <t>C</t>
        </is>
      </c>
      <c r="H401" s="31" t="inlineStr">
        <is>
          <t>AI Innovation Solutions Co. (AIIS)</t>
        </is>
      </c>
      <c r="I401" s="31" t="inlineStr">
        <is>
          <t>Nexora-BI</t>
        </is>
      </c>
      <c r="J401" s="19" t="n"/>
      <c r="K401" s="21" t="n"/>
      <c r="L401" s="22">
        <f>IF(OR(J401="",K401=""),"",J401*K401)</f>
        <v/>
      </c>
      <c r="M401" s="19" t="n"/>
      <c r="N401" s="31" t="inlineStr">
        <is>
          <t>Nexora-BI §3; §3.1; §8</t>
        </is>
      </c>
      <c r="O401" s="31" t="inlineStr">
        <is>
          <t>Delivered by Nexora-BI within the business intelligence, data warehouse, dashboard and reporting scope.</t>
        </is>
      </c>
    </row>
    <row r="402">
      <c r="A402" s="16" t="n">
        <v>399</v>
      </c>
      <c r="B402" s="17" t="inlineStr">
        <is>
          <t>1.6.2.5</t>
        </is>
      </c>
      <c r="C402" s="18" t="inlineStr">
        <is>
          <t>Part 1 – General &amp; Programme</t>
        </is>
      </c>
      <c r="D402" s="18" t="inlineStr">
        <is>
          <t>1.6 SYSTEMS DEVELOPMENT, INTEGRATION AND TESTING</t>
        </is>
      </c>
      <c r="E402" s="18" t="inlineStr">
        <is>
          <t>1.6.2 OSS911 SOLUTION BUSINESS INTELLIGENCE, DATABASE REPOSITORY, DASHBOARDS AND REPORTS</t>
        </is>
      </c>
      <c r="F402" s="18" t="inlineStr">
        <is>
          <t>The CONTRACTOR shall consider for the central OSS911 database repository the expected amount of data related to the incident and different data from different systems and shall apply the best practices related to the database design, implementation, administration, and maintenance this shall include but not limited to (Indexing, Portioning, Indexed Views, Optimized queries, Period routine database checks and reports.).</t>
        </is>
      </c>
      <c r="G402" s="30" t="inlineStr">
        <is>
          <t>C</t>
        </is>
      </c>
      <c r="H402" s="31" t="inlineStr">
        <is>
          <t>AI Innovation Solutions Co. (AIIS)</t>
        </is>
      </c>
      <c r="I402" s="31" t="inlineStr">
        <is>
          <t>Nexora-BI</t>
        </is>
      </c>
      <c r="J402" s="19" t="n"/>
      <c r="K402" s="21" t="n"/>
      <c r="L402" s="22">
        <f>IF(OR(J402="",K402=""),"",J402*K402)</f>
        <v/>
      </c>
      <c r="M402" s="19" t="n"/>
      <c r="N402" s="31" t="inlineStr">
        <is>
          <t>Nexora-BI §3; §3.1; §8</t>
        </is>
      </c>
      <c r="O402" s="31" t="inlineStr">
        <is>
          <t>Indexing, partitioning, indexed views, query optimisation and scheduled routine database checks with periodic health reports.</t>
        </is>
      </c>
    </row>
    <row r="403">
      <c r="A403" s="23" t="n">
        <v>400</v>
      </c>
      <c r="B403" s="24" t="inlineStr">
        <is>
          <t>1.6.2.6</t>
        </is>
      </c>
      <c r="C403" s="25" t="inlineStr">
        <is>
          <t>Part 1 – General &amp; Programme</t>
        </is>
      </c>
      <c r="D403" s="25" t="inlineStr">
        <is>
          <t>1.6 SYSTEMS DEVELOPMENT, INTEGRATION AND TESTING</t>
        </is>
      </c>
      <c r="E403" s="25" t="inlineStr">
        <is>
          <t>1.6.2 OSS911 SOLUTION BUSINESS INTELLIGENCE, DATABASE REPOSITORY, DASHBOARDS AND REPORTS</t>
        </is>
      </c>
      <c r="F403" s="25" t="inlineStr">
        <is>
          <t>The CONTRACTOR shall consider the expected database expansion and provide capacity planning for this database.</t>
        </is>
      </c>
      <c r="G403" s="30" t="inlineStr">
        <is>
          <t>C</t>
        </is>
      </c>
      <c r="H403" s="31" t="inlineStr">
        <is>
          <t>AI Innovation Solutions Co. (AIIS)</t>
        </is>
      </c>
      <c r="I403" s="31" t="inlineStr">
        <is>
          <t>Nexora-BI</t>
        </is>
      </c>
      <c r="J403" s="19" t="n"/>
      <c r="K403" s="21" t="n"/>
      <c r="L403" s="22">
        <f>IF(OR(J403="",K403=""),"",J403*K403)</f>
        <v/>
      </c>
      <c r="M403" s="19" t="n"/>
      <c r="N403" s="31" t="inlineStr">
        <is>
          <t>Nexora-BI §3; §3.1; §8</t>
        </is>
      </c>
      <c r="O403" s="31" t="inlineStr">
        <is>
          <t>Delivered by Nexora-BI within the business intelligence, data warehouse, dashboard and reporting scope.</t>
        </is>
      </c>
    </row>
    <row r="404">
      <c r="A404" s="16" t="n">
        <v>401</v>
      </c>
      <c r="B404" s="17" t="inlineStr">
        <is>
          <t>1.6.2.7</t>
        </is>
      </c>
      <c r="C404" s="18" t="inlineStr">
        <is>
          <t>Part 1 – General &amp; Programme</t>
        </is>
      </c>
      <c r="D404" s="18" t="inlineStr">
        <is>
          <t>1.6 SYSTEMS DEVELOPMENT, INTEGRATION AND TESTING</t>
        </is>
      </c>
      <c r="E404" s="18" t="inlineStr">
        <is>
          <t>1.6.2 OSS911 SOLUTION BUSINESS INTELLIGENCE, DATABASE REPOSITORY, DASHBOARDS AND REPORTS</t>
        </is>
      </c>
      <c r="F404" s="18" t="inlineStr">
        <is>
          <t>All OSS911 contractor supplied databases and any information received from the OSS911 connections to the legacy databases connected to OSS911 shall be searchable against a configurable set of selection parameters and criteria which shall be displayed to operators for immediate recovery.</t>
        </is>
      </c>
      <c r="G404" s="30" t="inlineStr">
        <is>
          <t>C</t>
        </is>
      </c>
      <c r="H404" s="31" t="inlineStr">
        <is>
          <t>AI Innovation Solutions Co. (AIIS)</t>
        </is>
      </c>
      <c r="I404" s="31" t="inlineStr">
        <is>
          <t>Nexora-BI</t>
        </is>
      </c>
      <c r="J404" s="19" t="n"/>
      <c r="K404" s="21" t="n"/>
      <c r="L404" s="22">
        <f>IF(OR(J404="",K404=""),"",J404*K404)</f>
        <v/>
      </c>
      <c r="M404" s="19" t="n"/>
      <c r="N404" s="31" t="inlineStr">
        <is>
          <t>Nexora-BI §3; §3.1; §8</t>
        </is>
      </c>
      <c r="O404" s="31" t="inlineStr">
        <is>
          <t>Nexora-BI is the business intelligence, data warehouse, dashboard and reporting component of the OSS911 solution. This response addresses that component; data produced by the CAD/IRMS, telephony and other subsystems is consumed through the interfaces of Nexora-BI §5 and §10.1. Searchable against a configurable set of selection parameters, presented to authorised users through the Nexora-BI browser interface for immediate recovery.</t>
        </is>
      </c>
    </row>
    <row r="405">
      <c r="A405" s="23" t="n">
        <v>402</v>
      </c>
      <c r="B405" s="24" t="inlineStr">
        <is>
          <t>1.6.2.8</t>
        </is>
      </c>
      <c r="C405" s="25" t="inlineStr">
        <is>
          <t>Part 1 – General &amp; Programme</t>
        </is>
      </c>
      <c r="D405" s="25" t="inlineStr">
        <is>
          <t>1.6 SYSTEMS DEVELOPMENT, INTEGRATION AND TESTING</t>
        </is>
      </c>
      <c r="E405" s="25" t="inlineStr">
        <is>
          <t>1.6.2 OSS911 SOLUTION BUSINESS INTELLIGENCE, DATABASE REPOSITORY, DASHBOARDS AND REPORTS</t>
        </is>
      </c>
      <c r="F405" s="25" t="inlineStr">
        <is>
          <t>The CONTRACTOR implementation of the OSS911 solution shall enable an authorized user to be able to query and generate smart and AI-powered reports, both on a regular and ad-hoc basis, based on a set of parameters, which may include, or exclude, incidents from more than one agency, and which may include or exclude, data relating to one or more subsystems of the OSS911 solution.</t>
        </is>
      </c>
      <c r="G405" s="30" t="inlineStr">
        <is>
          <t>C</t>
        </is>
      </c>
      <c r="H405" s="31" t="inlineStr">
        <is>
          <t>AI Innovation Solutions Co. (AIIS)</t>
        </is>
      </c>
      <c r="I405" s="31" t="inlineStr">
        <is>
          <t>Nexora-BI</t>
        </is>
      </c>
      <c r="J405" s="19" t="n"/>
      <c r="K405" s="21" t="n"/>
      <c r="L405" s="22">
        <f>IF(OR(J405="",K405=""),"",J405*K405)</f>
        <v/>
      </c>
      <c r="M405" s="19" t="n"/>
      <c r="N405" s="31" t="inlineStr">
        <is>
          <t>Nexora-BI §6; §6.1</t>
        </is>
      </c>
      <c r="O405" s="31" t="inlineStr">
        <is>
          <t>Delivered by Nexora-BI within the business intelligence, data warehouse, dashboard and reporting scope.</t>
        </is>
      </c>
    </row>
    <row r="406">
      <c r="A406" s="16" t="n">
        <v>403</v>
      </c>
      <c r="B406" s="17" t="inlineStr">
        <is>
          <t>1.6.2.9</t>
        </is>
      </c>
      <c r="C406" s="18" t="inlineStr">
        <is>
          <t>Part 1 – General &amp; Programme</t>
        </is>
      </c>
      <c r="D406" s="18" t="inlineStr">
        <is>
          <t>1.6 SYSTEMS DEVELOPMENT, INTEGRATION AND TESTING</t>
        </is>
      </c>
      <c r="E406" s="18" t="inlineStr">
        <is>
          <t>1.6.2 OSS911 SOLUTION BUSINESS INTELLIGENCE, DATABASE REPOSITORY, DASHBOARDS AND REPORTS</t>
        </is>
      </c>
      <c r="F406" s="18" t="inlineStr">
        <is>
          <t>The CONTRACTOR shall conduct workshops with the MOI for the CONTRACTOR to define the parameters to be queried, along with the search criteria, the views enabling the queries, the expected output and the visual and printed layout of the output.</t>
        </is>
      </c>
      <c r="G406" s="30" t="inlineStr">
        <is>
          <t>C</t>
        </is>
      </c>
      <c r="H406" s="31" t="inlineStr">
        <is>
          <t>AI Innovation Solutions Co. (AIIS)</t>
        </is>
      </c>
      <c r="I406" s="31" t="inlineStr">
        <is>
          <t>Nexora-BI</t>
        </is>
      </c>
      <c r="J406" s="19" t="n"/>
      <c r="K406" s="21" t="n"/>
      <c r="L406" s="22">
        <f>IF(OR(J406="",K406=""),"",J406*K406)</f>
        <v/>
      </c>
      <c r="M406" s="19" t="n"/>
      <c r="N406" s="31" t="inlineStr">
        <is>
          <t>Nexora-BI §6; §6.1</t>
        </is>
      </c>
      <c r="O406" s="31" t="inlineStr">
        <is>
          <t>Delivered by Nexora-BI within the business intelligence, data warehouse, dashboard and reporting scope.</t>
        </is>
      </c>
    </row>
    <row r="407">
      <c r="A407" s="23" t="n">
        <v>404</v>
      </c>
      <c r="B407" s="24" t="inlineStr">
        <is>
          <t>1.6.2.10</t>
        </is>
      </c>
      <c r="C407" s="25" t="inlineStr">
        <is>
          <t>Part 1 – General &amp; Programme</t>
        </is>
      </c>
      <c r="D407" s="25" t="inlineStr">
        <is>
          <t>1.6 SYSTEMS DEVELOPMENT, INTEGRATION AND TESTING</t>
        </is>
      </c>
      <c r="E407" s="25" t="inlineStr">
        <is>
          <t>1.6.2 OSS911 SOLUTION BUSINESS INTELLIGENCE, DATABASE REPOSITORY, DASHBOARDS AND REPORTS</t>
        </is>
      </c>
      <c r="F407" s="25" t="inlineStr">
        <is>
          <t>The CONTRACTOR shall implement the defined queries, views and reports from the different OSS911 databases.</t>
        </is>
      </c>
      <c r="G407" s="30" t="inlineStr">
        <is>
          <t>C</t>
        </is>
      </c>
      <c r="H407" s="31" t="inlineStr">
        <is>
          <t>AI Innovation Solutions Co. (AIIS)</t>
        </is>
      </c>
      <c r="I407" s="31" t="inlineStr">
        <is>
          <t>Nexora-BI</t>
        </is>
      </c>
      <c r="J407" s="19" t="n"/>
      <c r="K407" s="21" t="n"/>
      <c r="L407" s="22">
        <f>IF(OR(J407="",K407=""),"",J407*K407)</f>
        <v/>
      </c>
      <c r="M407" s="19" t="n"/>
      <c r="N407" s="31" t="inlineStr">
        <is>
          <t>Nexora-BI §6; §6.1</t>
        </is>
      </c>
      <c r="O407" s="31" t="inlineStr">
        <is>
          <t>Delivered by Nexora-BI within the business intelligence, data warehouse, dashboard and reporting scope.</t>
        </is>
      </c>
    </row>
    <row r="408">
      <c r="A408" s="16" t="n">
        <v>405</v>
      </c>
      <c r="B408" s="17" t="inlineStr">
        <is>
          <t>1.6.2.11</t>
        </is>
      </c>
      <c r="C408" s="18" t="inlineStr">
        <is>
          <t>Part 1 – General &amp; Programme</t>
        </is>
      </c>
      <c r="D408" s="18" t="inlineStr">
        <is>
          <t>1.6 SYSTEMS DEVELOPMENT, INTEGRATION AND TESTING</t>
        </is>
      </c>
      <c r="E408" s="18" t="inlineStr">
        <is>
          <t>1.6.2 OSS911 SOLUTION BUSINESS INTELLIGENCE, DATABASE REPOSITORY, DASHBOARDS AND REPORTS</t>
        </is>
      </c>
      <c r="F408" s="18" t="inlineStr">
        <is>
          <t>The CONTRACTOR OSS911 solution shall provide for the ability to create additional queries as needed with independent search parameters, filters, and alerts.</t>
        </is>
      </c>
      <c r="G408" s="30" t="inlineStr">
        <is>
          <t>C</t>
        </is>
      </c>
      <c r="H408" s="31" t="inlineStr">
        <is>
          <t>AI Innovation Solutions Co. (AIIS)</t>
        </is>
      </c>
      <c r="I408" s="31" t="inlineStr">
        <is>
          <t>Nexora-BI</t>
        </is>
      </c>
      <c r="J408" s="19" t="n"/>
      <c r="K408" s="21" t="n"/>
      <c r="L408" s="22">
        <f>IF(OR(J408="",K408=""),"",J408*K408)</f>
        <v/>
      </c>
      <c r="M408" s="19" t="n"/>
      <c r="N408" s="31" t="inlineStr">
        <is>
          <t>Nexora-BI §6; §6.1</t>
        </is>
      </c>
      <c r="O408" s="31" t="inlineStr">
        <is>
          <t>Delivered by Nexora-BI within the business intelligence, data warehouse, dashboard and reporting scope.</t>
        </is>
      </c>
    </row>
    <row r="409">
      <c r="A409" s="23" t="n">
        <v>406</v>
      </c>
      <c r="B409" s="24" t="inlineStr">
        <is>
          <t>1.6.2.12</t>
        </is>
      </c>
      <c r="C409" s="25" t="inlineStr">
        <is>
          <t>Part 1 – General &amp; Programme</t>
        </is>
      </c>
      <c r="D409" s="25" t="inlineStr">
        <is>
          <t>1.6 SYSTEMS DEVELOPMENT, INTEGRATION AND TESTING</t>
        </is>
      </c>
      <c r="E409" s="25" t="inlineStr">
        <is>
          <t>1.6.2 OSS911 SOLUTION BUSINESS INTELLIGENCE, DATABASE REPOSITORY, DASHBOARDS AND REPORTS</t>
        </is>
      </c>
      <c r="F409" s="25" t="inlineStr">
        <is>
          <t>The CONTRACTOR OSS911 solution shall provide for the ability to add, edit, and delete parameters from any query at any time on the fly.</t>
        </is>
      </c>
      <c r="G409" s="30" t="inlineStr">
        <is>
          <t>C</t>
        </is>
      </c>
      <c r="H409" s="31" t="inlineStr">
        <is>
          <t>AI Innovation Solutions Co. (AIIS)</t>
        </is>
      </c>
      <c r="I409" s="31" t="inlineStr">
        <is>
          <t>Nexora-BI</t>
        </is>
      </c>
      <c r="J409" s="19" t="n"/>
      <c r="K409" s="21" t="n"/>
      <c r="L409" s="22">
        <f>IF(OR(J409="",K409=""),"",J409*K409)</f>
        <v/>
      </c>
      <c r="M409" s="19" t="n"/>
      <c r="N409" s="31" t="inlineStr">
        <is>
          <t>Nexora-BI §6; §6.1</t>
        </is>
      </c>
      <c r="O409" s="31" t="inlineStr">
        <is>
          <t>Delivered by Nexora-BI within the business intelligence, data warehouse, dashboard and reporting scope.</t>
        </is>
      </c>
    </row>
    <row r="410">
      <c r="A410" s="16" t="n">
        <v>407</v>
      </c>
      <c r="B410" s="17" t="inlineStr">
        <is>
          <t>1.6.2.13</t>
        </is>
      </c>
      <c r="C410" s="18" t="inlineStr">
        <is>
          <t>Part 1 – General &amp; Programme</t>
        </is>
      </c>
      <c r="D410" s="18" t="inlineStr">
        <is>
          <t>1.6 SYSTEMS DEVELOPMENT, INTEGRATION AND TESTING</t>
        </is>
      </c>
      <c r="E410" s="18" t="inlineStr">
        <is>
          <t>1.6.2 OSS911 SOLUTION BUSINESS INTELLIGENCE, DATABASE REPOSITORY, DASHBOARDS AND REPORTS</t>
        </is>
      </c>
      <c r="F410" s="18" t="inlineStr">
        <is>
          <t>The CONTRACTOR OSS911 solution shall provide the ability to export and import parameters for inclusion in the query via a .CSV or another common file format.</t>
        </is>
      </c>
      <c r="G410" s="30" t="inlineStr">
        <is>
          <t>C</t>
        </is>
      </c>
      <c r="H410" s="31" t="inlineStr">
        <is>
          <t>AI Innovation Solutions Co. (AIIS)</t>
        </is>
      </c>
      <c r="I410" s="31" t="inlineStr">
        <is>
          <t>Nexora-BI</t>
        </is>
      </c>
      <c r="J410" s="19" t="n"/>
      <c r="K410" s="21" t="n"/>
      <c r="L410" s="22">
        <f>IF(OR(J410="",K410=""),"",J410*K410)</f>
        <v/>
      </c>
      <c r="M410" s="19" t="n"/>
      <c r="N410" s="31" t="inlineStr">
        <is>
          <t>Nexora-BI §6; §6.1</t>
        </is>
      </c>
      <c r="O410" s="31" t="inlineStr">
        <is>
          <t>Delivered by Nexora-BI within the business intelligence, data warehouse, dashboard and reporting scope.</t>
        </is>
      </c>
    </row>
    <row r="411">
      <c r="A411" s="23" t="n">
        <v>408</v>
      </c>
      <c r="B411" s="24" t="inlineStr">
        <is>
          <t>1.6.2.14</t>
        </is>
      </c>
      <c r="C411" s="25" t="inlineStr">
        <is>
          <t>Part 1 – General &amp; Programme</t>
        </is>
      </c>
      <c r="D411" s="25" t="inlineStr">
        <is>
          <t>1.6 SYSTEMS DEVELOPMENT, INTEGRATION AND TESTING</t>
        </is>
      </c>
      <c r="E411" s="25" t="inlineStr">
        <is>
          <t>1.6.2 OSS911 SOLUTION BUSINESS INTELLIGENCE, DATABASE REPOSITORY, DASHBOARDS AND REPORTS</t>
        </is>
      </c>
      <c r="F411" s="25" t="inlineStr">
        <is>
          <t>The CONTRACTOR OSS911 solution shall provide the ability to export the OSS911 solution reports in PDF and in Microsoft Word format.</t>
        </is>
      </c>
      <c r="G411" s="30" t="inlineStr">
        <is>
          <t>C</t>
        </is>
      </c>
      <c r="H411" s="31" t="inlineStr">
        <is>
          <t>AI Innovation Solutions Co. (AIIS)</t>
        </is>
      </c>
      <c r="I411" s="31" t="inlineStr">
        <is>
          <t>Nexora-BI</t>
        </is>
      </c>
      <c r="J411" s="19" t="n"/>
      <c r="K411" s="21" t="n"/>
      <c r="L411" s="22">
        <f>IF(OR(J411="",K411=""),"",J411*K411)</f>
        <v/>
      </c>
      <c r="M411" s="19" t="n"/>
      <c r="N411" s="31" t="inlineStr">
        <is>
          <t>Nexora-BI §6; §6.1</t>
        </is>
      </c>
      <c r="O411" s="31" t="inlineStr">
        <is>
          <t>Delivered by Nexora-BI within the business intelligence, data warehouse, dashboard and reporting scope.</t>
        </is>
      </c>
    </row>
    <row r="412">
      <c r="A412" s="16" t="n">
        <v>409</v>
      </c>
      <c r="B412" s="17" t="inlineStr">
        <is>
          <t>1.6.2.15</t>
        </is>
      </c>
      <c r="C412" s="18" t="inlineStr">
        <is>
          <t>Part 1 – General &amp; Programme</t>
        </is>
      </c>
      <c r="D412" s="18" t="inlineStr">
        <is>
          <t>1.6 SYSTEMS DEVELOPMENT, INTEGRATION AND TESTING</t>
        </is>
      </c>
      <c r="E412" s="18" t="inlineStr">
        <is>
          <t>1.6.2 OSS911 SOLUTION BUSINESS INTELLIGENCE, DATABASE REPOSITORY, DASHBOARDS AND REPORTS</t>
        </is>
      </c>
      <c r="F412" s="18" t="inlineStr">
        <is>
          <t>Reporting tools shall allow historical reporting of incidents on a periodic basis. It shall be possible to create short reports using a common Structured Query Language (SQL) based on operator role and privileges. More complex reports shall use a structured reporting tool or an enterprise reporting system linked to the middleware solution.</t>
        </is>
      </c>
      <c r="G412" s="30" t="inlineStr">
        <is>
          <t>C</t>
        </is>
      </c>
      <c r="H412" s="31" t="inlineStr">
        <is>
          <t>AI Innovation Solutions Co. (AIIS)</t>
        </is>
      </c>
      <c r="I412" s="31" t="inlineStr">
        <is>
          <t>Nexora-BI</t>
        </is>
      </c>
      <c r="J412" s="19" t="n"/>
      <c r="K412" s="21" t="n"/>
      <c r="L412" s="22">
        <f>IF(OR(J412="",K412=""),"",J412*K412)</f>
        <v/>
      </c>
      <c r="M412" s="19" t="n"/>
      <c r="N412" s="31" t="inlineStr">
        <is>
          <t>Nexora-BI §6; §6.1</t>
        </is>
      </c>
      <c r="O412" s="31" t="inlineStr">
        <is>
          <t>Governed SQL for short reports subject to operator role and privileges; the enterprise reporting engine is linked to the middleware and ESB layer for complex reports.</t>
        </is>
      </c>
    </row>
    <row r="413">
      <c r="A413" s="23" t="n">
        <v>410</v>
      </c>
      <c r="B413" s="24" t="inlineStr">
        <is>
          <t>1.6.2.16</t>
        </is>
      </c>
      <c r="C413" s="25" t="inlineStr">
        <is>
          <t>Part 1 – General &amp; Programme</t>
        </is>
      </c>
      <c r="D413" s="25" t="inlineStr">
        <is>
          <t>1.6 SYSTEMS DEVELOPMENT, INTEGRATION AND TESTING</t>
        </is>
      </c>
      <c r="E413" s="25" t="inlineStr">
        <is>
          <t>1.6.2 OSS911 SOLUTION BUSINESS INTELLIGENCE, DATABASE REPOSITORY, DASHBOARDS AND REPORTS</t>
        </is>
      </c>
      <c r="F413" s="25" t="inlineStr">
        <is>
          <t>The BIDDER shall indicate the format of reporting queries together with the required skills for their use. Typical types of reports may include:</t>
        </is>
      </c>
      <c r="G413" s="30" t="inlineStr">
        <is>
          <t>C</t>
        </is>
      </c>
      <c r="H413" s="31" t="inlineStr">
        <is>
          <t>AI Innovation Solutions Co. (AIIS)</t>
        </is>
      </c>
      <c r="I413" s="31" t="inlineStr">
        <is>
          <t>Nexora-BI</t>
        </is>
      </c>
      <c r="J413" s="19" t="n"/>
      <c r="K413" s="21" t="n"/>
      <c r="L413" s="22">
        <f>IF(OR(J413="",K413=""),"",J413*K413)</f>
        <v/>
      </c>
      <c r="M413" s="19" t="n"/>
      <c r="N413" s="31" t="inlineStr">
        <is>
          <t>Nexora-BI §6; §6.1</t>
        </is>
      </c>
      <c r="O413" s="31" t="inlineStr">
        <is>
          <t>Reporting queries are expressed as governed metric selections, saved parameter sets or governed SQL. End users require no SQL knowledge; report designers use the visual designer after standard product training; advanced users may write governed SQL within their assigned privileges.</t>
        </is>
      </c>
    </row>
    <row r="414">
      <c r="A414" s="16" t="n">
        <v>411</v>
      </c>
      <c r="B414" s="16" t="inlineStr">
        <is>
          <t>1.6.2.16.1</t>
        </is>
      </c>
      <c r="C414" s="18" t="inlineStr">
        <is>
          <t>Part 1 – General &amp; Programme</t>
        </is>
      </c>
      <c r="D414" s="18" t="inlineStr">
        <is>
          <t>1.6 SYSTEMS DEVELOPMENT, INTEGRATION AND TESTING</t>
        </is>
      </c>
      <c r="E414" s="18" t="inlineStr">
        <is>
          <t>1.6.2 OSS911 SOLUTION BUSINESS INTELLIGENCE, DATABASE REPOSITORY, DASHBOARDS AND REPORTS</t>
        </is>
      </c>
      <c r="F414" s="18" t="inlineStr">
        <is>
          <t>Breakdown of incidents by type and severity</t>
        </is>
      </c>
      <c r="G414" s="30" t="inlineStr">
        <is>
          <t>C</t>
        </is>
      </c>
      <c r="H414" s="31" t="inlineStr">
        <is>
          <t>AI Innovation Solutions Co. (AIIS)</t>
        </is>
      </c>
      <c r="I414" s="31" t="inlineStr">
        <is>
          <t>Nexora-BI</t>
        </is>
      </c>
      <c r="J414" s="19" t="n"/>
      <c r="K414" s="21" t="n"/>
      <c r="L414" s="22">
        <f>IF(OR(J414="",K414=""),"",J414*K414)</f>
        <v/>
      </c>
      <c r="M414" s="19" t="n"/>
      <c r="N414" s="31" t="inlineStr">
        <is>
          <t>Nexora-BI §6; §6.1</t>
        </is>
      </c>
      <c r="O414" s="31" t="inlineStr">
        <is>
          <t>Delivered by Nexora-BI within the business intelligence, data warehouse, dashboard and reporting scope.</t>
        </is>
      </c>
    </row>
    <row r="415">
      <c r="A415" s="23" t="n">
        <v>412</v>
      </c>
      <c r="B415" s="23" t="inlineStr">
        <is>
          <t>1.6.2.16.2</t>
        </is>
      </c>
      <c r="C415" s="25" t="inlineStr">
        <is>
          <t>Part 1 – General &amp; Programme</t>
        </is>
      </c>
      <c r="D415" s="25" t="inlineStr">
        <is>
          <t>1.6 SYSTEMS DEVELOPMENT, INTEGRATION AND TESTING</t>
        </is>
      </c>
      <c r="E415" s="25" t="inlineStr">
        <is>
          <t>1.6.2 OSS911 SOLUTION BUSINESS INTELLIGENCE, DATABASE REPOSITORY, DASHBOARDS AND REPORTS</t>
        </is>
      </c>
      <c r="F415" s="25" t="inlineStr">
        <is>
          <t>Incidents by location and time</t>
        </is>
      </c>
      <c r="G415" s="30" t="inlineStr">
        <is>
          <t>C</t>
        </is>
      </c>
      <c r="H415" s="31" t="inlineStr">
        <is>
          <t>AI Innovation Solutions Co. (AIIS)</t>
        </is>
      </c>
      <c r="I415" s="31" t="inlineStr">
        <is>
          <t>Nexora-BI</t>
        </is>
      </c>
      <c r="J415" s="19" t="n"/>
      <c r="K415" s="21" t="n"/>
      <c r="L415" s="22">
        <f>IF(OR(J415="",K415=""),"",J415*K415)</f>
        <v/>
      </c>
      <c r="M415" s="19" t="n"/>
      <c r="N415" s="31" t="inlineStr">
        <is>
          <t>Nexora-BI §6; §6.1</t>
        </is>
      </c>
      <c r="O415" s="31" t="inlineStr">
        <is>
          <t>Delivered by Nexora-BI within the business intelligence, data warehouse, dashboard and reporting scope.</t>
        </is>
      </c>
    </row>
    <row r="416">
      <c r="A416" s="16" t="n">
        <v>413</v>
      </c>
      <c r="B416" s="16" t="inlineStr">
        <is>
          <t>1.6.2.16.3</t>
        </is>
      </c>
      <c r="C416" s="18" t="inlineStr">
        <is>
          <t>Part 1 – General &amp; Programme</t>
        </is>
      </c>
      <c r="D416" s="18" t="inlineStr">
        <is>
          <t>1.6 SYSTEMS DEVELOPMENT, INTEGRATION AND TESTING</t>
        </is>
      </c>
      <c r="E416" s="18" t="inlineStr">
        <is>
          <t>1.6.2 OSS911 SOLUTION BUSINESS INTELLIGENCE, DATABASE REPOSITORY, DASHBOARDS AND REPORTS</t>
        </is>
      </c>
      <c r="F416" s="18" t="inlineStr">
        <is>
          <t>Average incident resolution times</t>
        </is>
      </c>
      <c r="G416" s="30" t="inlineStr">
        <is>
          <t>C</t>
        </is>
      </c>
      <c r="H416" s="31" t="inlineStr">
        <is>
          <t>AI Innovation Solutions Co. (AIIS)</t>
        </is>
      </c>
      <c r="I416" s="31" t="inlineStr">
        <is>
          <t>Nexora-BI</t>
        </is>
      </c>
      <c r="J416" s="19" t="n"/>
      <c r="K416" s="21" t="n"/>
      <c r="L416" s="22">
        <f>IF(OR(J416="",K416=""),"",J416*K416)</f>
        <v/>
      </c>
      <c r="M416" s="19" t="n"/>
      <c r="N416" s="31" t="inlineStr">
        <is>
          <t>Nexora-BI §6; §6.1</t>
        </is>
      </c>
      <c r="O416" s="31" t="inlineStr">
        <is>
          <t>Delivered by Nexora-BI within the business intelligence, data warehouse, dashboard and reporting scope.</t>
        </is>
      </c>
    </row>
    <row r="417">
      <c r="A417" s="23" t="n">
        <v>414</v>
      </c>
      <c r="B417" s="23" t="inlineStr">
        <is>
          <t>1.6.2.16.4</t>
        </is>
      </c>
      <c r="C417" s="25" t="inlineStr">
        <is>
          <t>Part 1 – General &amp; Programme</t>
        </is>
      </c>
      <c r="D417" s="25" t="inlineStr">
        <is>
          <t>1.6 SYSTEMS DEVELOPMENT, INTEGRATION AND TESTING</t>
        </is>
      </c>
      <c r="E417" s="25" t="inlineStr">
        <is>
          <t>1.6.2 OSS911 SOLUTION BUSINESS INTELLIGENCE, DATABASE REPOSITORY, DASHBOARDS AND REPORTS</t>
        </is>
      </c>
      <c r="F417" s="25" t="inlineStr">
        <is>
          <t>Average response times</t>
        </is>
      </c>
      <c r="G417" s="30" t="inlineStr">
        <is>
          <t>C</t>
        </is>
      </c>
      <c r="H417" s="31" t="inlineStr">
        <is>
          <t>AI Innovation Solutions Co. (AIIS)</t>
        </is>
      </c>
      <c r="I417" s="31" t="inlineStr">
        <is>
          <t>Nexora-BI</t>
        </is>
      </c>
      <c r="J417" s="19" t="n"/>
      <c r="K417" s="21" t="n"/>
      <c r="L417" s="22">
        <f>IF(OR(J417="",K417=""),"",J417*K417)</f>
        <v/>
      </c>
      <c r="M417" s="19" t="n"/>
      <c r="N417" s="31" t="inlineStr">
        <is>
          <t>Nexora-BI §6; §6.1</t>
        </is>
      </c>
      <c r="O417" s="31" t="inlineStr">
        <is>
          <t>Delivered by Nexora-BI within the business intelligence, data warehouse, dashboard and reporting scope.</t>
        </is>
      </c>
    </row>
    <row r="418">
      <c r="A418" s="16" t="n">
        <v>415</v>
      </c>
      <c r="B418" s="17" t="inlineStr">
        <is>
          <t>1.6.2.17</t>
        </is>
      </c>
      <c r="C418" s="18" t="inlineStr">
        <is>
          <t>Part 1 – General &amp; Programme</t>
        </is>
      </c>
      <c r="D418" s="18" t="inlineStr">
        <is>
          <t>1.6 SYSTEMS DEVELOPMENT, INTEGRATION AND TESTING</t>
        </is>
      </c>
      <c r="E418" s="18" t="inlineStr">
        <is>
          <t>1.6.2 OSS911 SOLUTION BUSINESS INTELLIGENCE, DATABASE REPOSITORY, DASHBOARDS AND REPORTS</t>
        </is>
      </c>
      <c r="F418" s="18" t="inlineStr">
        <is>
          <t>The CONTRACTOR shall provide a solution for the customer feedback to be included in business intelligence systems included in OSS911 solution, thus forming part of OSS911 performance statistics.</t>
        </is>
      </c>
      <c r="G418" s="30" t="inlineStr">
        <is>
          <t>C</t>
        </is>
      </c>
      <c r="H418" s="31" t="inlineStr">
        <is>
          <t>AI Innovation Solutions Co. (AIIS)</t>
        </is>
      </c>
      <c r="I418" s="31" t="inlineStr">
        <is>
          <t>Nexora-BI</t>
        </is>
      </c>
      <c r="J418" s="19" t="n"/>
      <c r="K418" s="21" t="n"/>
      <c r="L418" s="22">
        <f>IF(OR(J418="",K418=""),"",J418*K418)</f>
        <v/>
      </c>
      <c r="M418" s="19" t="n"/>
      <c r="N418" s="31" t="inlineStr">
        <is>
          <t>Nexora-BI §3.1; §6.1</t>
        </is>
      </c>
      <c r="O418" s="31" t="inlineStr">
        <is>
          <t>Customer feedback captured through the OSS911 call-back and feedback process is loaded into the warehouse and forms part of the OSS911 performance statistics.</t>
        </is>
      </c>
    </row>
    <row r="419">
      <c r="A419" s="23" t="n">
        <v>416</v>
      </c>
      <c r="B419" s="24" t="inlineStr">
        <is>
          <t>1.6.2.18</t>
        </is>
      </c>
      <c r="C419" s="25" t="inlineStr">
        <is>
          <t>Part 1 – General &amp; Programme</t>
        </is>
      </c>
      <c r="D419" s="25" t="inlineStr">
        <is>
          <t>1.6 SYSTEMS DEVELOPMENT, INTEGRATION AND TESTING</t>
        </is>
      </c>
      <c r="E419" s="25" t="inlineStr">
        <is>
          <t>1.6.2 OSS911 SOLUTION BUSINESS INTELLIGENCE, DATABASE REPOSITORY, DASHBOARDS AND REPORTS</t>
        </is>
      </c>
      <c r="F419" s="25" t="inlineStr">
        <is>
          <t>The CONTRACTOR delivered OSS911 solutions shall provide all existing report types that are available in the existing Makkah 911 center using in-built reporting tools and/or leveraging existing report tools and AI-capabilities.</t>
        </is>
      </c>
      <c r="G419" s="30" t="inlineStr">
        <is>
          <t>C</t>
        </is>
      </c>
      <c r="H419" s="31" t="inlineStr">
        <is>
          <t>AI Innovation Solutions Co. (AIIS)</t>
        </is>
      </c>
      <c r="I419" s="31" t="inlineStr">
        <is>
          <t>Nexora-BI</t>
        </is>
      </c>
      <c r="J419" s="19" t="n"/>
      <c r="K419" s="21" t="n"/>
      <c r="L419" s="22">
        <f>IF(OR(J419="",K419=""),"",J419*K419)</f>
        <v/>
      </c>
      <c r="M419" s="19" t="n"/>
      <c r="N419" s="31" t="inlineStr">
        <is>
          <t>Nexora-BI §6; §6.1</t>
        </is>
      </c>
      <c r="O419" s="31" t="inlineStr">
        <is>
          <t>Existing Makkah 911 report types are delivered within the forty custom reports and twenty custom dashboards, using the Nexora-BI in-built reporting tools and AI-assisted capabilities.</t>
        </is>
      </c>
    </row>
    <row r="420">
      <c r="A420" s="16" t="n">
        <v>417</v>
      </c>
      <c r="B420" s="17" t="inlineStr">
        <is>
          <t>1.6.2.19</t>
        </is>
      </c>
      <c r="C420" s="18" t="inlineStr">
        <is>
          <t>Part 1 – General &amp; Programme</t>
        </is>
      </c>
      <c r="D420" s="18" t="inlineStr">
        <is>
          <t>1.6 SYSTEMS DEVELOPMENT, INTEGRATION AND TESTING</t>
        </is>
      </c>
      <c r="E420" s="18" t="inlineStr">
        <is>
          <t>1.6.2 OSS911 SOLUTION BUSINESS INTELLIGENCE, DATABASE REPOSITORY, DASHBOARDS AND REPORTS</t>
        </is>
      </c>
      <c r="F420" s="18" t="inlineStr">
        <is>
          <t>The CONTRACTOR shall implement a smart and AI-powered single integrated reporting solution for all the subsystems of the OSS911 solution for all the OSS911 centers in scope.</t>
        </is>
      </c>
      <c r="G420" s="30" t="inlineStr">
        <is>
          <t>C</t>
        </is>
      </c>
      <c r="H420" s="31" t="inlineStr">
        <is>
          <t>AI Innovation Solutions Co. (AIIS)</t>
        </is>
      </c>
      <c r="I420" s="31" t="inlineStr">
        <is>
          <t>Nexora-BI</t>
        </is>
      </c>
      <c r="J420" s="19" t="n"/>
      <c r="K420" s="21" t="n"/>
      <c r="L420" s="22">
        <f>IF(OR(J420="",K420=""),"",J420*K420)</f>
        <v/>
      </c>
      <c r="M420" s="19" t="n"/>
      <c r="N420" s="31" t="inlineStr">
        <is>
          <t>Nexora-BI §6; §6.1</t>
        </is>
      </c>
      <c r="O420" s="31" t="inlineStr">
        <is>
          <t>Nexora-BI is the business intelligence, data warehouse, dashboard and reporting component of the OSS911 solution. This response addresses that component; data produced by the CAD/IRMS, telephony and other subsystems is consumed through the interfaces of Nexora-BI §5 and §10.1. A single integrated, AI-assisted reporting solution serves all subsystems whose data reaches the repository through the CAD/IRMS, telephony and ESB interfaces.</t>
        </is>
      </c>
    </row>
    <row r="421">
      <c r="A421" s="23" t="n">
        <v>418</v>
      </c>
      <c r="B421" s="24" t="inlineStr">
        <is>
          <t>1.6.2.20</t>
        </is>
      </c>
      <c r="C421" s="25" t="inlineStr">
        <is>
          <t>Part 1 – General &amp; Programme</t>
        </is>
      </c>
      <c r="D421" s="25" t="inlineStr">
        <is>
          <t>1.6 SYSTEMS DEVELOPMENT, INTEGRATION AND TESTING</t>
        </is>
      </c>
      <c r="E421" s="25" t="inlineStr">
        <is>
          <t>1.6.2 OSS911 SOLUTION BUSINESS INTELLIGENCE, DATABASE REPOSITORY, DASHBOARDS AND REPORTS</t>
        </is>
      </c>
      <c r="F421" s="25" t="inlineStr">
        <is>
          <t>The CONTRACTOR shall conduct workshops with the MOI for the CONTRACTOR to arrive at the final number and type of reports that the OSS911 solution shall provide. The following are some examples of the reports and are provided here only for an indication of the types of reports – this is not the final list of reports:</t>
        </is>
      </c>
      <c r="G421" s="30" t="inlineStr">
        <is>
          <t>C</t>
        </is>
      </c>
      <c r="H421" s="31" t="inlineStr">
        <is>
          <t>AI Innovation Solutions Co. (AIIS)</t>
        </is>
      </c>
      <c r="I421" s="31" t="inlineStr">
        <is>
          <t>Nexora-BI</t>
        </is>
      </c>
      <c r="J421" s="19" t="n"/>
      <c r="K421" s="21" t="n"/>
      <c r="L421" s="22">
        <f>IF(OR(J421="",K421=""),"",J421*K421)</f>
        <v/>
      </c>
      <c r="M421" s="19" t="n"/>
      <c r="N421" s="31" t="inlineStr">
        <is>
          <t>Nexora-BI §6; §6.1</t>
        </is>
      </c>
      <c r="O421" s="31" t="inlineStr">
        <is>
          <t>Delivered by Nexora-BI within the business intelligence, data warehouse, dashboard and reporting scope.</t>
        </is>
      </c>
    </row>
    <row r="422">
      <c r="A422" s="16" t="n">
        <v>419</v>
      </c>
      <c r="B422" s="16" t="inlineStr">
        <is>
          <t>1.6.2.20.1</t>
        </is>
      </c>
      <c r="C422" s="18" t="inlineStr">
        <is>
          <t>Part 1 – General &amp; Programme</t>
        </is>
      </c>
      <c r="D422" s="18" t="inlineStr">
        <is>
          <t>1.6 SYSTEMS DEVELOPMENT, INTEGRATION AND TESTING</t>
        </is>
      </c>
      <c r="E422" s="18" t="inlineStr">
        <is>
          <t>1.6.2 OSS911 SOLUTION BUSINESS INTELLIGENCE, DATABASE REPOSITORY, DASHBOARDS AND REPORTS</t>
        </is>
      </c>
      <c r="F422" s="18" t="inlineStr">
        <is>
          <t>The number of rings that a caller hears before a call taker answered his call.</t>
        </is>
      </c>
      <c r="G422" s="30" t="inlineStr">
        <is>
          <t>C</t>
        </is>
      </c>
      <c r="H422" s="31" t="inlineStr">
        <is>
          <t>AI Innovation Solutions Co. (AIIS)</t>
        </is>
      </c>
      <c r="I422" s="31" t="inlineStr">
        <is>
          <t>Nexora-BI</t>
        </is>
      </c>
      <c r="J422" s="19" t="n"/>
      <c r="K422" s="21" t="n"/>
      <c r="L422" s="22">
        <f>IF(OR(J422="",K422=""),"",J422*K422)</f>
        <v/>
      </c>
      <c r="M422" s="19" t="n"/>
      <c r="N422" s="31" t="inlineStr">
        <is>
          <t>Nexora-BI §6; §6.1</t>
        </is>
      </c>
      <c r="O422" s="31" t="inlineStr">
        <is>
          <t>Delivered from the call detail records supplied by the IP telephony platform.</t>
        </is>
      </c>
    </row>
    <row r="423">
      <c r="A423" s="23" t="n">
        <v>420</v>
      </c>
      <c r="B423" s="23" t="inlineStr">
        <is>
          <t>1.6.2.20.2</t>
        </is>
      </c>
      <c r="C423" s="25" t="inlineStr">
        <is>
          <t>Part 1 – General &amp; Programme</t>
        </is>
      </c>
      <c r="D423" s="25" t="inlineStr">
        <is>
          <t>1.6 SYSTEMS DEVELOPMENT, INTEGRATION AND TESTING</t>
        </is>
      </c>
      <c r="E423" s="25" t="inlineStr">
        <is>
          <t>1.6.2 OSS911 SOLUTION BUSINESS INTELLIGENCE, DATABASE REPOSITORY, DASHBOARDS AND REPORTS</t>
        </is>
      </c>
      <c r="F423" s="25" t="inlineStr">
        <is>
          <t>The number of calls presented to a call taker and the number of calls attended to by that call taker.</t>
        </is>
      </c>
      <c r="G423" s="30" t="inlineStr">
        <is>
          <t>C</t>
        </is>
      </c>
      <c r="H423" s="31" t="inlineStr">
        <is>
          <t>AI Innovation Solutions Co. (AIIS)</t>
        </is>
      </c>
      <c r="I423" s="31" t="inlineStr">
        <is>
          <t>Nexora-BI</t>
        </is>
      </c>
      <c r="J423" s="19" t="n"/>
      <c r="K423" s="21" t="n"/>
      <c r="L423" s="22">
        <f>IF(OR(J423="",K423=""),"",J423*K423)</f>
        <v/>
      </c>
      <c r="M423" s="19" t="n"/>
      <c r="N423" s="31" t="inlineStr">
        <is>
          <t>Nexora-BI §6; §6.1</t>
        </is>
      </c>
      <c r="O423" s="31" t="inlineStr">
        <is>
          <t>Delivered from the call detail records supplied by the IP telephony platform.</t>
        </is>
      </c>
    </row>
    <row r="424">
      <c r="A424" s="16" t="n">
        <v>421</v>
      </c>
      <c r="B424" s="16" t="inlineStr">
        <is>
          <t>1.6.2.20.3</t>
        </is>
      </c>
      <c r="C424" s="18" t="inlineStr">
        <is>
          <t>Part 1 – General &amp; Programme</t>
        </is>
      </c>
      <c r="D424" s="18" t="inlineStr">
        <is>
          <t>1.6 SYSTEMS DEVELOPMENT, INTEGRATION AND TESTING</t>
        </is>
      </c>
      <c r="E424" s="18" t="inlineStr">
        <is>
          <t>1.6.2 OSS911 SOLUTION BUSINESS INTELLIGENCE, DATABASE REPOSITORY, DASHBOARDS AND REPORTS</t>
        </is>
      </c>
      <c r="F424" s="18" t="inlineStr">
        <is>
          <t>Which party terminated / cleared / ended the call - the call taker or the caller.</t>
        </is>
      </c>
      <c r="G424" s="30" t="inlineStr">
        <is>
          <t>C</t>
        </is>
      </c>
      <c r="H424" s="31" t="inlineStr">
        <is>
          <t>AI Innovation Solutions Co. (AIIS)</t>
        </is>
      </c>
      <c r="I424" s="31" t="inlineStr">
        <is>
          <t>Nexora-BI</t>
        </is>
      </c>
      <c r="J424" s="19" t="n"/>
      <c r="K424" s="21" t="n"/>
      <c r="L424" s="22">
        <f>IF(OR(J424="",K424=""),"",J424*K424)</f>
        <v/>
      </c>
      <c r="M424" s="19" t="n"/>
      <c r="N424" s="31" t="inlineStr">
        <is>
          <t>Nexora-BI §6; §6.1</t>
        </is>
      </c>
      <c r="O424" s="31" t="inlineStr">
        <is>
          <t>Delivered from the call detail records supplied by the IP telephony platform.</t>
        </is>
      </c>
    </row>
    <row r="425">
      <c r="A425" s="23" t="n">
        <v>422</v>
      </c>
      <c r="B425" s="23" t="inlineStr">
        <is>
          <t>1.6.2.20.4</t>
        </is>
      </c>
      <c r="C425" s="25" t="inlineStr">
        <is>
          <t>Part 1 – General &amp; Programme</t>
        </is>
      </c>
      <c r="D425" s="25" t="inlineStr">
        <is>
          <t>1.6 SYSTEMS DEVELOPMENT, INTEGRATION AND TESTING</t>
        </is>
      </c>
      <c r="E425" s="25" t="inlineStr">
        <is>
          <t>1.6.2 OSS911 SOLUTION BUSINESS INTELLIGENCE, DATABASE REPOSITORY, DASHBOARDS AND REPORTS</t>
        </is>
      </c>
      <c r="F425" s="25" t="inlineStr">
        <is>
          <t>A history of the lost calls by the same caller.</t>
        </is>
      </c>
      <c r="G425" s="30" t="inlineStr">
        <is>
          <t>C</t>
        </is>
      </c>
      <c r="H425" s="31" t="inlineStr">
        <is>
          <t>AI Innovation Solutions Co. (AIIS)</t>
        </is>
      </c>
      <c r="I425" s="31" t="inlineStr">
        <is>
          <t>Nexora-BI</t>
        </is>
      </c>
      <c r="J425" s="19" t="n"/>
      <c r="K425" s="21" t="n"/>
      <c r="L425" s="22">
        <f>IF(OR(J425="",K425=""),"",J425*K425)</f>
        <v/>
      </c>
      <c r="M425" s="19" t="n"/>
      <c r="N425" s="31" t="inlineStr">
        <is>
          <t>Nexora-BI §6; §6.1</t>
        </is>
      </c>
      <c r="O425" s="31" t="inlineStr">
        <is>
          <t>Delivered from the call detail records supplied by the IP telephony platform.</t>
        </is>
      </c>
    </row>
    <row r="426">
      <c r="A426" s="16" t="n">
        <v>423</v>
      </c>
      <c r="B426" s="16" t="inlineStr">
        <is>
          <t>1.6.2.20.5</t>
        </is>
      </c>
      <c r="C426" s="18" t="inlineStr">
        <is>
          <t>Part 1 – General &amp; Programme</t>
        </is>
      </c>
      <c r="D426" s="18" t="inlineStr">
        <is>
          <t>1.6 SYSTEMS DEVELOPMENT, INTEGRATION AND TESTING</t>
        </is>
      </c>
      <c r="E426" s="18" t="inlineStr">
        <is>
          <t>1.6.2 OSS911 SOLUTION BUSINESS INTELLIGENCE, DATABASE REPOSITORY, DASHBOARDS AND REPORTS</t>
        </is>
      </c>
      <c r="F426" s="18" t="inlineStr">
        <is>
          <t>The number of missed calls, calls transferred and annoying /malicious calls.</t>
        </is>
      </c>
      <c r="G426" s="30" t="inlineStr">
        <is>
          <t>C</t>
        </is>
      </c>
      <c r="H426" s="31" t="inlineStr">
        <is>
          <t>AI Innovation Solutions Co. (AIIS)</t>
        </is>
      </c>
      <c r="I426" s="31" t="inlineStr">
        <is>
          <t>Nexora-BI</t>
        </is>
      </c>
      <c r="J426" s="19" t="n"/>
      <c r="K426" s="21" t="n"/>
      <c r="L426" s="22">
        <f>IF(OR(J426="",K426=""),"",J426*K426)</f>
        <v/>
      </c>
      <c r="M426" s="19" t="n"/>
      <c r="N426" s="31" t="inlineStr">
        <is>
          <t>Nexora-BI §6; §6.1</t>
        </is>
      </c>
      <c r="O426" s="31" t="inlineStr">
        <is>
          <t>Delivered from the call detail records supplied by the IP telephony platform.</t>
        </is>
      </c>
    </row>
    <row r="427">
      <c r="A427" s="23" t="n">
        <v>424</v>
      </c>
      <c r="B427" s="24" t="inlineStr">
        <is>
          <t>1.6.2.21</t>
        </is>
      </c>
      <c r="C427" s="25" t="inlineStr">
        <is>
          <t>Part 1 – General &amp; Programme</t>
        </is>
      </c>
      <c r="D427" s="25" t="inlineStr">
        <is>
          <t>1.6 SYSTEMS DEVELOPMENT, INTEGRATION AND TESTING</t>
        </is>
      </c>
      <c r="E427" s="25" t="inlineStr">
        <is>
          <t>1.6.2 OSS911 SOLUTION BUSINESS INTELLIGENCE, DATABASE REPOSITORY, DASHBOARDS AND REPORTS</t>
        </is>
      </c>
      <c r="F427" s="25" t="inlineStr">
        <is>
          <t>In addition to being able to search and report on data from OSS911 center terminals as described in the above paragraphs, it shall also be possible to securely access this information from suitably authorized computers attached to the OSS911 network through a web browser.</t>
        </is>
      </c>
      <c r="G427" s="30" t="inlineStr">
        <is>
          <t>C</t>
        </is>
      </c>
      <c r="H427" s="31" t="inlineStr">
        <is>
          <t>AI Innovation Solutions Co. (AIIS)</t>
        </is>
      </c>
      <c r="I427" s="31" t="inlineStr">
        <is>
          <t>Nexora-BI</t>
        </is>
      </c>
      <c r="J427" s="19" t="n"/>
      <c r="K427" s="21" t="n"/>
      <c r="L427" s="22">
        <f>IF(OR(J427="",K427=""),"",J427*K427)</f>
        <v/>
      </c>
      <c r="M427" s="19" t="n"/>
      <c r="N427" s="31" t="inlineStr">
        <is>
          <t>Nexora-BI §2; §7.1</t>
        </is>
      </c>
      <c r="O427" s="31" t="inlineStr">
        <is>
          <t>Delivered by Nexora-BI within the business intelligence, data warehouse, dashboard and reporting scope.</t>
        </is>
      </c>
    </row>
    <row r="428">
      <c r="A428" s="16" t="n">
        <v>425</v>
      </c>
      <c r="B428" s="17" t="inlineStr">
        <is>
          <t>1.6.2.22</t>
        </is>
      </c>
      <c r="C428" s="18" t="inlineStr">
        <is>
          <t>Part 1 – General &amp; Programme</t>
        </is>
      </c>
      <c r="D428" s="18" t="inlineStr">
        <is>
          <t>1.6 SYSTEMS DEVELOPMENT, INTEGRATION AND TESTING</t>
        </is>
      </c>
      <c r="E428" s="18" t="inlineStr">
        <is>
          <t>1.6.2 OSS911 SOLUTION BUSINESS INTELLIGENCE, DATABASE REPOSITORY, DASHBOARDS AND REPORTS</t>
        </is>
      </c>
      <c r="F428" s="18" t="inlineStr">
        <is>
          <t>The CONTRACTOR shall provide a web browser-based business intelligence reporting capability that provides:</t>
        </is>
      </c>
      <c r="G428" s="30" t="inlineStr">
        <is>
          <t>C</t>
        </is>
      </c>
      <c r="H428" s="31" t="inlineStr">
        <is>
          <t>AI Innovation Solutions Co. (AIIS)</t>
        </is>
      </c>
      <c r="I428" s="31" t="inlineStr">
        <is>
          <t>Nexora-BI</t>
        </is>
      </c>
      <c r="J428" s="19" t="n"/>
      <c r="K428" s="21" t="n"/>
      <c r="L428" s="22">
        <f>IF(OR(J428="",K428=""),"",J428*K428)</f>
        <v/>
      </c>
      <c r="M428" s="19" t="n"/>
      <c r="N428" s="31" t="inlineStr">
        <is>
          <t>Nexora-BI §2; §7.1</t>
        </is>
      </c>
      <c r="O428" s="31" t="inlineStr">
        <is>
          <t>Delivered by Nexora-BI within the business intelligence, data warehouse, dashboard and reporting scope.</t>
        </is>
      </c>
    </row>
    <row r="429">
      <c r="A429" s="23" t="n">
        <v>426</v>
      </c>
      <c r="B429" s="23" t="inlineStr">
        <is>
          <t>1.6.2.22.1</t>
        </is>
      </c>
      <c r="C429" s="25" t="inlineStr">
        <is>
          <t>Part 1 – General &amp; Programme</t>
        </is>
      </c>
      <c r="D429" s="25" t="inlineStr">
        <is>
          <t>1.6 SYSTEMS DEVELOPMENT, INTEGRATION AND TESTING</t>
        </is>
      </c>
      <c r="E429" s="25" t="inlineStr">
        <is>
          <t>1.6.2 OSS911 SOLUTION BUSINESS INTELLIGENCE, DATABASE REPOSITORY, DASHBOARDS AND REPORTS</t>
        </is>
      </c>
      <c r="F429" s="25" t="inlineStr">
        <is>
          <t>Availability of data, statistics and information from OSS911 systems that shall help strategic decision making to authorized users.</t>
        </is>
      </c>
      <c r="G429" s="30" t="inlineStr">
        <is>
          <t>C</t>
        </is>
      </c>
      <c r="H429" s="31" t="inlineStr">
        <is>
          <t>AI Innovation Solutions Co. (AIIS)</t>
        </is>
      </c>
      <c r="I429" s="31" t="inlineStr">
        <is>
          <t>Nexora-BI</t>
        </is>
      </c>
      <c r="J429" s="19" t="n"/>
      <c r="K429" s="21" t="n"/>
      <c r="L429" s="22">
        <f>IF(OR(J429="",K429=""),"",J429*K429)</f>
        <v/>
      </c>
      <c r="M429" s="19" t="n"/>
      <c r="N429" s="31" t="inlineStr">
        <is>
          <t>Nexora-BI §2; §7.1</t>
        </is>
      </c>
      <c r="O429" s="31" t="inlineStr">
        <is>
          <t>Delivered by Nexora-BI within the business intelligence, data warehouse, dashboard and reporting scope.</t>
        </is>
      </c>
    </row>
    <row r="430">
      <c r="A430" s="16" t="n">
        <v>427</v>
      </c>
      <c r="B430" s="16" t="inlineStr">
        <is>
          <t>1.6.2.22.2</t>
        </is>
      </c>
      <c r="C430" s="18" t="inlineStr">
        <is>
          <t>Part 1 – General &amp; Programme</t>
        </is>
      </c>
      <c r="D430" s="18" t="inlineStr">
        <is>
          <t>1.6 SYSTEMS DEVELOPMENT, INTEGRATION AND TESTING</t>
        </is>
      </c>
      <c r="E430" s="18" t="inlineStr">
        <is>
          <t>1.6.2 OSS911 SOLUTION BUSINESS INTELLIGENCE, DATABASE REPOSITORY, DASHBOARDS AND REPORTS</t>
        </is>
      </c>
      <c r="F430" s="18" t="inlineStr">
        <is>
          <t>Availability of all historical and current data, statistics and information from the OSS911 systems that shall help tactical decision making to authorized users.</t>
        </is>
      </c>
      <c r="G430" s="30" t="inlineStr">
        <is>
          <t>C</t>
        </is>
      </c>
      <c r="H430" s="31" t="inlineStr">
        <is>
          <t>AI Innovation Solutions Co. (AIIS)</t>
        </is>
      </c>
      <c r="I430" s="31" t="inlineStr">
        <is>
          <t>Nexora-BI</t>
        </is>
      </c>
      <c r="J430" s="19" t="n"/>
      <c r="K430" s="21" t="n"/>
      <c r="L430" s="22">
        <f>IF(OR(J430="",K430=""),"",J430*K430)</f>
        <v/>
      </c>
      <c r="M430" s="19" t="n"/>
      <c r="N430" s="31" t="inlineStr">
        <is>
          <t>Nexora-BI §2; §7.1</t>
        </is>
      </c>
      <c r="O430" s="31" t="inlineStr">
        <is>
          <t>Delivered by Nexora-BI within the business intelligence, data warehouse, dashboard and reporting scope.</t>
        </is>
      </c>
    </row>
    <row r="431">
      <c r="A431" s="23" t="n">
        <v>428</v>
      </c>
      <c r="B431" s="24" t="inlineStr">
        <is>
          <t>1.6.2.23</t>
        </is>
      </c>
      <c r="C431" s="25" t="inlineStr">
        <is>
          <t>Part 1 – General &amp; Programme</t>
        </is>
      </c>
      <c r="D431" s="25" t="inlineStr">
        <is>
          <t>1.6 SYSTEMS DEVELOPMENT, INTEGRATION AND TESTING</t>
        </is>
      </c>
      <c r="E431" s="25" t="inlineStr">
        <is>
          <t>1.6.2 OSS911 SOLUTION BUSINESS INTELLIGENCE, DATABASE REPOSITORY, DASHBOARDS AND REPORTS</t>
        </is>
      </c>
      <c r="F431" s="25" t="inlineStr">
        <is>
          <t>The business intelligence solution shall provide customizable reports, displayable at dashboards and printable in legible formats for all OSS911 systems.</t>
        </is>
      </c>
      <c r="G431" s="30" t="inlineStr">
        <is>
          <t>C</t>
        </is>
      </c>
      <c r="H431" s="31" t="inlineStr">
        <is>
          <t>AI Innovation Solutions Co. (AIIS)</t>
        </is>
      </c>
      <c r="I431" s="31" t="inlineStr">
        <is>
          <t>Nexora-BI</t>
        </is>
      </c>
      <c r="J431" s="19" t="n"/>
      <c r="K431" s="21" t="n"/>
      <c r="L431" s="22">
        <f>IF(OR(J431="",K431=""),"",J431*K431)</f>
        <v/>
      </c>
      <c r="M431" s="19" t="n"/>
      <c r="N431" s="31" t="inlineStr">
        <is>
          <t>Nexora-BI §6; §6.1</t>
        </is>
      </c>
      <c r="O431" s="31" t="inlineStr">
        <is>
          <t>Delivered by Nexora-BI within the business intelligence, data warehouse, dashboard and reporting scope.</t>
        </is>
      </c>
    </row>
    <row r="432">
      <c r="A432" s="16" t="n">
        <v>429</v>
      </c>
      <c r="B432" s="17" t="inlineStr">
        <is>
          <t>1.6.2.24</t>
        </is>
      </c>
      <c r="C432" s="18" t="inlineStr">
        <is>
          <t>Part 1 – General &amp; Programme</t>
        </is>
      </c>
      <c r="D432" s="18" t="inlineStr">
        <is>
          <t>1.6 SYSTEMS DEVELOPMENT, INTEGRATION AND TESTING</t>
        </is>
      </c>
      <c r="E432" s="18" t="inlineStr">
        <is>
          <t>1.6.2 OSS911 SOLUTION BUSINESS INTELLIGENCE, DATABASE REPOSITORY, DASHBOARDS AND REPORTS</t>
        </is>
      </c>
      <c r="F432" s="18" t="inlineStr">
        <is>
          <t>Based on their prior experience with public safety 911, emergency and crisis management and video management work, the BIDDER shall identify the predefined reports and dashboards that are available in the COTS products proposed by them for the different subsystems of OSS911 solution.</t>
        </is>
      </c>
      <c r="G432" s="30" t="inlineStr">
        <is>
          <t>C</t>
        </is>
      </c>
      <c r="H432" s="31" t="inlineStr">
        <is>
          <t>AI Innovation Solutions Co. (AIIS)</t>
        </is>
      </c>
      <c r="I432" s="31" t="inlineStr">
        <is>
          <t>Nexora-BI</t>
        </is>
      </c>
      <c r="J432" s="19" t="n"/>
      <c r="K432" s="21" t="n"/>
      <c r="L432" s="22">
        <f>IF(OR(J432="",K432=""),"",J432*K432)</f>
        <v/>
      </c>
      <c r="M432" s="19" t="n"/>
      <c r="N432" s="31" t="inlineStr">
        <is>
          <t>Nexora-BI §6; §6.1</t>
        </is>
      </c>
      <c r="O432" s="31" t="inlineStr">
        <is>
          <t>The predefined reports and dashboards supplied with Nexora-BI are listed in Nexora-BI §6.1. This response covers the business intelligence subsystem; predefined content of other subsystems is identified by their respective suppliers.</t>
        </is>
      </c>
    </row>
    <row r="433">
      <c r="A433" s="23" t="n">
        <v>430</v>
      </c>
      <c r="B433" s="24" t="inlineStr">
        <is>
          <t>1.6.2.25</t>
        </is>
      </c>
      <c r="C433" s="25" t="inlineStr">
        <is>
          <t>Part 1 – General &amp; Programme</t>
        </is>
      </c>
      <c r="D433" s="25" t="inlineStr">
        <is>
          <t>1.6 SYSTEMS DEVELOPMENT, INTEGRATION AND TESTING</t>
        </is>
      </c>
      <c r="E433" s="25" t="inlineStr">
        <is>
          <t>1.6.2 OSS911 SOLUTION BUSINESS INTELLIGENCE, DATABASE REPOSITORY, DASHBOARDS AND REPORTS</t>
        </is>
      </c>
      <c r="F433" s="25" t="inlineStr">
        <is>
          <t>Apart from the predefined reports within the COTS solutions for the various subsystems of OSS911 solution, the CONTRACTOR shall define forty (40) custom reports and twenty (20) dashboards per OSS911 center in scope, and shall implement these in the OSS911 solutions at different MOI nominated locations.</t>
        </is>
      </c>
      <c r="G433" s="30" t="inlineStr">
        <is>
          <t>C</t>
        </is>
      </c>
      <c r="H433" s="31" t="inlineStr">
        <is>
          <t>AI Innovation Solutions Co. (AIIS)</t>
        </is>
      </c>
      <c r="I433" s="31" t="inlineStr">
        <is>
          <t>Nexora-BI</t>
        </is>
      </c>
      <c r="J433" s="19" t="n"/>
      <c r="K433" s="21" t="n"/>
      <c r="L433" s="22">
        <f>IF(OR(J433="",K433=""),"",J433*K433)</f>
        <v/>
      </c>
      <c r="M433" s="19" t="n"/>
      <c r="N433" s="31" t="inlineStr">
        <is>
          <t>Nexora-BI §6; §6.1</t>
        </is>
      </c>
      <c r="O433" s="31" t="inlineStr">
        <is>
          <t>One OSS911 centre within the scope of this RFP: forty custom reports and twenty custom dashboards in total, implemented at the OSS911 centre and at MOI-nominated locations.</t>
        </is>
      </c>
    </row>
    <row r="434">
      <c r="A434" s="16" t="n">
        <v>431</v>
      </c>
      <c r="B434" s="17" t="inlineStr">
        <is>
          <t>1.6.2.26</t>
        </is>
      </c>
      <c r="C434" s="18" t="inlineStr">
        <is>
          <t>Part 1 – General &amp; Programme</t>
        </is>
      </c>
      <c r="D434" s="18" t="inlineStr">
        <is>
          <t>1.6 SYSTEMS DEVELOPMENT, INTEGRATION AND TESTING</t>
        </is>
      </c>
      <c r="E434" s="18" t="inlineStr">
        <is>
          <t>1.6.2 OSS911 SOLUTION BUSINESS INTELLIGENCE, DATABASE REPOSITORY, DASHBOARDS AND REPORTS</t>
        </is>
      </c>
      <c r="F434" s="18" t="inlineStr">
        <is>
          <t>The CONTRACTOR shall provide solutions that enable reporting, statistics and dashboards for display over the various display devices available at the OSS911 center and at different MOI nominated locations.</t>
        </is>
      </c>
      <c r="G434" s="30" t="inlineStr">
        <is>
          <t>C</t>
        </is>
      </c>
      <c r="H434" s="31" t="inlineStr">
        <is>
          <t>AI Innovation Solutions Co. (AIIS)</t>
        </is>
      </c>
      <c r="I434" s="31" t="inlineStr">
        <is>
          <t>Nexora-BI</t>
        </is>
      </c>
      <c r="J434" s="19" t="n"/>
      <c r="K434" s="21" t="n"/>
      <c r="L434" s="22">
        <f>IF(OR(J434="",K434=""),"",J434*K434)</f>
        <v/>
      </c>
      <c r="M434" s="19" t="n"/>
      <c r="N434" s="31" t="inlineStr">
        <is>
          <t>Nexora-BI §2; §7.1</t>
        </is>
      </c>
      <c r="O434" s="31" t="inlineStr">
        <is>
          <t>Delivered by Nexora-BI within the business intelligence, data warehouse, dashboard and reporting scope.</t>
        </is>
      </c>
    </row>
    <row r="435">
      <c r="A435" s="23" t="n">
        <v>432</v>
      </c>
      <c r="B435" s="24" t="inlineStr">
        <is>
          <t>1.6.2.27</t>
        </is>
      </c>
      <c r="C435" s="25" t="inlineStr">
        <is>
          <t>Part 1 – General &amp; Programme</t>
        </is>
      </c>
      <c r="D435" s="25" t="inlineStr">
        <is>
          <t>1.6 SYSTEMS DEVELOPMENT, INTEGRATION AND TESTING</t>
        </is>
      </c>
      <c r="E435" s="25" t="inlineStr">
        <is>
          <t>1.6.2 OSS911 SOLUTION BUSINESS INTELLIGENCE, DATABASE REPOSITORY, DASHBOARDS AND REPORTS</t>
        </is>
      </c>
      <c r="F435" s="25" t="inlineStr">
        <is>
          <t>Business Intelligence dashboards and displays to be delivered by the CONTRACTOR include at least the:</t>
        </is>
      </c>
      <c r="G435" s="30" t="inlineStr">
        <is>
          <t>C</t>
        </is>
      </c>
      <c r="H435" s="31" t="inlineStr">
        <is>
          <t>AI Innovation Solutions Co. (AIIS)</t>
        </is>
      </c>
      <c r="I435" s="31" t="inlineStr">
        <is>
          <t>Nexora-BI</t>
        </is>
      </c>
      <c r="J435" s="19" t="n"/>
      <c r="K435" s="21" t="n"/>
      <c r="L435" s="22">
        <f>IF(OR(J435="",K435=""),"",J435*K435)</f>
        <v/>
      </c>
      <c r="M435" s="19" t="n"/>
      <c r="N435" s="31" t="inlineStr">
        <is>
          <t>Nexora-BI §2; §7.1</t>
        </is>
      </c>
      <c r="O435" s="31" t="inlineStr">
        <is>
          <t>Delivered by Nexora-BI within the business intelligence, data warehouse, dashboard and reporting scope.</t>
        </is>
      </c>
    </row>
    <row r="436">
      <c r="A436" s="16" t="n">
        <v>433</v>
      </c>
      <c r="B436" s="16" t="inlineStr">
        <is>
          <t>1.6.2.27.1</t>
        </is>
      </c>
      <c r="C436" s="18" t="inlineStr">
        <is>
          <t>Part 1 – General &amp; Programme</t>
        </is>
      </c>
      <c r="D436" s="18" t="inlineStr">
        <is>
          <t>1.6 SYSTEMS DEVELOPMENT, INTEGRATION AND TESTING</t>
        </is>
      </c>
      <c r="E436" s="18" t="inlineStr">
        <is>
          <t>1.6.2 OSS911 SOLUTION BUSINESS INTELLIGENCE, DATABASE REPOSITORY, DASHBOARDS AND REPORTS</t>
        </is>
      </c>
      <c r="F436" s="18" t="inlineStr">
        <is>
          <t>Live (real-time) Common Operational Picture</t>
        </is>
      </c>
      <c r="G436" s="30" t="inlineStr">
        <is>
          <t>C</t>
        </is>
      </c>
      <c r="H436" s="31" t="inlineStr">
        <is>
          <t>AI Innovation Solutions Co. (AIIS)</t>
        </is>
      </c>
      <c r="I436" s="31" t="inlineStr">
        <is>
          <t>Nexora-BI</t>
        </is>
      </c>
      <c r="J436" s="19" t="n"/>
      <c r="K436" s="21" t="n"/>
      <c r="L436" s="22">
        <f>IF(OR(J436="",K436=""),"",J436*K436)</f>
        <v/>
      </c>
      <c r="M436" s="19" t="n"/>
      <c r="N436" s="31" t="inlineStr">
        <is>
          <t>Nexora-BI §2; §7.1</t>
        </is>
      </c>
      <c r="O436" s="31" t="inlineStr">
        <is>
          <t>Nexora-BI is the business intelligence, data warehouse, dashboard and reporting component of the OSS911 solution. This response addresses that component; data produced by the CAD/IRMS, telephony and other subsystems is consumed through the interfaces of Nexora-BI §5 and §10.1. Nexora-BI delivers the live common operational picture view within the business intelligence dashboards, sharing the same data source as the COP solution of Section 2.2.</t>
        </is>
      </c>
    </row>
    <row r="437">
      <c r="A437" s="23" t="n">
        <v>434</v>
      </c>
      <c r="B437" s="23" t="inlineStr">
        <is>
          <t>1.6.2.27.2</t>
        </is>
      </c>
      <c r="C437" s="25" t="inlineStr">
        <is>
          <t>Part 1 – General &amp; Programme</t>
        </is>
      </c>
      <c r="D437" s="25" t="inlineStr">
        <is>
          <t>1.6 SYSTEMS DEVELOPMENT, INTEGRATION AND TESTING</t>
        </is>
      </c>
      <c r="E437" s="25" t="inlineStr">
        <is>
          <t>1.6.2 OSS911 SOLUTION BUSINESS INTELLIGENCE, DATABASE REPOSITORY, DASHBOARDS AND REPORTS</t>
        </is>
      </c>
      <c r="F437" s="25" t="inlineStr">
        <is>
          <t>Historical and current (real-time) performance statistics, trends and graphs identifying average, peak and transient incident traffic for all subsystems of the OSS 911 solution</t>
        </is>
      </c>
      <c r="G437" s="30" t="inlineStr">
        <is>
          <t>C</t>
        </is>
      </c>
      <c r="H437" s="31" t="inlineStr">
        <is>
          <t>AI Innovation Solutions Co. (AIIS)</t>
        </is>
      </c>
      <c r="I437" s="31" t="inlineStr">
        <is>
          <t>Nexora-BI</t>
        </is>
      </c>
      <c r="J437" s="19" t="n"/>
      <c r="K437" s="21" t="n"/>
      <c r="L437" s="22">
        <f>IF(OR(J437="",K437=""),"",J437*K437)</f>
        <v/>
      </c>
      <c r="M437" s="19" t="n"/>
      <c r="N437" s="31" t="inlineStr">
        <is>
          <t>Nexora-BI §2; §7.1</t>
        </is>
      </c>
      <c r="O437" s="31" t="inlineStr">
        <is>
          <t>Delivered by Nexora-BI within the business intelligence, data warehouse, dashboard and reporting scope.</t>
        </is>
      </c>
    </row>
    <row r="438">
      <c r="A438" s="16" t="n">
        <v>435</v>
      </c>
      <c r="B438" s="16" t="inlineStr">
        <is>
          <t>1.6.2.27.3</t>
        </is>
      </c>
      <c r="C438" s="18" t="inlineStr">
        <is>
          <t>Part 1 – General &amp; Programme</t>
        </is>
      </c>
      <c r="D438" s="18" t="inlineStr">
        <is>
          <t>1.6 SYSTEMS DEVELOPMENT, INTEGRATION AND TESTING</t>
        </is>
      </c>
      <c r="E438" s="18" t="inlineStr">
        <is>
          <t>1.6.2 OSS911 SOLUTION BUSINESS INTELLIGENCE, DATABASE REPOSITORY, DASHBOARDS AND REPORTS</t>
        </is>
      </c>
      <c r="F438" s="18" t="inlineStr">
        <is>
          <t>Historical and current (real-time) operator performance per shift for all functions of the OSS911 center</t>
        </is>
      </c>
      <c r="G438" s="30" t="inlineStr">
        <is>
          <t>C</t>
        </is>
      </c>
      <c r="H438" s="31" t="inlineStr">
        <is>
          <t>AI Innovation Solutions Co. (AIIS)</t>
        </is>
      </c>
      <c r="I438" s="31" t="inlineStr">
        <is>
          <t>Nexora-BI</t>
        </is>
      </c>
      <c r="J438" s="19" t="n"/>
      <c r="K438" s="21" t="n"/>
      <c r="L438" s="22">
        <f>IF(OR(J438="",K438=""),"",J438*K438)</f>
        <v/>
      </c>
      <c r="M438" s="19" t="n"/>
      <c r="N438" s="31" t="inlineStr">
        <is>
          <t>Nexora-BI §2; §7.1</t>
        </is>
      </c>
      <c r="O438" s="31" t="inlineStr">
        <is>
          <t>Delivered by Nexora-BI within the business intelligence, data warehouse, dashboard and reporting scope.</t>
        </is>
      </c>
    </row>
    <row r="439">
      <c r="A439" s="23" t="n">
        <v>436</v>
      </c>
      <c r="B439" s="23" t="inlineStr">
        <is>
          <t>1.6.2.27.4</t>
        </is>
      </c>
      <c r="C439" s="25" t="inlineStr">
        <is>
          <t>Part 1 – General &amp; Programme</t>
        </is>
      </c>
      <c r="D439" s="25" t="inlineStr">
        <is>
          <t>1.6 SYSTEMS DEVELOPMENT, INTEGRATION AND TESTING</t>
        </is>
      </c>
      <c r="E439" s="25" t="inlineStr">
        <is>
          <t>1.6.2 OSS911 SOLUTION BUSINESS INTELLIGENCE, DATABASE REPOSITORY, DASHBOARDS AND REPORTS</t>
        </is>
      </c>
      <c r="F439" s="25" t="inlineStr">
        <is>
          <t>Other historical and current (real-time) operational measures that will be mutually agreed between the CONTRACTOR and the MOI</t>
        </is>
      </c>
      <c r="G439" s="30" t="inlineStr">
        <is>
          <t>C</t>
        </is>
      </c>
      <c r="H439" s="31" t="inlineStr">
        <is>
          <t>AI Innovation Solutions Co. (AIIS)</t>
        </is>
      </c>
      <c r="I439" s="31" t="inlineStr">
        <is>
          <t>Nexora-BI</t>
        </is>
      </c>
      <c r="J439" s="19" t="n"/>
      <c r="K439" s="21" t="n"/>
      <c r="L439" s="22">
        <f>IF(OR(J439="",K439=""),"",J439*K439)</f>
        <v/>
      </c>
      <c r="M439" s="19" t="n"/>
      <c r="N439" s="31" t="inlineStr">
        <is>
          <t>Nexora-BI §2; §7.1</t>
        </is>
      </c>
      <c r="O439" s="31" t="inlineStr">
        <is>
          <t>Delivered by Nexora-BI within the business intelligence, data warehouse, dashboard and reporting scope.</t>
        </is>
      </c>
    </row>
    <row r="440">
      <c r="A440" s="16" t="n">
        <v>437</v>
      </c>
      <c r="B440" s="17" t="inlineStr">
        <is>
          <t>1.6.2.28</t>
        </is>
      </c>
      <c r="C440" s="18" t="inlineStr">
        <is>
          <t>Part 1 – General &amp; Programme</t>
        </is>
      </c>
      <c r="D440" s="18" t="inlineStr">
        <is>
          <t>1.6 SYSTEMS DEVELOPMENT, INTEGRATION AND TESTING</t>
        </is>
      </c>
      <c r="E440" s="18" t="inlineStr">
        <is>
          <t>1.6.2 OSS911 SOLUTION BUSINESS INTELLIGENCE, DATABASE REPOSITORY, DASHBOARDS AND REPORTS</t>
        </is>
      </c>
      <c r="F440" s="18" t="inlineStr">
        <is>
          <t>The CONTRACTOR shall define reports matching the existing reports and dashboards in Makkah 911 center, along with other customizations as discussed with the MoI and shall implement these in the OSS911 solutions at different MOI nominated locations.</t>
        </is>
      </c>
      <c r="G440" s="30" t="inlineStr">
        <is>
          <t>C</t>
        </is>
      </c>
      <c r="H440" s="31" t="inlineStr">
        <is>
          <t>AI Innovation Solutions Co. (AIIS)</t>
        </is>
      </c>
      <c r="I440" s="31" t="inlineStr">
        <is>
          <t>Nexora-BI</t>
        </is>
      </c>
      <c r="J440" s="19" t="n"/>
      <c r="K440" s="21" t="n"/>
      <c r="L440" s="22">
        <f>IF(OR(J440="",K440=""),"",J440*K440)</f>
        <v/>
      </c>
      <c r="M440" s="19" t="n"/>
      <c r="N440" s="31" t="inlineStr">
        <is>
          <t>Nexora-BI §6; §6.1</t>
        </is>
      </c>
      <c r="O440" s="31" t="inlineStr">
        <is>
          <t>Reports matching the existing Makkah 911 reports and dashboards are delivered within the forty custom reports and twenty custom dashboards.</t>
        </is>
      </c>
    </row>
    <row r="441">
      <c r="A441" s="23" t="n">
        <v>438</v>
      </c>
      <c r="B441" s="24" t="inlineStr">
        <is>
          <t>1.6.2.29</t>
        </is>
      </c>
      <c r="C441" s="25" t="inlineStr">
        <is>
          <t>Part 1 – General &amp; Programme</t>
        </is>
      </c>
      <c r="D441" s="25" t="inlineStr">
        <is>
          <t>1.6 SYSTEMS DEVELOPMENT, INTEGRATION AND TESTING</t>
        </is>
      </c>
      <c r="E441" s="25" t="inlineStr">
        <is>
          <t>1.6.2 OSS911 SOLUTION BUSINESS INTELLIGENCE, DATABASE REPOSITORY, DASHBOARDS AND REPORTS</t>
        </is>
      </c>
      <c r="F441" s="25" t="inlineStr">
        <is>
          <t>The various OSS911 systems shall make available primary incident and alerts information and related data as a web service so that other OSS911 and MOI applications may be able to accept this information for use through the middleware.</t>
        </is>
      </c>
      <c r="G441" s="30" t="inlineStr">
        <is>
          <t>C</t>
        </is>
      </c>
      <c r="H441" s="31" t="inlineStr">
        <is>
          <t>AI Innovation Solutions Co. (AIIS)</t>
        </is>
      </c>
      <c r="I441" s="31" t="inlineStr">
        <is>
          <t>Nexora-BI</t>
        </is>
      </c>
      <c r="J441" s="19" t="n"/>
      <c r="K441" s="21" t="n"/>
      <c r="L441" s="22">
        <f>IF(OR(J441="",K441=""),"",J441*K441)</f>
        <v/>
      </c>
      <c r="M441" s="19" t="n"/>
      <c r="N441" s="31" t="inlineStr">
        <is>
          <t>Nexora-BI §5; §10.1</t>
        </is>
      </c>
      <c r="O441" s="31" t="inlineStr">
        <is>
          <t>Nexora-BI is the business intelligence, data warehouse, dashboard and reporting component of the OSS911 solution. This response addresses that component; data produced by the CAD/IRMS, telephony and other subsystems is consumed through the interfaces of Nexora-BI §5 and §10.1. Primary incident and alert information held in the Nexora-BI repository is made available as a web service for consumption by other OSS911 and MOI applications through the middleware.</t>
        </is>
      </c>
    </row>
    <row r="442">
      <c r="A442" s="16" t="n">
        <v>439</v>
      </c>
      <c r="B442" s="17" t="inlineStr">
        <is>
          <t>1.6.2.30</t>
        </is>
      </c>
      <c r="C442" s="18" t="inlineStr">
        <is>
          <t>Part 1 – General &amp; Programme</t>
        </is>
      </c>
      <c r="D442" s="18" t="inlineStr">
        <is>
          <t>1.6 SYSTEMS DEVELOPMENT, INTEGRATION AND TESTING</t>
        </is>
      </c>
      <c r="E442" s="18" t="inlineStr">
        <is>
          <t>1.6.2 OSS911 SOLUTION BUSINESS INTELLIGENCE, DATABASE REPOSITORY, DASHBOARDS AND REPORTS</t>
        </is>
      </c>
      <c r="F442" s="18" t="inlineStr">
        <is>
          <t>The CONTRACTOR shall include charts and graphical representation of the data in their reports, with the charts type and the representation to be agreed with the MOI as part of the detailed design.</t>
        </is>
      </c>
      <c r="G442" s="30" t="inlineStr">
        <is>
          <t>C</t>
        </is>
      </c>
      <c r="H442" s="31" t="inlineStr">
        <is>
          <t>AI Innovation Solutions Co. (AIIS)</t>
        </is>
      </c>
      <c r="I442" s="31" t="inlineStr">
        <is>
          <t>Nexora-BI</t>
        </is>
      </c>
      <c r="J442" s="19" t="n"/>
      <c r="K442" s="21" t="n"/>
      <c r="L442" s="22">
        <f>IF(OR(J442="",K442=""),"",J442*K442)</f>
        <v/>
      </c>
      <c r="M442" s="19" t="n"/>
      <c r="N442" s="31" t="inlineStr">
        <is>
          <t>Nexora-BI §6; §6.1</t>
        </is>
      </c>
      <c r="O442" s="31" t="inlineStr">
        <is>
          <t>Delivered by Nexora-BI within the business intelligence, data warehouse, dashboard and reporting scope.</t>
        </is>
      </c>
    </row>
    <row r="443">
      <c r="A443" s="23" t="n">
        <v>440</v>
      </c>
      <c r="B443" s="24" t="inlineStr">
        <is>
          <t>1.6.2.31</t>
        </is>
      </c>
      <c r="C443" s="25" t="inlineStr">
        <is>
          <t>Part 1 – General &amp; Programme</t>
        </is>
      </c>
      <c r="D443" s="25" t="inlineStr">
        <is>
          <t>1.6 SYSTEMS DEVELOPMENT, INTEGRATION AND TESTING</t>
        </is>
      </c>
      <c r="E443" s="25" t="inlineStr">
        <is>
          <t>1.6.2 OSS911 SOLUTION BUSINESS INTELLIGENCE, DATABASE REPOSITORY, DASHBOARDS AND REPORTS</t>
        </is>
      </c>
      <c r="F443" s="25" t="inlineStr">
        <is>
          <t>In order to facilitate integration to the OSS911 solution:</t>
        </is>
      </c>
      <c r="G443" s="30" t="inlineStr">
        <is>
          <t>C</t>
        </is>
      </c>
      <c r="H443" s="31" t="inlineStr">
        <is>
          <t>AI Innovation Solutions Co. (AIIS)</t>
        </is>
      </c>
      <c r="I443" s="31" t="inlineStr">
        <is>
          <t>Nexora-BI</t>
        </is>
      </c>
      <c r="J443" s="19" t="n"/>
      <c r="K443" s="21" t="n"/>
      <c r="L443" s="22">
        <f>IF(OR(J443="",K443=""),"",J443*K443)</f>
        <v/>
      </c>
      <c r="M443" s="19" t="n"/>
      <c r="N443" s="31" t="inlineStr">
        <is>
          <t>Nexora-BI §5; §10.1</t>
        </is>
      </c>
      <c r="O443" s="31" t="inlineStr">
        <is>
          <t>Delivered by Nexora-BI within the business intelligence, data warehouse, dashboard and reporting scope.</t>
        </is>
      </c>
    </row>
    <row r="444">
      <c r="A444" s="16" t="n">
        <v>441</v>
      </c>
      <c r="B444" s="16" t="inlineStr">
        <is>
          <t>1.6.2.31.1</t>
        </is>
      </c>
      <c r="C444" s="18" t="inlineStr">
        <is>
          <t>Part 1 – General &amp; Programme</t>
        </is>
      </c>
      <c r="D444" s="18" t="inlineStr">
        <is>
          <t>1.6 SYSTEMS DEVELOPMENT, INTEGRATION AND TESTING</t>
        </is>
      </c>
      <c r="E444" s="18" t="inlineStr">
        <is>
          <t>1.6.2 OSS911 SOLUTION BUSINESS INTELLIGENCE, DATABASE REPOSITORY, DASHBOARDS AND REPORTS</t>
        </is>
      </c>
      <c r="F444" s="18" t="inlineStr">
        <is>
          <t>The CONTRACTOR shall expose all the OSS911systems and the related database and data structures, tables, fields and parameters of the OSS911 solution database repository as database-to-database interactions, Application Programming Interface (APIs), as REST interfaces, webhooks and as web services with access to these controlled by security mechanisms defined in the rest of this document.</t>
        </is>
      </c>
      <c r="G444" s="30" t="inlineStr">
        <is>
          <t>C</t>
        </is>
      </c>
      <c r="H444" s="31" t="inlineStr">
        <is>
          <t>AI Innovation Solutions Co. (AIIS)</t>
        </is>
      </c>
      <c r="I444" s="31" t="inlineStr">
        <is>
          <t>Nexora-BI</t>
        </is>
      </c>
      <c r="J444" s="19" t="n"/>
      <c r="K444" s="21" t="n"/>
      <c r="L444" s="22">
        <f>IF(OR(J444="",K444=""),"",J444*K444)</f>
        <v/>
      </c>
      <c r="M444" s="19" t="n"/>
      <c r="N444" s="31" t="inlineStr">
        <is>
          <t>Nexora-BI §5; §10.1</t>
        </is>
      </c>
      <c r="O444" s="31" t="inlineStr">
        <is>
          <t>Nexora-BI is the business intelligence, data warehouse, dashboard and reporting component of the OSS911 solution. This response addresses that component; data produced by the CAD/IRMS, telephony and other subsystems is consumed through the interfaces of Nexora-BI §5 and §10.1. The Nexora-BI repository, its data structures, tables, fields and parameters are exposed as database-to-database interactions, APIs, REST interfaces, webhooks and web services, under the security mechanisms of this RFP.</t>
        </is>
      </c>
    </row>
    <row r="445">
      <c r="A445" s="23" t="n">
        <v>442</v>
      </c>
      <c r="B445" s="23" t="inlineStr">
        <is>
          <t>1.6.2.31.2</t>
        </is>
      </c>
      <c r="C445" s="25" t="inlineStr">
        <is>
          <t>Part 1 – General &amp; Programme</t>
        </is>
      </c>
      <c r="D445" s="25" t="inlineStr">
        <is>
          <t>1.6 SYSTEMS DEVELOPMENT, INTEGRATION AND TESTING</t>
        </is>
      </c>
      <c r="E445" s="25" t="inlineStr">
        <is>
          <t>1.6.2 OSS911 SOLUTION BUSINESS INTELLIGENCE, DATABASE REPOSITORY, DASHBOARDS AND REPORTS</t>
        </is>
      </c>
      <c r="F445" s="25" t="inlineStr">
        <is>
          <t>The CONTRACTOR shall develop, supply and implement the required adapters for the ESB so that external applications and solutions are able to access all the OSS solutions and related database and data structures, tables, fields and parameters of the OSS911 solution database repository.</t>
        </is>
      </c>
      <c r="G445" s="30" t="inlineStr">
        <is>
          <t>C</t>
        </is>
      </c>
      <c r="H445" s="31" t="inlineStr">
        <is>
          <t>AI Innovation Solutions Co. (AIIS)</t>
        </is>
      </c>
      <c r="I445" s="31" t="inlineStr">
        <is>
          <t>Nexora-BI</t>
        </is>
      </c>
      <c r="J445" s="19" t="n"/>
      <c r="K445" s="21" t="n"/>
      <c r="L445" s="22">
        <f>IF(OR(J445="",K445=""),"",J445*K445)</f>
        <v/>
      </c>
      <c r="M445" s="19" t="n"/>
      <c r="N445" s="31" t="inlineStr">
        <is>
          <t>Nexora-BI §5; §10.1</t>
        </is>
      </c>
      <c r="O445" s="31" t="inlineStr">
        <is>
          <t>Nexora-BI is the business intelligence, data warehouse, dashboard and reporting component of the OSS911 solution. This response addresses that component; data produced by the CAD/IRMS, telephony and other subsystems is consumed through the interfaces of Nexora-BI §5 and §10.1. AIIS develops, supplies and implements the ESB adapters giving external applications access to the Nexora-BI repository, against the approved interface control documentation.</t>
        </is>
      </c>
    </row>
    <row r="446">
      <c r="A446" s="16" t="n">
        <v>443</v>
      </c>
      <c r="B446" s="17" t="inlineStr">
        <is>
          <t>1.6.2.32</t>
        </is>
      </c>
      <c r="C446" s="18" t="inlineStr">
        <is>
          <t>Part 1 – General &amp; Programme</t>
        </is>
      </c>
      <c r="D446" s="18" t="inlineStr">
        <is>
          <t>1.6 SYSTEMS DEVELOPMENT, INTEGRATION AND TESTING</t>
        </is>
      </c>
      <c r="E446" s="18" t="inlineStr">
        <is>
          <t>1.6.2 OSS911 SOLUTION BUSINESS INTELLIGENCE, DATABASE REPOSITORY, DASHBOARDS AND REPORTS</t>
        </is>
      </c>
      <c r="F446" s="18" t="inlineStr">
        <is>
          <t>The CONTRACTOR shall deliver an electronic unencrypted copy of the complete database repository to the MOI in relational database software format along with the corresponding definitions and descriptions of the different fields, tables, views, filters and reports, the database dictionary and the database models – all in Microsoft Office formats.</t>
        </is>
      </c>
      <c r="G446" s="30" t="inlineStr">
        <is>
          <t>C</t>
        </is>
      </c>
      <c r="H446" s="31" t="inlineStr">
        <is>
          <t>AI Innovation Solutions Co. (AIIS)</t>
        </is>
      </c>
      <c r="I446" s="31" t="inlineStr">
        <is>
          <t>Nexora-BI</t>
        </is>
      </c>
      <c r="J446" s="19" t="n"/>
      <c r="K446" s="21" t="n"/>
      <c r="L446" s="22">
        <f>IF(OR(J446="",K446=""),"",J446*K446)</f>
        <v/>
      </c>
      <c r="M446" s="19" t="n"/>
      <c r="N446" s="31" t="inlineStr">
        <is>
          <t>Nexora-BI §9.1</t>
        </is>
      </c>
      <c r="O446" s="31" t="inlineStr">
        <is>
          <t>Unencrypted electronic copy of the complete database repository in relational database format, with definitions of fields, tables, views, filters and reports, the data dictionary and the data models, all delivered in Microsoft Office formats.</t>
        </is>
      </c>
    </row>
    <row r="447">
      <c r="A447" s="23" t="n">
        <v>444</v>
      </c>
      <c r="B447" s="24" t="inlineStr">
        <is>
          <t>1.6.2.33</t>
        </is>
      </c>
      <c r="C447" s="25" t="inlineStr">
        <is>
          <t>Part 1 – General &amp; Programme</t>
        </is>
      </c>
      <c r="D447" s="25" t="inlineStr">
        <is>
          <t>1.6 SYSTEMS DEVELOPMENT, INTEGRATION AND TESTING</t>
        </is>
      </c>
      <c r="E447" s="25" t="inlineStr">
        <is>
          <t>1.6.2 OSS911 SOLUTION BUSINESS INTELLIGENCE, DATABASE REPOSITORY, DASHBOARDS AND REPORTS</t>
        </is>
      </c>
      <c r="F447" s="25" t="inlineStr">
        <is>
          <t>When a given OSS911 center is working as a failover center, the CONTRACTOR solution for business intelligence and dashboards shall provide a single unified dashboard for the OSS911 centers that are being served, while maintaining identification and display of the parameters and statistics by province individually.</t>
        </is>
      </c>
      <c r="G447" s="30" t="inlineStr">
        <is>
          <t>C</t>
        </is>
      </c>
      <c r="H447" s="31" t="inlineStr">
        <is>
          <t>AI Innovation Solutions Co. (AIIS)</t>
        </is>
      </c>
      <c r="I447" s="31" t="inlineStr">
        <is>
          <t>Nexora-BI</t>
        </is>
      </c>
      <c r="J447" s="19" t="n"/>
      <c r="K447" s="21" t="n"/>
      <c r="L447" s="22">
        <f>IF(OR(J447="",K447=""),"",J447*K447)</f>
        <v/>
      </c>
      <c r="M447" s="19" t="n"/>
      <c r="N447" s="31" t="inlineStr">
        <is>
          <t>Nexora-BI §8</t>
        </is>
      </c>
      <c r="O447" s="31" t="inlineStr">
        <is>
          <t>The Nexora-BI business intelligence and dashboard architecture provides a single unified dashboard across the OSS911 centres served, with parameters and statistics identified and displayed by province individually.</t>
        </is>
      </c>
    </row>
    <row r="448">
      <c r="A448" s="16" t="n">
        <v>445</v>
      </c>
      <c r="B448" s="17" t="inlineStr">
        <is>
          <t>1.6.3.1</t>
        </is>
      </c>
      <c r="C448" s="18" t="inlineStr">
        <is>
          <t>Part 1 – General &amp; Programme</t>
        </is>
      </c>
      <c r="D448" s="18" t="inlineStr">
        <is>
          <t>1.6 SYSTEMS DEVELOPMENT, INTEGRATION AND TESTING</t>
        </is>
      </c>
      <c r="E448" s="18" t="inlineStr">
        <is>
          <t>1.6.3 INTEGRATION WITH RESOURCE INFORMATION SYSTEMS</t>
        </is>
      </c>
      <c r="F448" s="18" t="inlineStr">
        <is>
          <t>The CONTRACTOR shall deliver an OSS911 solution that shall be integrated through web services with the resources data available from the sources identified by the MOI and that is stored in the centralized database repository for the OSS911 solution.</t>
        </is>
      </c>
      <c r="G448" s="19" t="n"/>
      <c r="H448" s="20" t="n"/>
      <c r="I448" s="20" t="n"/>
      <c r="J448" s="19" t="n"/>
      <c r="K448" s="21" t="n"/>
      <c r="L448" s="22">
        <f>IF(OR(J448="",K448=""),"",J448*K448)</f>
        <v/>
      </c>
      <c r="M448" s="19" t="n"/>
      <c r="N448" s="20" t="n"/>
      <c r="O448" s="20" t="n"/>
    </row>
    <row r="449">
      <c r="A449" s="23" t="n">
        <v>446</v>
      </c>
      <c r="B449" s="24" t="inlineStr">
        <is>
          <t>1.6.3.2</t>
        </is>
      </c>
      <c r="C449" s="25" t="inlineStr">
        <is>
          <t>Part 1 – General &amp; Programme</t>
        </is>
      </c>
      <c r="D449" s="25" t="inlineStr">
        <is>
          <t>1.6 SYSTEMS DEVELOPMENT, INTEGRATION AND TESTING</t>
        </is>
      </c>
      <c r="E449" s="25" t="inlineStr">
        <is>
          <t>1.6.3 INTEGRATION WITH RESOURCE INFORMATION SYSTEMS</t>
        </is>
      </c>
      <c r="F449" s="25" t="inlineStr">
        <is>
          <t>The CONTRACTOR shall deliver integration of the OSS911 solution with different resource information and data systems in the form of an integrated relational database-based information and a central data repository available to all OSS911 solution.</t>
        </is>
      </c>
      <c r="G449" s="19" t="n"/>
      <c r="H449" s="20" t="n"/>
      <c r="I449" s="20" t="n"/>
      <c r="J449" s="19" t="n"/>
      <c r="K449" s="21" t="n"/>
      <c r="L449" s="22">
        <f>IF(OR(J449="",K449=""),"",J449*K449)</f>
        <v/>
      </c>
      <c r="M449" s="19" t="n"/>
      <c r="N449" s="20" t="n"/>
      <c r="O449" s="20" t="n"/>
    </row>
    <row r="450">
      <c r="A450" s="16" t="n">
        <v>447</v>
      </c>
      <c r="B450" s="17" t="inlineStr">
        <is>
          <t>1.6.3.3</t>
        </is>
      </c>
      <c r="C450" s="18" t="inlineStr">
        <is>
          <t>Part 1 – General &amp; Programme</t>
        </is>
      </c>
      <c r="D450" s="18" t="inlineStr">
        <is>
          <t>1.6 SYSTEMS DEVELOPMENT, INTEGRATION AND TESTING</t>
        </is>
      </c>
      <c r="E450" s="18" t="inlineStr">
        <is>
          <t>1.6.3 INTEGRATION WITH RESOURCE INFORMATION SYSTEMS</t>
        </is>
      </c>
      <c r="F450" s="18" t="inlineStr">
        <is>
          <t>The CONTRACTOR shall capture, populate, maintain and administer within OSS911 systems integrated relational database the data and information related to the different third parties involved.</t>
        </is>
      </c>
      <c r="G450" s="19" t="n"/>
      <c r="H450" s="20" t="n"/>
      <c r="I450" s="20" t="n"/>
      <c r="J450" s="19" t="n"/>
      <c r="K450" s="21" t="n"/>
      <c r="L450" s="22">
        <f>IF(OR(J450="",K450=""),"",J450*K450)</f>
        <v/>
      </c>
      <c r="M450" s="19" t="n"/>
      <c r="N450" s="20" t="n"/>
      <c r="O450" s="20" t="n"/>
    </row>
    <row r="451">
      <c r="A451" s="23" t="n">
        <v>448</v>
      </c>
      <c r="B451" s="24" t="inlineStr">
        <is>
          <t>1.6.3.4</t>
        </is>
      </c>
      <c r="C451" s="25" t="inlineStr">
        <is>
          <t>Part 1 – General &amp; Programme</t>
        </is>
      </c>
      <c r="D451" s="25" t="inlineStr">
        <is>
          <t>1.6 SYSTEMS DEVELOPMENT, INTEGRATION AND TESTING</t>
        </is>
      </c>
      <c r="E451" s="25" t="inlineStr">
        <is>
          <t>1.6.3 INTEGRATION WITH RESOURCE INFORMATION SYSTEMS</t>
        </is>
      </c>
      <c r="F451" s="25" t="inlineStr">
        <is>
          <t>The CONTRACTOR delivered information repository shall allow all management and maintenance operations with the integrated relational database for authorized users including create, update, modify, query, insert, view, report, delete, print, export etc. along with the required tools for achieving these operations.</t>
        </is>
      </c>
      <c r="G451" s="19" t="n"/>
      <c r="H451" s="20" t="n"/>
      <c r="I451" s="20" t="n"/>
      <c r="J451" s="19" t="n"/>
      <c r="K451" s="21" t="n"/>
      <c r="L451" s="22">
        <f>IF(OR(J451="",K451=""),"",J451*K451)</f>
        <v/>
      </c>
      <c r="M451" s="19" t="n"/>
      <c r="N451" s="20" t="n"/>
      <c r="O451" s="20" t="n"/>
    </row>
    <row r="452">
      <c r="A452" s="16" t="n">
        <v>449</v>
      </c>
      <c r="B452" s="17" t="inlineStr">
        <is>
          <t>1.6.3.5</t>
        </is>
      </c>
      <c r="C452" s="18" t="inlineStr">
        <is>
          <t>Part 1 – General &amp; Programme</t>
        </is>
      </c>
      <c r="D452" s="18" t="inlineStr">
        <is>
          <t>1.6 SYSTEMS DEVELOPMENT, INTEGRATION AND TESTING</t>
        </is>
      </c>
      <c r="E452" s="18" t="inlineStr">
        <is>
          <t>1.6.3 INTEGRATION WITH RESOURCE INFORMATION SYSTEMS</t>
        </is>
      </c>
      <c r="F452" s="18" t="inlineStr">
        <is>
          <t>The CONTRACTOR shall deliver this integration such that it allows OSS911 systems to interface with, consume services from, and exchange data with other external systems including but not limited to:</t>
        </is>
      </c>
      <c r="G452" s="19" t="n"/>
      <c r="H452" s="20" t="n"/>
      <c r="I452" s="20" t="n"/>
      <c r="J452" s="19" t="n"/>
      <c r="K452" s="21" t="n"/>
      <c r="L452" s="22">
        <f>IF(OR(J452="",K452=""),"",J452*K452)</f>
        <v/>
      </c>
      <c r="M452" s="19" t="n"/>
      <c r="N452" s="20" t="n"/>
      <c r="O452" s="20" t="n"/>
    </row>
    <row r="453">
      <c r="A453" s="23" t="n">
        <v>450</v>
      </c>
      <c r="B453" s="23" t="inlineStr">
        <is>
          <t>1.6.3.5.1</t>
        </is>
      </c>
      <c r="C453" s="25" t="inlineStr">
        <is>
          <t>Part 1 – General &amp; Programme</t>
        </is>
      </c>
      <c r="D453" s="25" t="inlineStr">
        <is>
          <t>1.6 SYSTEMS DEVELOPMENT, INTEGRATION AND TESTING</t>
        </is>
      </c>
      <c r="E453" s="25" t="inlineStr">
        <is>
          <t>1.6.3 INTEGRATION WITH RESOURCE INFORMATION SYSTEMS</t>
        </is>
      </c>
      <c r="F453" s="25" t="inlineStr">
        <is>
          <t>Other AI-enabled tools and information systems</t>
        </is>
      </c>
      <c r="G453" s="19" t="n"/>
      <c r="H453" s="20" t="n"/>
      <c r="I453" s="20" t="n"/>
      <c r="J453" s="19" t="n"/>
      <c r="K453" s="21" t="n"/>
      <c r="L453" s="22">
        <f>IF(OR(J453="",K453=""),"",J453*K453)</f>
        <v/>
      </c>
      <c r="M453" s="19" t="n"/>
      <c r="N453" s="20" t="n"/>
      <c r="O453" s="20" t="n"/>
    </row>
    <row r="454">
      <c r="A454" s="16" t="n">
        <v>451</v>
      </c>
      <c r="B454" s="16" t="inlineStr">
        <is>
          <t>1.6.3.5.2</t>
        </is>
      </c>
      <c r="C454" s="18" t="inlineStr">
        <is>
          <t>Part 1 – General &amp; Programme</t>
        </is>
      </c>
      <c r="D454" s="18" t="inlineStr">
        <is>
          <t>1.6 SYSTEMS DEVELOPMENT, INTEGRATION AND TESTING</t>
        </is>
      </c>
      <c r="E454" s="18" t="inlineStr">
        <is>
          <t>1.6.3 INTEGRATION WITH RESOURCE INFORMATION SYSTEMS</t>
        </is>
      </c>
      <c r="F454" s="18" t="inlineStr">
        <is>
          <t>Other communication systems utilizing SIP protocol and SIP protocol extensions</t>
        </is>
      </c>
      <c r="G454" s="19" t="n"/>
      <c r="H454" s="20" t="n"/>
      <c r="I454" s="20" t="n"/>
      <c r="J454" s="19" t="n"/>
      <c r="K454" s="21" t="n"/>
      <c r="L454" s="22">
        <f>IF(OR(J454="",K454=""),"",J454*K454)</f>
        <v/>
      </c>
      <c r="M454" s="19" t="n"/>
      <c r="N454" s="20" t="n"/>
      <c r="O454" s="20" t="n"/>
    </row>
    <row r="455">
      <c r="A455" s="23" t="n">
        <v>452</v>
      </c>
      <c r="B455" s="23" t="inlineStr">
        <is>
          <t>1.6.3.5.3</t>
        </is>
      </c>
      <c r="C455" s="25" t="inlineStr">
        <is>
          <t>Part 1 – General &amp; Programme</t>
        </is>
      </c>
      <c r="D455" s="25" t="inlineStr">
        <is>
          <t>1.6 SYSTEMS DEVELOPMENT, INTEGRATION AND TESTING</t>
        </is>
      </c>
      <c r="E455" s="25" t="inlineStr">
        <is>
          <t>1.6.3 INTEGRATION WITH RESOURCE INFORMATION SYSTEMS</t>
        </is>
      </c>
      <c r="F455" s="25" t="inlineStr">
        <is>
          <t>Other computer aided dispatch systems</t>
        </is>
      </c>
      <c r="G455" s="19" t="n"/>
      <c r="H455" s="20" t="n"/>
      <c r="I455" s="20" t="n"/>
      <c r="J455" s="19" t="n"/>
      <c r="K455" s="21" t="n"/>
      <c r="L455" s="22">
        <f>IF(OR(J455="",K455=""),"",J455*K455)</f>
        <v/>
      </c>
      <c r="M455" s="19" t="n"/>
      <c r="N455" s="20" t="n"/>
      <c r="O455" s="20" t="n"/>
    </row>
    <row r="456">
      <c r="A456" s="16" t="n">
        <v>453</v>
      </c>
      <c r="B456" s="16" t="inlineStr">
        <is>
          <t>1.6.3.5.4</t>
        </is>
      </c>
      <c r="C456" s="18" t="inlineStr">
        <is>
          <t>Part 1 – General &amp; Programme</t>
        </is>
      </c>
      <c r="D456" s="18" t="inlineStr">
        <is>
          <t>1.6 SYSTEMS DEVELOPMENT, INTEGRATION AND TESTING</t>
        </is>
      </c>
      <c r="E456" s="18" t="inlineStr">
        <is>
          <t>1.6.3 INTEGRATION WITH RESOURCE INFORMATION SYSTEMS</t>
        </is>
      </c>
      <c r="F456" s="18" t="inlineStr">
        <is>
          <t>Other Geographical Information Systems (GIS)</t>
        </is>
      </c>
      <c r="G456" s="19" t="n"/>
      <c r="H456" s="20" t="n"/>
      <c r="I456" s="20" t="n"/>
      <c r="J456" s="19" t="n"/>
      <c r="K456" s="21" t="n"/>
      <c r="L456" s="22">
        <f>IF(OR(J456="",K456=""),"",J456*K456)</f>
        <v/>
      </c>
      <c r="M456" s="19" t="n"/>
      <c r="N456" s="20" t="n"/>
      <c r="O456" s="20" t="n"/>
    </row>
    <row r="457">
      <c r="A457" s="23" t="n">
        <v>454</v>
      </c>
      <c r="B457" s="23" t="inlineStr">
        <is>
          <t>1.6.3.5.5</t>
        </is>
      </c>
      <c r="C457" s="25" t="inlineStr">
        <is>
          <t>Part 1 – General &amp; Programme</t>
        </is>
      </c>
      <c r="D457" s="25" t="inlineStr">
        <is>
          <t>1.6 SYSTEMS DEVELOPMENT, INTEGRATION AND TESTING</t>
        </is>
      </c>
      <c r="E457" s="25" t="inlineStr">
        <is>
          <t>1.6.3 INTEGRATION WITH RESOURCE INFORMATION SYSTEMS</t>
        </is>
      </c>
      <c r="F457" s="25" t="inlineStr">
        <is>
          <t>Other video management systems</t>
        </is>
      </c>
      <c r="G457" s="19" t="n"/>
      <c r="H457" s="20" t="n"/>
      <c r="I457" s="20" t="n"/>
      <c r="J457" s="19" t="n"/>
      <c r="K457" s="21" t="n"/>
      <c r="L457" s="22">
        <f>IF(OR(J457="",K457=""),"",J457*K457)</f>
        <v/>
      </c>
      <c r="M457" s="19" t="n"/>
      <c r="N457" s="20" t="n"/>
      <c r="O457" s="20" t="n"/>
    </row>
    <row r="458">
      <c r="A458" s="16" t="n">
        <v>455</v>
      </c>
      <c r="B458" s="16" t="inlineStr">
        <is>
          <t>1.6.3.5.6</t>
        </is>
      </c>
      <c r="C458" s="18" t="inlineStr">
        <is>
          <t>Part 1 – General &amp; Programme</t>
        </is>
      </c>
      <c r="D458" s="18" t="inlineStr">
        <is>
          <t>1.6 SYSTEMS DEVELOPMENT, INTEGRATION AND TESTING</t>
        </is>
      </c>
      <c r="E458" s="18" t="inlineStr">
        <is>
          <t>1.6.3 INTEGRATION WITH RESOURCE INFORMATION SYSTEMS</t>
        </is>
      </c>
      <c r="F458" s="18" t="inlineStr">
        <is>
          <t>Other hearing-impaired systems with video call capability</t>
        </is>
      </c>
      <c r="G458" s="19" t="n"/>
      <c r="H458" s="20" t="n"/>
      <c r="I458" s="20" t="n"/>
      <c r="J458" s="19" t="n"/>
      <c r="K458" s="21" t="n"/>
      <c r="L458" s="22">
        <f>IF(OR(J458="",K458=""),"",J458*K458)</f>
        <v/>
      </c>
      <c r="M458" s="19" t="n"/>
      <c r="N458" s="20" t="n"/>
      <c r="O458" s="20" t="n"/>
    </row>
    <row r="459">
      <c r="A459" s="23" t="n">
        <v>456</v>
      </c>
      <c r="B459" s="23" t="inlineStr">
        <is>
          <t>1.6.3.5.7</t>
        </is>
      </c>
      <c r="C459" s="25" t="inlineStr">
        <is>
          <t>Part 1 – General &amp; Programme</t>
        </is>
      </c>
      <c r="D459" s="25" t="inlineStr">
        <is>
          <t>1.6 SYSTEMS DEVELOPMENT, INTEGRATION AND TESTING</t>
        </is>
      </c>
      <c r="E459" s="25" t="inlineStr">
        <is>
          <t>1.6.3 INTEGRATION WITH RESOURCE INFORMATION SYSTEMS</t>
        </is>
      </c>
      <c r="F459" s="25" t="inlineStr">
        <is>
          <t>Maidan platform and related systems from the MOI</t>
        </is>
      </c>
      <c r="G459" s="19" t="n"/>
      <c r="H459" s="20" t="n"/>
      <c r="I459" s="20" t="n"/>
      <c r="J459" s="19" t="n"/>
      <c r="K459" s="21" t="n"/>
      <c r="L459" s="22">
        <f>IF(OR(J459="",K459=""),"",J459*K459)</f>
        <v/>
      </c>
      <c r="M459" s="19" t="n"/>
      <c r="N459" s="20" t="n"/>
      <c r="O459" s="20" t="n"/>
    </row>
    <row r="460">
      <c r="A460" s="16" t="n">
        <v>457</v>
      </c>
      <c r="B460" s="16" t="inlineStr">
        <is>
          <t>1.6.3.5.8</t>
        </is>
      </c>
      <c r="C460" s="18" t="inlineStr">
        <is>
          <t>Part 1 – General &amp; Programme</t>
        </is>
      </c>
      <c r="D460" s="18" t="inlineStr">
        <is>
          <t>1.6 SYSTEMS DEVELOPMENT, INTEGRATION AND TESTING</t>
        </is>
      </c>
      <c r="E460" s="18" t="inlineStr">
        <is>
          <t>1.6.3 INTEGRATION WITH RESOURCE INFORMATION SYSTEMS</t>
        </is>
      </c>
      <c r="F460" s="18" t="inlineStr">
        <is>
          <t>Central Information Datawarehouse (CID) solution from the MOI</t>
        </is>
      </c>
      <c r="G460" s="19" t="n"/>
      <c r="H460" s="20" t="n"/>
      <c r="I460" s="20" t="n"/>
      <c r="J460" s="19" t="n"/>
      <c r="K460" s="21" t="n"/>
      <c r="L460" s="22">
        <f>IF(OR(J460="",K460=""),"",J460*K460)</f>
        <v/>
      </c>
      <c r="M460" s="19" t="n"/>
      <c r="N460" s="20" t="n"/>
      <c r="O460" s="20" t="n"/>
    </row>
    <row r="461">
      <c r="A461" s="23" t="n">
        <v>458</v>
      </c>
      <c r="B461" s="23" t="inlineStr">
        <is>
          <t>1.6.3.5.9</t>
        </is>
      </c>
      <c r="C461" s="25" t="inlineStr">
        <is>
          <t>Part 1 – General &amp; Programme</t>
        </is>
      </c>
      <c r="D461" s="25" t="inlineStr">
        <is>
          <t>1.6 SYSTEMS DEVELOPMENT, INTEGRATION AND TESTING</t>
        </is>
      </c>
      <c r="E461" s="25" t="inlineStr">
        <is>
          <t>1.6.3 INTEGRATION WITH RESOURCE INFORMATION SYSTEMS</t>
        </is>
      </c>
      <c r="F461" s="25" t="inlineStr">
        <is>
          <t>Kullunaamn system from the MOI</t>
        </is>
      </c>
      <c r="G461" s="19" t="n"/>
      <c r="H461" s="20" t="n"/>
      <c r="I461" s="20" t="n"/>
      <c r="J461" s="19" t="n"/>
      <c r="K461" s="21" t="n"/>
      <c r="L461" s="22">
        <f>IF(OR(J461="",K461=""),"",J461*K461)</f>
        <v/>
      </c>
      <c r="M461" s="19" t="n"/>
      <c r="N461" s="20" t="n"/>
      <c r="O461" s="20" t="n"/>
    </row>
    <row r="462">
      <c r="A462" s="16" t="n">
        <v>459</v>
      </c>
      <c r="B462" s="16" t="inlineStr">
        <is>
          <t>1.6.3.5.10</t>
        </is>
      </c>
      <c r="C462" s="18" t="inlineStr">
        <is>
          <t>Part 1 – General &amp; Programme</t>
        </is>
      </c>
      <c r="D462" s="18" t="inlineStr">
        <is>
          <t>1.6 SYSTEMS DEVELOPMENT, INTEGRATION AND TESTING</t>
        </is>
      </c>
      <c r="E462" s="18" t="inlineStr">
        <is>
          <t>1.6.3 INTEGRATION WITH RESOURCE INFORMATION SYSTEMS</t>
        </is>
      </c>
      <c r="F462" s="18" t="inlineStr">
        <is>
          <t>Drones and IoT platforms</t>
        </is>
      </c>
      <c r="G462" s="19" t="n"/>
      <c r="H462" s="20" t="n"/>
      <c r="I462" s="20" t="n"/>
      <c r="J462" s="19" t="n"/>
      <c r="K462" s="21" t="n"/>
      <c r="L462" s="22">
        <f>IF(OR(J462="",K462=""),"",J462*K462)</f>
        <v/>
      </c>
      <c r="M462" s="19" t="n"/>
      <c r="N462" s="20" t="n"/>
      <c r="O462" s="20" t="n"/>
    </row>
    <row r="463">
      <c r="A463" s="23" t="n">
        <v>460</v>
      </c>
      <c r="B463" s="23" t="inlineStr">
        <is>
          <t>1.6.3.5.11</t>
        </is>
      </c>
      <c r="C463" s="25" t="inlineStr">
        <is>
          <t>Part 1 – General &amp; Programme</t>
        </is>
      </c>
      <c r="D463" s="25" t="inlineStr">
        <is>
          <t>1.6 SYSTEMS DEVELOPMENT, INTEGRATION AND TESTING</t>
        </is>
      </c>
      <c r="E463" s="25" t="inlineStr">
        <is>
          <t>1.6.3 INTEGRATION WITH RESOURCE INFORMATION SYSTEMS</t>
        </is>
      </c>
      <c r="F463" s="25" t="inlineStr">
        <is>
          <t>Smart cameras</t>
        </is>
      </c>
      <c r="G463" s="19" t="n"/>
      <c r="H463" s="20" t="n"/>
      <c r="I463" s="20" t="n"/>
      <c r="J463" s="19" t="n"/>
      <c r="K463" s="21" t="n"/>
      <c r="L463" s="22">
        <f>IF(OR(J463="",K463=""),"",J463*K463)</f>
        <v/>
      </c>
      <c r="M463" s="19" t="n"/>
      <c r="N463" s="20" t="n"/>
      <c r="O463" s="20" t="n"/>
    </row>
    <row r="464">
      <c r="A464" s="16" t="n">
        <v>461</v>
      </c>
      <c r="B464" s="16" t="inlineStr">
        <is>
          <t>1.6.3.5.12</t>
        </is>
      </c>
      <c r="C464" s="18" t="inlineStr">
        <is>
          <t>Part 1 – General &amp; Programme</t>
        </is>
      </c>
      <c r="D464" s="18" t="inlineStr">
        <is>
          <t>1.6 SYSTEMS DEVELOPMENT, INTEGRATION AND TESTING</t>
        </is>
      </c>
      <c r="E464" s="18" t="inlineStr">
        <is>
          <t>1.6.3 INTEGRATION WITH RESOURCE INFORMATION SYSTEMS</t>
        </is>
      </c>
      <c r="F464" s="18" t="inlineStr">
        <is>
          <t>Fire detection and management systems</t>
        </is>
      </c>
      <c r="G464" s="19" t="n"/>
      <c r="H464" s="20" t="n"/>
      <c r="I464" s="20" t="n"/>
      <c r="J464" s="19" t="n"/>
      <c r="K464" s="21" t="n"/>
      <c r="L464" s="22">
        <f>IF(OR(J464="",K464=""),"",J464*K464)</f>
        <v/>
      </c>
      <c r="M464" s="19" t="n"/>
      <c r="N464" s="20" t="n"/>
      <c r="O464" s="20" t="n"/>
    </row>
    <row r="465">
      <c r="A465" s="23" t="n">
        <v>462</v>
      </c>
      <c r="B465" s="23" t="inlineStr">
        <is>
          <t>1.6.3.5.13</t>
        </is>
      </c>
      <c r="C465" s="25" t="inlineStr">
        <is>
          <t>Part 1 – General &amp; Programme</t>
        </is>
      </c>
      <c r="D465" s="25" t="inlineStr">
        <is>
          <t>1.6 SYSTEMS DEVELOPMENT, INTEGRATION AND TESTING</t>
        </is>
      </c>
      <c r="E465" s="25" t="inlineStr">
        <is>
          <t>1.6.3 INTEGRATION WITH RESOURCE INFORMATION SYSTEMS</t>
        </is>
      </c>
      <c r="F465" s="25" t="inlineStr">
        <is>
          <t>Alarm management systems</t>
        </is>
      </c>
      <c r="G465" s="19" t="n"/>
      <c r="H465" s="20" t="n"/>
      <c r="I465" s="20" t="n"/>
      <c r="J465" s="19" t="n"/>
      <c r="K465" s="21" t="n"/>
      <c r="L465" s="22">
        <f>IF(OR(J465="",K465=""),"",J465*K465)</f>
        <v/>
      </c>
      <c r="M465" s="19" t="n"/>
      <c r="N465" s="20" t="n"/>
      <c r="O465" s="20" t="n"/>
    </row>
    <row r="466">
      <c r="A466" s="16" t="n">
        <v>463</v>
      </c>
      <c r="B466" s="16" t="inlineStr">
        <is>
          <t>1.6.3.5.14</t>
        </is>
      </c>
      <c r="C466" s="18" t="inlineStr">
        <is>
          <t>Part 1 – General &amp; Programme</t>
        </is>
      </c>
      <c r="D466" s="18" t="inlineStr">
        <is>
          <t>1.6 SYSTEMS DEVELOPMENT, INTEGRATION AND TESTING</t>
        </is>
      </c>
      <c r="E466" s="18" t="inlineStr">
        <is>
          <t>1.6.3 INTEGRATION WITH RESOURCE INFORMATION SYSTEMS</t>
        </is>
      </c>
      <c r="F466" s="18" t="inlineStr">
        <is>
          <t>Municipality systems</t>
        </is>
      </c>
      <c r="G466" s="19" t="n"/>
      <c r="H466" s="20" t="n"/>
      <c r="I466" s="20" t="n"/>
      <c r="J466" s="19" t="n"/>
      <c r="K466" s="21" t="n"/>
      <c r="L466" s="22">
        <f>IF(OR(J466="",K466=""),"",J466*K466)</f>
        <v/>
      </c>
      <c r="M466" s="19" t="n"/>
      <c r="N466" s="20" t="n"/>
      <c r="O466" s="20" t="n"/>
    </row>
    <row r="467">
      <c r="A467" s="23" t="n">
        <v>464</v>
      </c>
      <c r="B467" s="23" t="inlineStr">
        <is>
          <t>1.6.3.5.15</t>
        </is>
      </c>
      <c r="C467" s="25" t="inlineStr">
        <is>
          <t>Part 1 – General &amp; Programme</t>
        </is>
      </c>
      <c r="D467" s="25" t="inlineStr">
        <is>
          <t>1.6 SYSTEMS DEVELOPMENT, INTEGRATION AND TESTING</t>
        </is>
      </c>
      <c r="E467" s="25" t="inlineStr">
        <is>
          <t>1.6.3 INTEGRATION WITH RESOURCE INFORMATION SYSTEMS</t>
        </is>
      </c>
      <c r="F467" s="25" t="inlineStr">
        <is>
          <t>Transportation Systems</t>
        </is>
      </c>
      <c r="G467" s="19" t="n"/>
      <c r="H467" s="20" t="n"/>
      <c r="I467" s="20" t="n"/>
      <c r="J467" s="19" t="n"/>
      <c r="K467" s="21" t="n"/>
      <c r="L467" s="22">
        <f>IF(OR(J467="",K467=""),"",J467*K467)</f>
        <v/>
      </c>
      <c r="M467" s="19" t="n"/>
      <c r="N467" s="20" t="n"/>
      <c r="O467" s="20" t="n"/>
    </row>
    <row r="468">
      <c r="A468" s="16" t="n">
        <v>465</v>
      </c>
      <c r="B468" s="16" t="inlineStr">
        <is>
          <t>1.6.3.5.16</t>
        </is>
      </c>
      <c r="C468" s="18" t="inlineStr">
        <is>
          <t>Part 1 – General &amp; Programme</t>
        </is>
      </c>
      <c r="D468" s="18" t="inlineStr">
        <is>
          <t>1.6 SYSTEMS DEVELOPMENT, INTEGRATION AND TESTING</t>
        </is>
      </c>
      <c r="E468" s="18" t="inlineStr">
        <is>
          <t>1.6.3 INTEGRATION WITH RESOURCE INFORMATION SYSTEMS</t>
        </is>
      </c>
      <c r="F468" s="18" t="inlineStr">
        <is>
          <t>Traffic Management Systems</t>
        </is>
      </c>
      <c r="G468" s="19" t="n"/>
      <c r="H468" s="20" t="n"/>
      <c r="I468" s="20" t="n"/>
      <c r="J468" s="19" t="n"/>
      <c r="K468" s="21" t="n"/>
      <c r="L468" s="22">
        <f>IF(OR(J468="",K468=""),"",J468*K468)</f>
        <v/>
      </c>
      <c r="M468" s="19" t="n"/>
      <c r="N468" s="20" t="n"/>
      <c r="O468" s="20" t="n"/>
    </row>
    <row r="469">
      <c r="A469" s="23" t="n">
        <v>466</v>
      </c>
      <c r="B469" s="23" t="inlineStr">
        <is>
          <t>1.6.3.5.17</t>
        </is>
      </c>
      <c r="C469" s="25" t="inlineStr">
        <is>
          <t>Part 1 – General &amp; Programme</t>
        </is>
      </c>
      <c r="D469" s="25" t="inlineStr">
        <is>
          <t>1.6 SYSTEMS DEVELOPMENT, INTEGRATION AND TESTING</t>
        </is>
      </c>
      <c r="E469" s="25" t="inlineStr">
        <is>
          <t>1.6.3 INTEGRATION WITH RESOURCE INFORMATION SYSTEMS</t>
        </is>
      </c>
      <c r="F469" s="25" t="inlineStr">
        <is>
          <t>Hospital management systems</t>
        </is>
      </c>
      <c r="G469" s="19" t="n"/>
      <c r="H469" s="20" t="n"/>
      <c r="I469" s="20" t="n"/>
      <c r="J469" s="19" t="n"/>
      <c r="K469" s="21" t="n"/>
      <c r="L469" s="22">
        <f>IF(OR(J469="",K469=""),"",J469*K469)</f>
        <v/>
      </c>
      <c r="M469" s="19" t="n"/>
      <c r="N469" s="20" t="n"/>
      <c r="O469" s="20" t="n"/>
    </row>
    <row r="470">
      <c r="A470" s="16" t="n">
        <v>467</v>
      </c>
      <c r="B470" s="16" t="inlineStr">
        <is>
          <t>1.6.3.5.18</t>
        </is>
      </c>
      <c r="C470" s="18" t="inlineStr">
        <is>
          <t>Part 1 – General &amp; Programme</t>
        </is>
      </c>
      <c r="D470" s="18" t="inlineStr">
        <is>
          <t>1.6 SYSTEMS DEVELOPMENT, INTEGRATION AND TESTING</t>
        </is>
      </c>
      <c r="E470" s="18" t="inlineStr">
        <is>
          <t>1.6.3 INTEGRATION WITH RESOURCE INFORMATION SYSTEMS</t>
        </is>
      </c>
      <c r="F470" s="18" t="inlineStr">
        <is>
          <t>Saudi Red Crescent Authority systems</t>
        </is>
      </c>
      <c r="G470" s="19" t="n"/>
      <c r="H470" s="20" t="n"/>
      <c r="I470" s="20" t="n"/>
      <c r="J470" s="19" t="n"/>
      <c r="K470" s="21" t="n"/>
      <c r="L470" s="22">
        <f>IF(OR(J470="",K470=""),"",J470*K470)</f>
        <v/>
      </c>
      <c r="M470" s="19" t="n"/>
      <c r="N470" s="20" t="n"/>
      <c r="O470" s="20" t="n"/>
    </row>
    <row r="471">
      <c r="A471" s="23" t="n">
        <v>468</v>
      </c>
      <c r="B471" s="23" t="inlineStr">
        <is>
          <t>1.6.3.5.19</t>
        </is>
      </c>
      <c r="C471" s="25" t="inlineStr">
        <is>
          <t>Part 1 – General &amp; Programme</t>
        </is>
      </c>
      <c r="D471" s="25" t="inlineStr">
        <is>
          <t>1.6 SYSTEMS DEVELOPMENT, INTEGRATION AND TESTING</t>
        </is>
      </c>
      <c r="E471" s="25" t="inlineStr">
        <is>
          <t>1.6.3 INTEGRATION WITH RESOURCE INFORMATION SYSTEMS</t>
        </is>
      </c>
      <c r="F471" s="25" t="inlineStr">
        <is>
          <t>Casualty management systems</t>
        </is>
      </c>
      <c r="G471" s="19" t="n"/>
      <c r="H471" s="20" t="n"/>
      <c r="I471" s="20" t="n"/>
      <c r="J471" s="19" t="n"/>
      <c r="K471" s="21" t="n"/>
      <c r="L471" s="22">
        <f>IF(OR(J471="",K471=""),"",J471*K471)</f>
        <v/>
      </c>
      <c r="M471" s="19" t="n"/>
      <c r="N471" s="20" t="n"/>
      <c r="O471" s="20" t="n"/>
    </row>
    <row r="472">
      <c r="A472" s="16" t="n">
        <v>469</v>
      </c>
      <c r="B472" s="16" t="inlineStr">
        <is>
          <t>1.6.3.5.20</t>
        </is>
      </c>
      <c r="C472" s="18" t="inlineStr">
        <is>
          <t>Part 1 – General &amp; Programme</t>
        </is>
      </c>
      <c r="D472" s="18" t="inlineStr">
        <is>
          <t>1.6 SYSTEMS DEVELOPMENT, INTEGRATION AND TESTING</t>
        </is>
      </c>
      <c r="E472" s="18" t="inlineStr">
        <is>
          <t>1.6.3 INTEGRATION WITH RESOURCE INFORMATION SYSTEMS</t>
        </is>
      </c>
      <c r="F472" s="18" t="inlineStr">
        <is>
          <t>Weather monitoring and management systems</t>
        </is>
      </c>
      <c r="G472" s="19" t="n"/>
      <c r="H472" s="20" t="n"/>
      <c r="I472" s="20" t="n"/>
      <c r="J472" s="19" t="n"/>
      <c r="K472" s="21" t="n"/>
      <c r="L472" s="22">
        <f>IF(OR(J472="",K472=""),"",J472*K472)</f>
        <v/>
      </c>
      <c r="M472" s="19" t="n"/>
      <c r="N472" s="20" t="n"/>
      <c r="O472" s="20" t="n"/>
    </row>
    <row r="473">
      <c r="A473" s="23" t="n">
        <v>470</v>
      </c>
      <c r="B473" s="23" t="inlineStr">
        <is>
          <t>1.6.3.5.21</t>
        </is>
      </c>
      <c r="C473" s="25" t="inlineStr">
        <is>
          <t>Part 1 – General &amp; Programme</t>
        </is>
      </c>
      <c r="D473" s="25" t="inlineStr">
        <is>
          <t>1.6 SYSTEMS DEVELOPMENT, INTEGRATION AND TESTING</t>
        </is>
      </c>
      <c r="E473" s="25" t="inlineStr">
        <is>
          <t>1.6.3 INTEGRATION WITH RESOURCE INFORMATION SYSTEMS</t>
        </is>
      </c>
      <c r="F473" s="25" t="inlineStr">
        <is>
          <t>Disasters monitoring and management systems</t>
        </is>
      </c>
      <c r="G473" s="19" t="n"/>
      <c r="H473" s="20" t="n"/>
      <c r="I473" s="20" t="n"/>
      <c r="J473" s="19" t="n"/>
      <c r="K473" s="21" t="n"/>
      <c r="L473" s="22">
        <f>IF(OR(J473="",K473=""),"",J473*K473)</f>
        <v/>
      </c>
      <c r="M473" s="19" t="n"/>
      <c r="N473" s="20" t="n"/>
      <c r="O473" s="20" t="n"/>
    </row>
    <row r="474">
      <c r="A474" s="16" t="n">
        <v>471</v>
      </c>
      <c r="B474" s="16" t="inlineStr">
        <is>
          <t>1.6.3.5.22</t>
        </is>
      </c>
      <c r="C474" s="18" t="inlineStr">
        <is>
          <t>Part 1 – General &amp; Programme</t>
        </is>
      </c>
      <c r="D474" s="18" t="inlineStr">
        <is>
          <t>1.6 SYSTEMS DEVELOPMENT, INTEGRATION AND TESTING</t>
        </is>
      </c>
      <c r="E474" s="18" t="inlineStr">
        <is>
          <t>1.6.3 INTEGRATION WITH RESOURCE INFORMATION SYSTEMS</t>
        </is>
      </c>
      <c r="F474" s="18" t="inlineStr">
        <is>
          <t>Early warning systems</t>
        </is>
      </c>
      <c r="G474" s="19" t="n"/>
      <c r="H474" s="20" t="n"/>
      <c r="I474" s="20" t="n"/>
      <c r="J474" s="19" t="n"/>
      <c r="K474" s="21" t="n"/>
      <c r="L474" s="22">
        <f>IF(OR(J474="",K474=""),"",J474*K474)</f>
        <v/>
      </c>
      <c r="M474" s="19" t="n"/>
      <c r="N474" s="20" t="n"/>
      <c r="O474" s="20" t="n"/>
    </row>
    <row r="475">
      <c r="A475" s="23" t="n">
        <v>472</v>
      </c>
      <c r="B475" s="23" t="inlineStr">
        <is>
          <t>1.6.3.5.23</t>
        </is>
      </c>
      <c r="C475" s="25" t="inlineStr">
        <is>
          <t>Part 1 – General &amp; Programme</t>
        </is>
      </c>
      <c r="D475" s="25" t="inlineStr">
        <is>
          <t>1.6 SYSTEMS DEVELOPMENT, INTEGRATION AND TESTING</t>
        </is>
      </c>
      <c r="E475" s="25" t="inlineStr">
        <is>
          <t>1.6.3 INTEGRATION WITH RESOURCE INFORMATION SYSTEMS</t>
        </is>
      </c>
      <c r="F475" s="25" t="inlineStr">
        <is>
          <t>Predictive modelling systems</t>
        </is>
      </c>
      <c r="G475" s="19" t="n"/>
      <c r="H475" s="20" t="n"/>
      <c r="I475" s="20" t="n"/>
      <c r="J475" s="19" t="n"/>
      <c r="K475" s="21" t="n"/>
      <c r="L475" s="22">
        <f>IF(OR(J475="",K475=""),"",J475*K475)</f>
        <v/>
      </c>
      <c r="M475" s="19" t="n"/>
      <c r="N475" s="20" t="n"/>
      <c r="O475" s="20" t="n"/>
    </row>
    <row r="476">
      <c r="A476" s="16" t="n">
        <v>473</v>
      </c>
      <c r="B476" s="16" t="inlineStr">
        <is>
          <t>1.6.3.5.24</t>
        </is>
      </c>
      <c r="C476" s="18" t="inlineStr">
        <is>
          <t>Part 1 – General &amp; Programme</t>
        </is>
      </c>
      <c r="D476" s="18" t="inlineStr">
        <is>
          <t>1.6 SYSTEMS DEVELOPMENT, INTEGRATION AND TESTING</t>
        </is>
      </c>
      <c r="E476" s="18" t="inlineStr">
        <is>
          <t>1.6.3 INTEGRATION WITH RESOURCE INFORMATION SYSTEMS</t>
        </is>
      </c>
      <c r="F476" s="18" t="inlineStr">
        <is>
          <t>Civil Defense (CD) Systems</t>
        </is>
      </c>
      <c r="G476" s="19" t="n"/>
      <c r="H476" s="20" t="n"/>
      <c r="I476" s="20" t="n"/>
      <c r="J476" s="19" t="n"/>
      <c r="K476" s="21" t="n"/>
      <c r="L476" s="22">
        <f>IF(OR(J476="",K476=""),"",J476*K476)</f>
        <v/>
      </c>
      <c r="M476" s="19" t="n"/>
      <c r="N476" s="20" t="n"/>
      <c r="O476" s="20" t="n"/>
    </row>
    <row r="477">
      <c r="A477" s="23" t="n">
        <v>474</v>
      </c>
      <c r="B477" s="23" t="inlineStr">
        <is>
          <t>1.6.3.5.25</t>
        </is>
      </c>
      <c r="C477" s="25" t="inlineStr">
        <is>
          <t>Part 1 – General &amp; Programme</t>
        </is>
      </c>
      <c r="D477" s="25" t="inlineStr">
        <is>
          <t>1.6 SYSTEMS DEVELOPMENT, INTEGRATION AND TESTING</t>
        </is>
      </c>
      <c r="E477" s="25" t="inlineStr">
        <is>
          <t>1.6.3 INTEGRATION WITH RESOURCE INFORMATION SYSTEMS</t>
        </is>
      </c>
      <c r="F477" s="25" t="inlineStr">
        <is>
          <t>Public Security Directorate (PSD) systems</t>
        </is>
      </c>
      <c r="G477" s="19" t="n"/>
      <c r="H477" s="20" t="n"/>
      <c r="I477" s="20" t="n"/>
      <c r="J477" s="19" t="n"/>
      <c r="K477" s="21" t="n"/>
      <c r="L477" s="22">
        <f>IF(OR(J477="",K477=""),"",J477*K477)</f>
        <v/>
      </c>
      <c r="M477" s="19" t="n"/>
      <c r="N477" s="20" t="n"/>
      <c r="O477" s="20" t="n"/>
    </row>
    <row r="478">
      <c r="A478" s="16" t="n">
        <v>475</v>
      </c>
      <c r="B478" s="16" t="inlineStr">
        <is>
          <t>1.6.3.5.26</t>
        </is>
      </c>
      <c r="C478" s="18" t="inlineStr">
        <is>
          <t>Part 1 – General &amp; Programme</t>
        </is>
      </c>
      <c r="D478" s="18" t="inlineStr">
        <is>
          <t>1.6 SYSTEMS DEVELOPMENT, INTEGRATION AND TESTING</t>
        </is>
      </c>
      <c r="E478" s="18" t="inlineStr">
        <is>
          <t>1.6.3 INTEGRATION WITH RESOURCE INFORMATION SYSTEMS</t>
        </is>
      </c>
      <c r="F478" s="18" t="inlineStr">
        <is>
          <t>Supplies management systems</t>
        </is>
      </c>
      <c r="G478" s="19" t="n"/>
      <c r="H478" s="20" t="n"/>
      <c r="I478" s="20" t="n"/>
      <c r="J478" s="19" t="n"/>
      <c r="K478" s="21" t="n"/>
      <c r="L478" s="22">
        <f>IF(OR(J478="",K478=""),"",J478*K478)</f>
        <v/>
      </c>
      <c r="M478" s="19" t="n"/>
      <c r="N478" s="20" t="n"/>
      <c r="O478" s="20" t="n"/>
    </row>
    <row r="479">
      <c r="A479" s="23" t="n">
        <v>476</v>
      </c>
      <c r="B479" s="23" t="inlineStr">
        <is>
          <t>1.6.3.5.27</t>
        </is>
      </c>
      <c r="C479" s="25" t="inlineStr">
        <is>
          <t>Part 1 – General &amp; Programme</t>
        </is>
      </c>
      <c r="D479" s="25" t="inlineStr">
        <is>
          <t>1.6 SYSTEMS DEVELOPMENT, INTEGRATION AND TESTING</t>
        </is>
      </c>
      <c r="E479" s="25" t="inlineStr">
        <is>
          <t>1.6.3 INTEGRATION WITH RESOURCE INFORMATION SYSTEMS</t>
        </is>
      </c>
      <c r="F479" s="25" t="inlineStr">
        <is>
          <t>National Center for Security Operations (NCSO) systems</t>
        </is>
      </c>
      <c r="G479" s="19" t="n"/>
      <c r="H479" s="20" t="n"/>
      <c r="I479" s="20" t="n"/>
      <c r="J479" s="19" t="n"/>
      <c r="K479" s="21" t="n"/>
      <c r="L479" s="22">
        <f>IF(OR(J479="",K479=""),"",J479*K479)</f>
        <v/>
      </c>
      <c r="M479" s="19" t="n"/>
      <c r="N479" s="20" t="n"/>
      <c r="O479" s="20" t="n"/>
    </row>
    <row r="480">
      <c r="A480" s="16" t="n">
        <v>477</v>
      </c>
      <c r="B480" s="16" t="inlineStr">
        <is>
          <t>1.6.3.5.28</t>
        </is>
      </c>
      <c r="C480" s="18" t="inlineStr">
        <is>
          <t>Part 1 – General &amp; Programme</t>
        </is>
      </c>
      <c r="D480" s="18" t="inlineStr">
        <is>
          <t>1.6 SYSTEMS DEVELOPMENT, INTEGRATION AND TESTING</t>
        </is>
      </c>
      <c r="E480" s="18" t="inlineStr">
        <is>
          <t>1.6.3 INTEGRATION WITH RESOURCE INFORMATION SYSTEMS</t>
        </is>
      </c>
      <c r="F480" s="18" t="inlineStr">
        <is>
          <t>National Information Center (NIC) systems</t>
        </is>
      </c>
      <c r="G480" s="19" t="n"/>
      <c r="H480" s="20" t="n"/>
      <c r="I480" s="20" t="n"/>
      <c r="J480" s="19" t="n"/>
      <c r="K480" s="21" t="n"/>
      <c r="L480" s="22">
        <f>IF(OR(J480="",K480=""),"",J480*K480)</f>
        <v/>
      </c>
      <c r="M480" s="19" t="n"/>
      <c r="N480" s="20" t="n"/>
      <c r="O480" s="20" t="n"/>
    </row>
    <row r="481">
      <c r="A481" s="23" t="n">
        <v>478</v>
      </c>
      <c r="B481" s="23" t="inlineStr">
        <is>
          <t>1.6.3.5.29</t>
        </is>
      </c>
      <c r="C481" s="25" t="inlineStr">
        <is>
          <t>Part 1 – General &amp; Programme</t>
        </is>
      </c>
      <c r="D481" s="25" t="inlineStr">
        <is>
          <t>1.6 SYSTEMS DEVELOPMENT, INTEGRATION AND TESTING</t>
        </is>
      </c>
      <c r="E481" s="25" t="inlineStr">
        <is>
          <t>1.6.3 INTEGRATION WITH RESOURCE INFORMATION SYSTEMS</t>
        </is>
      </c>
      <c r="F481" s="25" t="inlineStr">
        <is>
          <t>Shelters</t>
        </is>
      </c>
      <c r="G481" s="19" t="n"/>
      <c r="H481" s="20" t="n"/>
      <c r="I481" s="20" t="n"/>
      <c r="J481" s="19" t="n"/>
      <c r="K481" s="21" t="n"/>
      <c r="L481" s="22">
        <f>IF(OR(J481="",K481=""),"",J481*K481)</f>
        <v/>
      </c>
      <c r="M481" s="19" t="n"/>
      <c r="N481" s="20" t="n"/>
      <c r="O481" s="20" t="n"/>
    </row>
    <row r="482">
      <c r="A482" s="16" t="n">
        <v>479</v>
      </c>
      <c r="B482" s="16" t="inlineStr">
        <is>
          <t>1.6.3.5.30</t>
        </is>
      </c>
      <c r="C482" s="18" t="inlineStr">
        <is>
          <t>Part 1 – General &amp; Programme</t>
        </is>
      </c>
      <c r="D482" s="18" t="inlineStr">
        <is>
          <t>1.6 SYSTEMS DEVELOPMENT, INTEGRATION AND TESTING</t>
        </is>
      </c>
      <c r="E482" s="18" t="inlineStr">
        <is>
          <t>1.6.3 INTEGRATION WITH RESOURCE INFORMATION SYSTEMS</t>
        </is>
      </c>
      <c r="F482" s="18" t="inlineStr">
        <is>
          <t>System of Entertainment Authority</t>
        </is>
      </c>
      <c r="G482" s="19" t="n"/>
      <c r="H482" s="20" t="n"/>
      <c r="I482" s="20" t="n"/>
      <c r="J482" s="19" t="n"/>
      <c r="K482" s="21" t="n"/>
      <c r="L482" s="22">
        <f>IF(OR(J482="",K482=""),"",J482*K482)</f>
        <v/>
      </c>
      <c r="M482" s="19" t="n"/>
      <c r="N482" s="20" t="n"/>
      <c r="O482" s="20" t="n"/>
    </row>
    <row r="483">
      <c r="A483" s="23" t="n">
        <v>480</v>
      </c>
      <c r="B483" s="23" t="inlineStr">
        <is>
          <t>1.6.3.5.31</t>
        </is>
      </c>
      <c r="C483" s="25" t="inlineStr">
        <is>
          <t>Part 1 – General &amp; Programme</t>
        </is>
      </c>
      <c r="D483" s="25" t="inlineStr">
        <is>
          <t>1.6 SYSTEMS DEVELOPMENT, INTEGRATION AND TESTING</t>
        </is>
      </c>
      <c r="E483" s="25" t="inlineStr">
        <is>
          <t>1.6.3 INTEGRATION WITH RESOURCE INFORMATION SYSTEMS</t>
        </is>
      </c>
      <c r="F483" s="25" t="inlineStr">
        <is>
          <t>Management system for general sports authority</t>
        </is>
      </c>
      <c r="G483" s="19" t="n"/>
      <c r="H483" s="20" t="n"/>
      <c r="I483" s="20" t="n"/>
      <c r="J483" s="19" t="n"/>
      <c r="K483" s="21" t="n"/>
      <c r="L483" s="22">
        <f>IF(OR(J483="",K483=""),"",J483*K483)</f>
        <v/>
      </c>
      <c r="M483" s="19" t="n"/>
      <c r="N483" s="20" t="n"/>
      <c r="O483" s="20" t="n"/>
    </row>
    <row r="484">
      <c r="A484" s="16" t="n">
        <v>481</v>
      </c>
      <c r="B484" s="16" t="inlineStr">
        <is>
          <t>1.6.3.5.32</t>
        </is>
      </c>
      <c r="C484" s="18" t="inlineStr">
        <is>
          <t>Part 1 – General &amp; Programme</t>
        </is>
      </c>
      <c r="D484" s="18" t="inlineStr">
        <is>
          <t>1.6 SYSTEMS DEVELOPMENT, INTEGRATION AND TESTING</t>
        </is>
      </c>
      <c r="E484" s="18" t="inlineStr">
        <is>
          <t>1.6.3 INTEGRATION WITH RESOURCE INFORMATION SYSTEMS</t>
        </is>
      </c>
      <c r="F484" s="18" t="inlineStr">
        <is>
          <t>Management system for educational institutions</t>
        </is>
      </c>
      <c r="G484" s="19" t="n"/>
      <c r="H484" s="20" t="n"/>
      <c r="I484" s="20" t="n"/>
      <c r="J484" s="19" t="n"/>
      <c r="K484" s="21" t="n"/>
      <c r="L484" s="22">
        <f>IF(OR(J484="",K484=""),"",J484*K484)</f>
        <v/>
      </c>
      <c r="M484" s="19" t="n"/>
      <c r="N484" s="20" t="n"/>
      <c r="O484" s="20" t="n"/>
    </row>
    <row r="485">
      <c r="A485" s="23" t="n">
        <v>482</v>
      </c>
      <c r="B485" s="23" t="inlineStr">
        <is>
          <t>1.6.3.5.33</t>
        </is>
      </c>
      <c r="C485" s="25" t="inlineStr">
        <is>
          <t>Part 1 – General &amp; Programme</t>
        </is>
      </c>
      <c r="D485" s="25" t="inlineStr">
        <is>
          <t>1.6 SYSTEMS DEVELOPMENT, INTEGRATION AND TESTING</t>
        </is>
      </c>
      <c r="E485" s="25" t="inlineStr">
        <is>
          <t>1.6.3 INTEGRATION WITH RESOURCE INFORMATION SYSTEMS</t>
        </is>
      </c>
      <c r="F485" s="25" t="inlineStr">
        <is>
          <t>Automatic resource location systems</t>
        </is>
      </c>
      <c r="G485" s="19" t="n"/>
      <c r="H485" s="20" t="n"/>
      <c r="I485" s="20" t="n"/>
      <c r="J485" s="19" t="n"/>
      <c r="K485" s="21" t="n"/>
      <c r="L485" s="22">
        <f>IF(OR(J485="",K485=""),"",J485*K485)</f>
        <v/>
      </c>
      <c r="M485" s="19" t="n"/>
      <c r="N485" s="20" t="n"/>
      <c r="O485" s="20" t="n"/>
    </row>
    <row r="486">
      <c r="A486" s="16" t="n">
        <v>483</v>
      </c>
      <c r="B486" s="16" t="inlineStr">
        <is>
          <t>1.6.3.5.34</t>
        </is>
      </c>
      <c r="C486" s="18" t="inlineStr">
        <is>
          <t>Part 1 – General &amp; Programme</t>
        </is>
      </c>
      <c r="D486" s="18" t="inlineStr">
        <is>
          <t>1.6 SYSTEMS DEVELOPMENT, INTEGRATION AND TESTING</t>
        </is>
      </c>
      <c r="E486" s="18" t="inlineStr">
        <is>
          <t>1.6.3 INTEGRATION WITH RESOURCE INFORMATION SYSTEMS</t>
        </is>
      </c>
      <c r="F486" s="18" t="inlineStr">
        <is>
          <t>Food and Drug Authority systems</t>
        </is>
      </c>
      <c r="G486" s="19" t="n"/>
      <c r="H486" s="20" t="n"/>
      <c r="I486" s="20" t="n"/>
      <c r="J486" s="19" t="n"/>
      <c r="K486" s="21" t="n"/>
      <c r="L486" s="22">
        <f>IF(OR(J486="",K486=""),"",J486*K486)</f>
        <v/>
      </c>
      <c r="M486" s="19" t="n"/>
      <c r="N486" s="20" t="n"/>
      <c r="O486" s="20" t="n"/>
    </row>
    <row r="487">
      <c r="A487" s="23" t="n">
        <v>484</v>
      </c>
      <c r="B487" s="23" t="inlineStr">
        <is>
          <t>1.6.3.5.35</t>
        </is>
      </c>
      <c r="C487" s="25" t="inlineStr">
        <is>
          <t>Part 1 – General &amp; Programme</t>
        </is>
      </c>
      <c r="D487" s="25" t="inlineStr">
        <is>
          <t>1.6 SYSTEMS DEVELOPMENT, INTEGRATION AND TESTING</t>
        </is>
      </c>
      <c r="E487" s="25" t="inlineStr">
        <is>
          <t>1.6.3 INTEGRATION WITH RESOURCE INFORMATION SYSTEMS</t>
        </is>
      </c>
      <c r="F487" s="25" t="inlineStr">
        <is>
          <t>Ministry of Housing systems</t>
        </is>
      </c>
      <c r="G487" s="19" t="n"/>
      <c r="H487" s="20" t="n"/>
      <c r="I487" s="20" t="n"/>
      <c r="J487" s="19" t="n"/>
      <c r="K487" s="21" t="n"/>
      <c r="L487" s="22">
        <f>IF(OR(J487="",K487=""),"",J487*K487)</f>
        <v/>
      </c>
      <c r="M487" s="19" t="n"/>
      <c r="N487" s="20" t="n"/>
      <c r="O487" s="20" t="n"/>
    </row>
    <row r="488">
      <c r="A488" s="16" t="n">
        <v>485</v>
      </c>
      <c r="B488" s="16" t="inlineStr">
        <is>
          <t>1.6.3.5.36</t>
        </is>
      </c>
      <c r="C488" s="18" t="inlineStr">
        <is>
          <t>Part 1 – General &amp; Programme</t>
        </is>
      </c>
      <c r="D488" s="18" t="inlineStr">
        <is>
          <t>1.6 SYSTEMS DEVELOPMENT, INTEGRATION AND TESTING</t>
        </is>
      </c>
      <c r="E488" s="18" t="inlineStr">
        <is>
          <t>1.6.3 INTEGRATION WITH RESOURCE INFORMATION SYSTEMS</t>
        </is>
      </c>
      <c r="F488" s="18" t="inlineStr">
        <is>
          <t>Tourism systems</t>
        </is>
      </c>
      <c r="G488" s="19" t="n"/>
      <c r="H488" s="20" t="n"/>
      <c r="I488" s="20" t="n"/>
      <c r="J488" s="19" t="n"/>
      <c r="K488" s="21" t="n"/>
      <c r="L488" s="22">
        <f>IF(OR(J488="",K488=""),"",J488*K488)</f>
        <v/>
      </c>
      <c r="M488" s="19" t="n"/>
      <c r="N488" s="20" t="n"/>
      <c r="O488" s="20" t="n"/>
    </row>
    <row r="489">
      <c r="A489" s="23" t="n">
        <v>486</v>
      </c>
      <c r="B489" s="23" t="inlineStr">
        <is>
          <t>1.6.3.5.37</t>
        </is>
      </c>
      <c r="C489" s="25" t="inlineStr">
        <is>
          <t>Part 1 – General &amp; Programme</t>
        </is>
      </c>
      <c r="D489" s="25" t="inlineStr">
        <is>
          <t>1.6 SYSTEMS DEVELOPMENT, INTEGRATION AND TESTING</t>
        </is>
      </c>
      <c r="E489" s="25" t="inlineStr">
        <is>
          <t>1.6.3 INTEGRATION WITH RESOURCE INFORMATION SYSTEMS</t>
        </is>
      </c>
      <c r="F489" s="25" t="inlineStr">
        <is>
          <t>Civil Registry</t>
        </is>
      </c>
      <c r="G489" s="19" t="n"/>
      <c r="H489" s="20" t="n"/>
      <c r="I489" s="20" t="n"/>
      <c r="J489" s="19" t="n"/>
      <c r="K489" s="21" t="n"/>
      <c r="L489" s="22">
        <f>IF(OR(J489="",K489=""),"",J489*K489)</f>
        <v/>
      </c>
      <c r="M489" s="19" t="n"/>
      <c r="N489" s="20" t="n"/>
      <c r="O489" s="20" t="n"/>
    </row>
    <row r="490">
      <c r="A490" s="16" t="n">
        <v>487</v>
      </c>
      <c r="B490" s="16" t="inlineStr">
        <is>
          <t>1.6.3.5.38</t>
        </is>
      </c>
      <c r="C490" s="18" t="inlineStr">
        <is>
          <t>Part 1 – General &amp; Programme</t>
        </is>
      </c>
      <c r="D490" s="18" t="inlineStr">
        <is>
          <t>1.6 SYSTEMS DEVELOPMENT, INTEGRATION AND TESTING</t>
        </is>
      </c>
      <c r="E490" s="18" t="inlineStr">
        <is>
          <t>1.6.3 INTEGRATION WITH RESOURCE INFORMATION SYSTEMS</t>
        </is>
      </c>
      <c r="F490" s="18" t="inlineStr">
        <is>
          <t>Mobile Network Operators CRM</t>
        </is>
      </c>
      <c r="G490" s="19" t="n"/>
      <c r="H490" s="20" t="n"/>
      <c r="I490" s="20" t="n"/>
      <c r="J490" s="19" t="n"/>
      <c r="K490" s="21" t="n"/>
      <c r="L490" s="22">
        <f>IF(OR(J490="",K490=""),"",J490*K490)</f>
        <v/>
      </c>
      <c r="M490" s="19" t="n"/>
      <c r="N490" s="20" t="n"/>
      <c r="O490" s="20" t="n"/>
    </row>
    <row r="491">
      <c r="A491" s="23" t="n">
        <v>488</v>
      </c>
      <c r="B491" s="23" t="inlineStr">
        <is>
          <t>1.6.3.5.39</t>
        </is>
      </c>
      <c r="C491" s="25" t="inlineStr">
        <is>
          <t>Part 1 – General &amp; Programme</t>
        </is>
      </c>
      <c r="D491" s="25" t="inlineStr">
        <is>
          <t>1.6 SYSTEMS DEVELOPMENT, INTEGRATION AND TESTING</t>
        </is>
      </c>
      <c r="E491" s="25" t="inlineStr">
        <is>
          <t>1.6.3 INTEGRATION WITH RESOURCE INFORMATION SYSTEMS</t>
        </is>
      </c>
      <c r="F491" s="25" t="inlineStr">
        <is>
          <t>National Address</t>
        </is>
      </c>
      <c r="G491" s="19" t="n"/>
      <c r="H491" s="20" t="n"/>
      <c r="I491" s="20" t="n"/>
      <c r="J491" s="19" t="n"/>
      <c r="K491" s="21" t="n"/>
      <c r="L491" s="22">
        <f>IF(OR(J491="",K491=""),"",J491*K491)</f>
        <v/>
      </c>
      <c r="M491" s="19" t="n"/>
      <c r="N491" s="20" t="n"/>
      <c r="O491" s="20" t="n"/>
    </row>
    <row r="492">
      <c r="A492" s="16" t="n">
        <v>489</v>
      </c>
      <c r="B492" s="17" t="inlineStr">
        <is>
          <t>1.6.3.6</t>
        </is>
      </c>
      <c r="C492" s="18" t="inlineStr">
        <is>
          <t>Part 1 – General &amp; Programme</t>
        </is>
      </c>
      <c r="D492" s="18" t="inlineStr">
        <is>
          <t>1.6 SYSTEMS DEVELOPMENT, INTEGRATION AND TESTING</t>
        </is>
      </c>
      <c r="E492" s="18" t="inlineStr">
        <is>
          <t>1.6.3 INTEGRATION WITH RESOURCE INFORMATION SYSTEMS</t>
        </is>
      </c>
      <c r="F492" s="18" t="inlineStr">
        <is>
          <t>The CONTRACTOR shall deliver information and data repository for the interfaces to the each of the systems as above that contains different fields for holding different resource attributes as below but which are not limited to:</t>
        </is>
      </c>
      <c r="G492" s="19" t="n"/>
      <c r="H492" s="20" t="n"/>
      <c r="I492" s="20" t="n"/>
      <c r="J492" s="19" t="n"/>
      <c r="K492" s="21" t="n"/>
      <c r="L492" s="22">
        <f>IF(OR(J492="",K492=""),"",J492*K492)</f>
        <v/>
      </c>
      <c r="M492" s="19" t="n"/>
      <c r="N492" s="20" t="n"/>
      <c r="O492" s="20" t="n"/>
    </row>
    <row r="493">
      <c r="A493" s="23" t="n">
        <v>490</v>
      </c>
      <c r="B493" s="23" t="inlineStr">
        <is>
          <t>1.6.3.6.1</t>
        </is>
      </c>
      <c r="C493" s="25" t="inlineStr">
        <is>
          <t>Part 1 – General &amp; Programme</t>
        </is>
      </c>
      <c r="D493" s="25" t="inlineStr">
        <is>
          <t>1.6 SYSTEMS DEVELOPMENT, INTEGRATION AND TESTING</t>
        </is>
      </c>
      <c r="E493" s="25" t="inlineStr">
        <is>
          <t>1.6.3 INTEGRATION WITH RESOURCE INFORMATION SYSTEMS</t>
        </is>
      </c>
      <c r="F493" s="25" t="inlineStr">
        <is>
          <t>Type / classification</t>
        </is>
      </c>
      <c r="G493" s="19" t="n"/>
      <c r="H493" s="20" t="n"/>
      <c r="I493" s="20" t="n"/>
      <c r="J493" s="19" t="n"/>
      <c r="K493" s="21" t="n"/>
      <c r="L493" s="22">
        <f>IF(OR(J493="",K493=""),"",J493*K493)</f>
        <v/>
      </c>
      <c r="M493" s="19" t="n"/>
      <c r="N493" s="20" t="n"/>
      <c r="O493" s="20" t="n"/>
    </row>
    <row r="494">
      <c r="A494" s="16" t="n">
        <v>491</v>
      </c>
      <c r="B494" s="16" t="inlineStr">
        <is>
          <t>1.6.3.6.2</t>
        </is>
      </c>
      <c r="C494" s="18" t="inlineStr">
        <is>
          <t>Part 1 – General &amp; Programme</t>
        </is>
      </c>
      <c r="D494" s="18" t="inlineStr">
        <is>
          <t>1.6 SYSTEMS DEVELOPMENT, INTEGRATION AND TESTING</t>
        </is>
      </c>
      <c r="E494" s="18" t="inlineStr">
        <is>
          <t>1.6.3 INTEGRATION WITH RESOURCE INFORMATION SYSTEMS</t>
        </is>
      </c>
      <c r="F494" s="18" t="inlineStr">
        <is>
          <t>Unique ID</t>
        </is>
      </c>
      <c r="G494" s="19" t="n"/>
      <c r="H494" s="20" t="n"/>
      <c r="I494" s="20" t="n"/>
      <c r="J494" s="19" t="n"/>
      <c r="K494" s="21" t="n"/>
      <c r="L494" s="22">
        <f>IF(OR(J494="",K494=""),"",J494*K494)</f>
        <v/>
      </c>
      <c r="M494" s="19" t="n"/>
      <c r="N494" s="20" t="n"/>
      <c r="O494" s="20" t="n"/>
    </row>
    <row r="495">
      <c r="A495" s="23" t="n">
        <v>492</v>
      </c>
      <c r="B495" s="23" t="inlineStr">
        <is>
          <t>1.6.3.6.3</t>
        </is>
      </c>
      <c r="C495" s="25" t="inlineStr">
        <is>
          <t>Part 1 – General &amp; Programme</t>
        </is>
      </c>
      <c r="D495" s="25" t="inlineStr">
        <is>
          <t>1.6 SYSTEMS DEVELOPMENT, INTEGRATION AND TESTING</t>
        </is>
      </c>
      <c r="E495" s="25" t="inlineStr">
        <is>
          <t>1.6.3 INTEGRATION WITH RESOURCE INFORMATION SYSTEMS</t>
        </is>
      </c>
      <c r="F495" s="25" t="inlineStr">
        <is>
          <t>Subtype / classification</t>
        </is>
      </c>
      <c r="G495" s="19" t="n"/>
      <c r="H495" s="20" t="n"/>
      <c r="I495" s="20" t="n"/>
      <c r="J495" s="19" t="n"/>
      <c r="K495" s="21" t="n"/>
      <c r="L495" s="22">
        <f>IF(OR(J495="",K495=""),"",J495*K495)</f>
        <v/>
      </c>
      <c r="M495" s="19" t="n"/>
      <c r="N495" s="20" t="n"/>
      <c r="O495" s="20" t="n"/>
    </row>
    <row r="496">
      <c r="A496" s="16" t="n">
        <v>493</v>
      </c>
      <c r="B496" s="16" t="inlineStr">
        <is>
          <t>1.6.3.6.4</t>
        </is>
      </c>
      <c r="C496" s="18" t="inlineStr">
        <is>
          <t>Part 1 – General &amp; Programme</t>
        </is>
      </c>
      <c r="D496" s="18" t="inlineStr">
        <is>
          <t>1.6 SYSTEMS DEVELOPMENT, INTEGRATION AND TESTING</t>
        </is>
      </c>
      <c r="E496" s="18" t="inlineStr">
        <is>
          <t>1.6.3 INTEGRATION WITH RESOURCE INFORMATION SYSTEMS</t>
        </is>
      </c>
      <c r="F496" s="18" t="inlineStr">
        <is>
          <t>Name</t>
        </is>
      </c>
      <c r="G496" s="19" t="n"/>
      <c r="H496" s="20" t="n"/>
      <c r="I496" s="20" t="n"/>
      <c r="J496" s="19" t="n"/>
      <c r="K496" s="21" t="n"/>
      <c r="L496" s="22">
        <f>IF(OR(J496="",K496=""),"",J496*K496)</f>
        <v/>
      </c>
      <c r="M496" s="19" t="n"/>
      <c r="N496" s="20" t="n"/>
      <c r="O496" s="20" t="n"/>
    </row>
    <row r="497">
      <c r="A497" s="23" t="n">
        <v>494</v>
      </c>
      <c r="B497" s="23" t="inlineStr">
        <is>
          <t>1.6.3.6.5</t>
        </is>
      </c>
      <c r="C497" s="25" t="inlineStr">
        <is>
          <t>Part 1 – General &amp; Programme</t>
        </is>
      </c>
      <c r="D497" s="25" t="inlineStr">
        <is>
          <t>1.6 SYSTEMS DEVELOPMENT, INTEGRATION AND TESTING</t>
        </is>
      </c>
      <c r="E497" s="25" t="inlineStr">
        <is>
          <t>1.6.3 INTEGRATION WITH RESOURCE INFORMATION SYSTEMS</t>
        </is>
      </c>
      <c r="F497" s="25" t="inlineStr">
        <is>
          <t>Location Coordinates</t>
        </is>
      </c>
      <c r="G497" s="19" t="n"/>
      <c r="H497" s="20" t="n"/>
      <c r="I497" s="20" t="n"/>
      <c r="J497" s="19" t="n"/>
      <c r="K497" s="21" t="n"/>
      <c r="L497" s="22">
        <f>IF(OR(J497="",K497=""),"",J497*K497)</f>
        <v/>
      </c>
      <c r="M497" s="19" t="n"/>
      <c r="N497" s="20" t="n"/>
      <c r="O497" s="20" t="n"/>
    </row>
    <row r="498">
      <c r="A498" s="16" t="n">
        <v>495</v>
      </c>
      <c r="B498" s="16" t="inlineStr">
        <is>
          <t>1.6.3.6.6</t>
        </is>
      </c>
      <c r="C498" s="18" t="inlineStr">
        <is>
          <t>Part 1 – General &amp; Programme</t>
        </is>
      </c>
      <c r="D498" s="18" t="inlineStr">
        <is>
          <t>1.6 SYSTEMS DEVELOPMENT, INTEGRATION AND TESTING</t>
        </is>
      </c>
      <c r="E498" s="18" t="inlineStr">
        <is>
          <t>1.6.3 INTEGRATION WITH RESOURCE INFORMATION SYSTEMS</t>
        </is>
      </c>
      <c r="F498" s="18" t="inlineStr">
        <is>
          <t>Street</t>
        </is>
      </c>
      <c r="G498" s="19" t="n"/>
      <c r="H498" s="20" t="n"/>
      <c r="I498" s="20" t="n"/>
      <c r="J498" s="19" t="n"/>
      <c r="K498" s="21" t="n"/>
      <c r="L498" s="22">
        <f>IF(OR(J498="",K498=""),"",J498*K498)</f>
        <v/>
      </c>
      <c r="M498" s="19" t="n"/>
      <c r="N498" s="20" t="n"/>
      <c r="O498" s="20" t="n"/>
    </row>
    <row r="499">
      <c r="A499" s="23" t="n">
        <v>496</v>
      </c>
      <c r="B499" s="23" t="inlineStr">
        <is>
          <t>1.6.3.6.7</t>
        </is>
      </c>
      <c r="C499" s="25" t="inlineStr">
        <is>
          <t>Part 1 – General &amp; Programme</t>
        </is>
      </c>
      <c r="D499" s="25" t="inlineStr">
        <is>
          <t>1.6 SYSTEMS DEVELOPMENT, INTEGRATION AND TESTING</t>
        </is>
      </c>
      <c r="E499" s="25" t="inlineStr">
        <is>
          <t>1.6.3 INTEGRATION WITH RESOURCE INFORMATION SYSTEMS</t>
        </is>
      </c>
      <c r="F499" s="25" t="inlineStr">
        <is>
          <t>District</t>
        </is>
      </c>
      <c r="G499" s="19" t="n"/>
      <c r="H499" s="20" t="n"/>
      <c r="I499" s="20" t="n"/>
      <c r="J499" s="19" t="n"/>
      <c r="K499" s="21" t="n"/>
      <c r="L499" s="22">
        <f>IF(OR(J499="",K499=""),"",J499*K499)</f>
        <v/>
      </c>
      <c r="M499" s="19" t="n"/>
      <c r="N499" s="20" t="n"/>
      <c r="O499" s="20" t="n"/>
    </row>
    <row r="500">
      <c r="A500" s="16" t="n">
        <v>497</v>
      </c>
      <c r="B500" s="16" t="inlineStr">
        <is>
          <t>1.6.3.6.8</t>
        </is>
      </c>
      <c r="C500" s="18" t="inlineStr">
        <is>
          <t>Part 1 – General &amp; Programme</t>
        </is>
      </c>
      <c r="D500" s="18" t="inlineStr">
        <is>
          <t>1.6 SYSTEMS DEVELOPMENT, INTEGRATION AND TESTING</t>
        </is>
      </c>
      <c r="E500" s="18" t="inlineStr">
        <is>
          <t>1.6.3 INTEGRATION WITH RESOURCE INFORMATION SYSTEMS</t>
        </is>
      </c>
      <c r="F500" s="18" t="inlineStr">
        <is>
          <t>Town</t>
        </is>
      </c>
      <c r="G500" s="19" t="n"/>
      <c r="H500" s="20" t="n"/>
      <c r="I500" s="20" t="n"/>
      <c r="J500" s="19" t="n"/>
      <c r="K500" s="21" t="n"/>
      <c r="L500" s="22">
        <f>IF(OR(J500="",K500=""),"",J500*K500)</f>
        <v/>
      </c>
      <c r="M500" s="19" t="n"/>
      <c r="N500" s="20" t="n"/>
      <c r="O500" s="20" t="n"/>
    </row>
    <row r="501">
      <c r="A501" s="23" t="n">
        <v>498</v>
      </c>
      <c r="B501" s="23" t="inlineStr">
        <is>
          <t>1.6.3.6.9</t>
        </is>
      </c>
      <c r="C501" s="25" t="inlineStr">
        <is>
          <t>Part 1 – General &amp; Programme</t>
        </is>
      </c>
      <c r="D501" s="25" t="inlineStr">
        <is>
          <t>1.6 SYSTEMS DEVELOPMENT, INTEGRATION AND TESTING</t>
        </is>
      </c>
      <c r="E501" s="25" t="inlineStr">
        <is>
          <t>1.6.3 INTEGRATION WITH RESOURCE INFORMATION SYSTEMS</t>
        </is>
      </c>
      <c r="F501" s="25" t="inlineStr">
        <is>
          <t>City</t>
        </is>
      </c>
      <c r="G501" s="19" t="n"/>
      <c r="H501" s="20" t="n"/>
      <c r="I501" s="20" t="n"/>
      <c r="J501" s="19" t="n"/>
      <c r="K501" s="21" t="n"/>
      <c r="L501" s="22">
        <f>IF(OR(J501="",K501=""),"",J501*K501)</f>
        <v/>
      </c>
      <c r="M501" s="19" t="n"/>
      <c r="N501" s="20" t="n"/>
      <c r="O501" s="20" t="n"/>
    </row>
    <row r="502">
      <c r="A502" s="16" t="n">
        <v>499</v>
      </c>
      <c r="B502" s="16" t="inlineStr">
        <is>
          <t>1.6.3.6.10</t>
        </is>
      </c>
      <c r="C502" s="18" t="inlineStr">
        <is>
          <t>Part 1 – General &amp; Programme</t>
        </is>
      </c>
      <c r="D502" s="18" t="inlineStr">
        <is>
          <t>1.6 SYSTEMS DEVELOPMENT, INTEGRATION AND TESTING</t>
        </is>
      </c>
      <c r="E502" s="18" t="inlineStr">
        <is>
          <t>1.6.3 INTEGRATION WITH RESOURCE INFORMATION SYSTEMS</t>
        </is>
      </c>
      <c r="F502" s="18" t="inlineStr">
        <is>
          <t>Governorate</t>
        </is>
      </c>
      <c r="G502" s="19" t="n"/>
      <c r="H502" s="20" t="n"/>
      <c r="I502" s="20" t="n"/>
      <c r="J502" s="19" t="n"/>
      <c r="K502" s="21" t="n"/>
      <c r="L502" s="22">
        <f>IF(OR(J502="",K502=""),"",J502*K502)</f>
        <v/>
      </c>
      <c r="M502" s="19" t="n"/>
      <c r="N502" s="20" t="n"/>
      <c r="O502" s="20" t="n"/>
    </row>
    <row r="503">
      <c r="A503" s="23" t="n">
        <v>500</v>
      </c>
      <c r="B503" s="23" t="inlineStr">
        <is>
          <t>1.6.3.6.11</t>
        </is>
      </c>
      <c r="C503" s="25" t="inlineStr">
        <is>
          <t>Part 1 – General &amp; Programme</t>
        </is>
      </c>
      <c r="D503" s="25" t="inlineStr">
        <is>
          <t>1.6 SYSTEMS DEVELOPMENT, INTEGRATION AND TESTING</t>
        </is>
      </c>
      <c r="E503" s="25" t="inlineStr">
        <is>
          <t>1.6.3 INTEGRATION WITH RESOURCE INFORMATION SYSTEMS</t>
        </is>
      </c>
      <c r="F503" s="25" t="inlineStr">
        <is>
          <t>Region</t>
        </is>
      </c>
      <c r="G503" s="19" t="n"/>
      <c r="H503" s="20" t="n"/>
      <c r="I503" s="20" t="n"/>
      <c r="J503" s="19" t="n"/>
      <c r="K503" s="21" t="n"/>
      <c r="L503" s="22">
        <f>IF(OR(J503="",K503=""),"",J503*K503)</f>
        <v/>
      </c>
      <c r="M503" s="19" t="n"/>
      <c r="N503" s="20" t="n"/>
      <c r="O503" s="20" t="n"/>
    </row>
    <row r="504">
      <c r="A504" s="16" t="n">
        <v>501</v>
      </c>
      <c r="B504" s="16" t="inlineStr">
        <is>
          <t>1.6.3.6.12</t>
        </is>
      </c>
      <c r="C504" s="18" t="inlineStr">
        <is>
          <t>Part 1 – General &amp; Programme</t>
        </is>
      </c>
      <c r="D504" s="18" t="inlineStr">
        <is>
          <t>1.6 SYSTEMS DEVELOPMENT, INTEGRATION AND TESTING</t>
        </is>
      </c>
      <c r="E504" s="18" t="inlineStr">
        <is>
          <t>1.6.3 INTEGRATION WITH RESOURCE INFORMATION SYSTEMS</t>
        </is>
      </c>
      <c r="F504" s="18" t="inlineStr">
        <is>
          <t>Date</t>
        </is>
      </c>
      <c r="G504" s="19" t="n"/>
      <c r="H504" s="20" t="n"/>
      <c r="I504" s="20" t="n"/>
      <c r="J504" s="19" t="n"/>
      <c r="K504" s="21" t="n"/>
      <c r="L504" s="22">
        <f>IF(OR(J504="",K504=""),"",J504*K504)</f>
        <v/>
      </c>
      <c r="M504" s="19" t="n"/>
      <c r="N504" s="20" t="n"/>
      <c r="O504" s="20" t="n"/>
    </row>
    <row r="505">
      <c r="A505" s="23" t="n">
        <v>502</v>
      </c>
      <c r="B505" s="23" t="inlineStr">
        <is>
          <t>1.6.3.6.13</t>
        </is>
      </c>
      <c r="C505" s="25" t="inlineStr">
        <is>
          <t>Part 1 – General &amp; Programme</t>
        </is>
      </c>
      <c r="D505" s="25" t="inlineStr">
        <is>
          <t>1.6 SYSTEMS DEVELOPMENT, INTEGRATION AND TESTING</t>
        </is>
      </c>
      <c r="E505" s="25" t="inlineStr">
        <is>
          <t>1.6.3 INTEGRATION WITH RESOURCE INFORMATION SYSTEMS</t>
        </is>
      </c>
      <c r="F505" s="25" t="inlineStr">
        <is>
          <t>Time</t>
        </is>
      </c>
      <c r="G505" s="19" t="n"/>
      <c r="H505" s="20" t="n"/>
      <c r="I505" s="20" t="n"/>
      <c r="J505" s="19" t="n"/>
      <c r="K505" s="21" t="n"/>
      <c r="L505" s="22">
        <f>IF(OR(J505="",K505=""),"",J505*K505)</f>
        <v/>
      </c>
      <c r="M505" s="19" t="n"/>
      <c r="N505" s="20" t="n"/>
      <c r="O505" s="20" t="n"/>
    </row>
    <row r="506">
      <c r="A506" s="16" t="n">
        <v>503</v>
      </c>
      <c r="B506" s="16" t="inlineStr">
        <is>
          <t>1.6.3.6.14</t>
        </is>
      </c>
      <c r="C506" s="18" t="inlineStr">
        <is>
          <t>Part 1 – General &amp; Programme</t>
        </is>
      </c>
      <c r="D506" s="18" t="inlineStr">
        <is>
          <t>1.6 SYSTEMS DEVELOPMENT, INTEGRATION AND TESTING</t>
        </is>
      </c>
      <c r="E506" s="18" t="inlineStr">
        <is>
          <t>1.6.3 INTEGRATION WITH RESOURCE INFORMATION SYSTEMS</t>
        </is>
      </c>
      <c r="F506" s="18" t="inlineStr">
        <is>
          <t>Severity / Priority</t>
        </is>
      </c>
      <c r="G506" s="19" t="n"/>
      <c r="H506" s="20" t="n"/>
      <c r="I506" s="20" t="n"/>
      <c r="J506" s="19" t="n"/>
      <c r="K506" s="21" t="n"/>
      <c r="L506" s="22">
        <f>IF(OR(J506="",K506=""),"",J506*K506)</f>
        <v/>
      </c>
      <c r="M506" s="19" t="n"/>
      <c r="N506" s="20" t="n"/>
      <c r="O506" s="20" t="n"/>
    </row>
    <row r="507">
      <c r="A507" s="23" t="n">
        <v>504</v>
      </c>
      <c r="B507" s="23" t="inlineStr">
        <is>
          <t>1.6.3.6.15</t>
        </is>
      </c>
      <c r="C507" s="25" t="inlineStr">
        <is>
          <t>Part 1 – General &amp; Programme</t>
        </is>
      </c>
      <c r="D507" s="25" t="inlineStr">
        <is>
          <t>1.6 SYSTEMS DEVELOPMENT, INTEGRATION AND TESTING</t>
        </is>
      </c>
      <c r="E507" s="25" t="inlineStr">
        <is>
          <t>1.6.3 INTEGRATION WITH RESOURCE INFORMATION SYSTEMS</t>
        </is>
      </c>
      <c r="F507" s="25" t="inlineStr">
        <is>
          <t>Data / Information security classification</t>
        </is>
      </c>
      <c r="G507" s="19" t="n"/>
      <c r="H507" s="20" t="n"/>
      <c r="I507" s="20" t="n"/>
      <c r="J507" s="19" t="n"/>
      <c r="K507" s="21" t="n"/>
      <c r="L507" s="22">
        <f>IF(OR(J507="",K507=""),"",J507*K507)</f>
        <v/>
      </c>
      <c r="M507" s="19" t="n"/>
      <c r="N507" s="20" t="n"/>
      <c r="O507" s="20" t="n"/>
    </row>
    <row r="508">
      <c r="A508" s="16" t="n">
        <v>505</v>
      </c>
      <c r="B508" s="16" t="inlineStr">
        <is>
          <t>1.6.3.6.16</t>
        </is>
      </c>
      <c r="C508" s="18" t="inlineStr">
        <is>
          <t>Part 1 – General &amp; Programme</t>
        </is>
      </c>
      <c r="D508" s="18" t="inlineStr">
        <is>
          <t>1.6 SYSTEMS DEVELOPMENT, INTEGRATION AND TESTING</t>
        </is>
      </c>
      <c r="E508" s="18" t="inlineStr">
        <is>
          <t>1.6.3 INTEGRATION WITH RESOURCE INFORMATION SYSTEMS</t>
        </is>
      </c>
      <c r="F508" s="18" t="inlineStr">
        <is>
          <t>Status</t>
        </is>
      </c>
      <c r="G508" s="19" t="n"/>
      <c r="H508" s="20" t="n"/>
      <c r="I508" s="20" t="n"/>
      <c r="J508" s="19" t="n"/>
      <c r="K508" s="21" t="n"/>
      <c r="L508" s="22">
        <f>IF(OR(J508="",K508=""),"",J508*K508)</f>
        <v/>
      </c>
      <c r="M508" s="19" t="n"/>
      <c r="N508" s="20" t="n"/>
      <c r="O508" s="20" t="n"/>
    </row>
    <row r="509">
      <c r="A509" s="23" t="n">
        <v>506</v>
      </c>
      <c r="B509" s="23" t="inlineStr">
        <is>
          <t>1.6.3.6.17</t>
        </is>
      </c>
      <c r="C509" s="25" t="inlineStr">
        <is>
          <t>Part 1 – General &amp; Programme</t>
        </is>
      </c>
      <c r="D509" s="25" t="inlineStr">
        <is>
          <t>1.6 SYSTEMS DEVELOPMENT, INTEGRATION AND TESTING</t>
        </is>
      </c>
      <c r="E509" s="25" t="inlineStr">
        <is>
          <t>1.6.3 INTEGRATION WITH RESOURCE INFORMATION SYSTEMS</t>
        </is>
      </c>
      <c r="F509" s="25" t="inlineStr">
        <is>
          <t>Tags</t>
        </is>
      </c>
      <c r="G509" s="19" t="n"/>
      <c r="H509" s="20" t="n"/>
      <c r="I509" s="20" t="n"/>
      <c r="J509" s="19" t="n"/>
      <c r="K509" s="21" t="n"/>
      <c r="L509" s="22">
        <f>IF(OR(J509="",K509=""),"",J509*K509)</f>
        <v/>
      </c>
      <c r="M509" s="19" t="n"/>
      <c r="N509" s="20" t="n"/>
      <c r="O509" s="20" t="n"/>
    </row>
    <row r="510">
      <c r="A510" s="16" t="n">
        <v>507</v>
      </c>
      <c r="B510" s="16" t="inlineStr">
        <is>
          <t>1.6.3.6.18</t>
        </is>
      </c>
      <c r="C510" s="18" t="inlineStr">
        <is>
          <t>Part 1 – General &amp; Programme</t>
        </is>
      </c>
      <c r="D510" s="18" t="inlineStr">
        <is>
          <t>1.6 SYSTEMS DEVELOPMENT, INTEGRATION AND TESTING</t>
        </is>
      </c>
      <c r="E510" s="18" t="inlineStr">
        <is>
          <t>1.6.3 INTEGRATION WITH RESOURCE INFORMATION SYSTEMS</t>
        </is>
      </c>
      <c r="F510" s="18" t="inlineStr">
        <is>
          <t>User information</t>
        </is>
      </c>
      <c r="G510" s="19" t="n"/>
      <c r="H510" s="20" t="n"/>
      <c r="I510" s="20" t="n"/>
      <c r="J510" s="19" t="n"/>
      <c r="K510" s="21" t="n"/>
      <c r="L510" s="22">
        <f>IF(OR(J510="",K510=""),"",J510*K510)</f>
        <v/>
      </c>
      <c r="M510" s="19" t="n"/>
      <c r="N510" s="20" t="n"/>
      <c r="O510" s="20" t="n"/>
    </row>
    <row r="511">
      <c r="A511" s="23" t="n">
        <v>508</v>
      </c>
      <c r="B511" s="23" t="inlineStr">
        <is>
          <t>1.6.3.6.19</t>
        </is>
      </c>
      <c r="C511" s="25" t="inlineStr">
        <is>
          <t>Part 1 – General &amp; Programme</t>
        </is>
      </c>
      <c r="D511" s="25" t="inlineStr">
        <is>
          <t>1.6 SYSTEMS DEVELOPMENT, INTEGRATION AND TESTING</t>
        </is>
      </c>
      <c r="E511" s="25" t="inlineStr">
        <is>
          <t>1.6.3 INTEGRATION WITH RESOURCE INFORMATION SYSTEMS</t>
        </is>
      </c>
      <c r="F511" s="25" t="inlineStr">
        <is>
          <t>Owner name</t>
        </is>
      </c>
      <c r="G511" s="19" t="n"/>
      <c r="H511" s="20" t="n"/>
      <c r="I511" s="20" t="n"/>
      <c r="J511" s="19" t="n"/>
      <c r="K511" s="21" t="n"/>
      <c r="L511" s="22">
        <f>IF(OR(J511="",K511=""),"",J511*K511)</f>
        <v/>
      </c>
      <c r="M511" s="19" t="n"/>
      <c r="N511" s="20" t="n"/>
      <c r="O511" s="20" t="n"/>
    </row>
    <row r="512">
      <c r="A512" s="16" t="n">
        <v>509</v>
      </c>
      <c r="B512" s="16" t="inlineStr">
        <is>
          <t>1.6.3.6.20</t>
        </is>
      </c>
      <c r="C512" s="18" t="inlineStr">
        <is>
          <t>Part 1 – General &amp; Programme</t>
        </is>
      </c>
      <c r="D512" s="18" t="inlineStr">
        <is>
          <t>1.6 SYSTEMS DEVELOPMENT, INTEGRATION AND TESTING</t>
        </is>
      </c>
      <c r="E512" s="18" t="inlineStr">
        <is>
          <t>1.6.3 INTEGRATION WITH RESOURCE INFORMATION SYSTEMS</t>
        </is>
      </c>
      <c r="F512" s="18" t="inlineStr">
        <is>
          <t>Contact email</t>
        </is>
      </c>
      <c r="G512" s="19" t="n"/>
      <c r="H512" s="20" t="n"/>
      <c r="I512" s="20" t="n"/>
      <c r="J512" s="19" t="n"/>
      <c r="K512" s="21" t="n"/>
      <c r="L512" s="22">
        <f>IF(OR(J512="",K512=""),"",J512*K512)</f>
        <v/>
      </c>
      <c r="M512" s="19" t="n"/>
      <c r="N512" s="20" t="n"/>
      <c r="O512" s="20" t="n"/>
    </row>
    <row r="513">
      <c r="A513" s="23" t="n">
        <v>510</v>
      </c>
      <c r="B513" s="23" t="inlineStr">
        <is>
          <t>1.6.3.6.21</t>
        </is>
      </c>
      <c r="C513" s="25" t="inlineStr">
        <is>
          <t>Part 1 – General &amp; Programme</t>
        </is>
      </c>
      <c r="D513" s="25" t="inlineStr">
        <is>
          <t>1.6 SYSTEMS DEVELOPMENT, INTEGRATION AND TESTING</t>
        </is>
      </c>
      <c r="E513" s="25" t="inlineStr">
        <is>
          <t>1.6.3 INTEGRATION WITH RESOURCE INFORMATION SYSTEMS</t>
        </is>
      </c>
      <c r="F513" s="25" t="inlineStr">
        <is>
          <t>Contact telephone (landline)</t>
        </is>
      </c>
      <c r="G513" s="19" t="n"/>
      <c r="H513" s="20" t="n"/>
      <c r="I513" s="20" t="n"/>
      <c r="J513" s="19" t="n"/>
      <c r="K513" s="21" t="n"/>
      <c r="L513" s="22">
        <f>IF(OR(J513="",K513=""),"",J513*K513)</f>
        <v/>
      </c>
      <c r="M513" s="19" t="n"/>
      <c r="N513" s="20" t="n"/>
      <c r="O513" s="20" t="n"/>
    </row>
    <row r="514">
      <c r="A514" s="16" t="n">
        <v>511</v>
      </c>
      <c r="B514" s="16" t="inlineStr">
        <is>
          <t>1.6.3.6.22</t>
        </is>
      </c>
      <c r="C514" s="18" t="inlineStr">
        <is>
          <t>Part 1 – General &amp; Programme</t>
        </is>
      </c>
      <c r="D514" s="18" t="inlineStr">
        <is>
          <t>1.6 SYSTEMS DEVELOPMENT, INTEGRATION AND TESTING</t>
        </is>
      </c>
      <c r="E514" s="18" t="inlineStr">
        <is>
          <t>1.6.3 INTEGRATION WITH RESOURCE INFORMATION SYSTEMS</t>
        </is>
      </c>
      <c r="F514" s="18" t="inlineStr">
        <is>
          <t>Contact mobile phone</t>
        </is>
      </c>
      <c r="G514" s="19" t="n"/>
      <c r="H514" s="20" t="n"/>
      <c r="I514" s="20" t="n"/>
      <c r="J514" s="19" t="n"/>
      <c r="K514" s="21" t="n"/>
      <c r="L514" s="22">
        <f>IF(OR(J514="",K514=""),"",J514*K514)</f>
        <v/>
      </c>
      <c r="M514" s="19" t="n"/>
      <c r="N514" s="20" t="n"/>
      <c r="O514" s="20" t="n"/>
    </row>
    <row r="515">
      <c r="A515" s="23" t="n">
        <v>512</v>
      </c>
      <c r="B515" s="23" t="inlineStr">
        <is>
          <t>1.6.3.6.23</t>
        </is>
      </c>
      <c r="C515" s="25" t="inlineStr">
        <is>
          <t>Part 1 – General &amp; Programme</t>
        </is>
      </c>
      <c r="D515" s="25" t="inlineStr">
        <is>
          <t>1.6 SYSTEMS DEVELOPMENT, INTEGRATION AND TESTING</t>
        </is>
      </c>
      <c r="E515" s="25" t="inlineStr">
        <is>
          <t>1.6.3 INTEGRATION WITH RESOURCE INFORMATION SYSTEMS</t>
        </is>
      </c>
      <c r="F515" s="25" t="inlineStr">
        <is>
          <t>Contact web site</t>
        </is>
      </c>
      <c r="G515" s="19" t="n"/>
      <c r="H515" s="20" t="n"/>
      <c r="I515" s="20" t="n"/>
      <c r="J515" s="19" t="n"/>
      <c r="K515" s="21" t="n"/>
      <c r="L515" s="22">
        <f>IF(OR(J515="",K515=""),"",J515*K515)</f>
        <v/>
      </c>
      <c r="M515" s="19" t="n"/>
      <c r="N515" s="20" t="n"/>
      <c r="O515" s="20" t="n"/>
    </row>
    <row r="516">
      <c r="A516" s="16" t="n">
        <v>513</v>
      </c>
      <c r="B516" s="16" t="inlineStr">
        <is>
          <t>1.6.3.6.24</t>
        </is>
      </c>
      <c r="C516" s="18" t="inlineStr">
        <is>
          <t>Part 1 – General &amp; Programme</t>
        </is>
      </c>
      <c r="D516" s="18" t="inlineStr">
        <is>
          <t>1.6 SYSTEMS DEVELOPMENT, INTEGRATION AND TESTING</t>
        </is>
      </c>
      <c r="E516" s="18" t="inlineStr">
        <is>
          <t>1.6.3 INTEGRATION WITH RESOURCE INFORMATION SYSTEMS</t>
        </is>
      </c>
      <c r="F516" s="18" t="inlineStr">
        <is>
          <t>Nickname</t>
        </is>
      </c>
      <c r="G516" s="19" t="n"/>
      <c r="H516" s="20" t="n"/>
      <c r="I516" s="20" t="n"/>
      <c r="J516" s="19" t="n"/>
      <c r="K516" s="21" t="n"/>
      <c r="L516" s="22">
        <f>IF(OR(J516="",K516=""),"",J516*K516)</f>
        <v/>
      </c>
      <c r="M516" s="19" t="n"/>
      <c r="N516" s="20" t="n"/>
      <c r="O516" s="20" t="n"/>
    </row>
    <row r="517">
      <c r="A517" s="23" t="n">
        <v>514</v>
      </c>
      <c r="B517" s="23" t="inlineStr">
        <is>
          <t>1.6.3.6.25</t>
        </is>
      </c>
      <c r="C517" s="25" t="inlineStr">
        <is>
          <t>Part 1 – General &amp; Programme</t>
        </is>
      </c>
      <c r="D517" s="25" t="inlineStr">
        <is>
          <t>1.6 SYSTEMS DEVELOPMENT, INTEGRATION AND TESTING</t>
        </is>
      </c>
      <c r="E517" s="25" t="inlineStr">
        <is>
          <t>1.6.3 INTEGRATION WITH RESOURCE INFORMATION SYSTEMS</t>
        </is>
      </c>
      <c r="F517" s="25" t="inlineStr">
        <is>
          <t>Alternate contact email</t>
        </is>
      </c>
      <c r="G517" s="19" t="n"/>
      <c r="H517" s="20" t="n"/>
      <c r="I517" s="20" t="n"/>
      <c r="J517" s="19" t="n"/>
      <c r="K517" s="21" t="n"/>
      <c r="L517" s="22">
        <f>IF(OR(J517="",K517=""),"",J517*K517)</f>
        <v/>
      </c>
      <c r="M517" s="19" t="n"/>
      <c r="N517" s="20" t="n"/>
      <c r="O517" s="20" t="n"/>
    </row>
    <row r="518">
      <c r="A518" s="16" t="n">
        <v>515</v>
      </c>
      <c r="B518" s="16" t="inlineStr">
        <is>
          <t>1.6.3.6.26</t>
        </is>
      </c>
      <c r="C518" s="18" t="inlineStr">
        <is>
          <t>Part 1 – General &amp; Programme</t>
        </is>
      </c>
      <c r="D518" s="18" t="inlineStr">
        <is>
          <t>1.6 SYSTEMS DEVELOPMENT, INTEGRATION AND TESTING</t>
        </is>
      </c>
      <c r="E518" s="18" t="inlineStr">
        <is>
          <t>1.6.3 INTEGRATION WITH RESOURCE INFORMATION SYSTEMS</t>
        </is>
      </c>
      <c r="F518" s="18" t="inlineStr">
        <is>
          <t>Alternate contact telephone (landline)</t>
        </is>
      </c>
      <c r="G518" s="19" t="n"/>
      <c r="H518" s="20" t="n"/>
      <c r="I518" s="20" t="n"/>
      <c r="J518" s="19" t="n"/>
      <c r="K518" s="21" t="n"/>
      <c r="L518" s="22">
        <f>IF(OR(J518="",K518=""),"",J518*K518)</f>
        <v/>
      </c>
      <c r="M518" s="19" t="n"/>
      <c r="N518" s="20" t="n"/>
      <c r="O518" s="20" t="n"/>
    </row>
    <row r="519">
      <c r="A519" s="23" t="n">
        <v>516</v>
      </c>
      <c r="B519" s="23" t="inlineStr">
        <is>
          <t>1.6.3.6.27</t>
        </is>
      </c>
      <c r="C519" s="25" t="inlineStr">
        <is>
          <t>Part 1 – General &amp; Programme</t>
        </is>
      </c>
      <c r="D519" s="25" t="inlineStr">
        <is>
          <t>1.6 SYSTEMS DEVELOPMENT, INTEGRATION AND TESTING</t>
        </is>
      </c>
      <c r="E519" s="25" t="inlineStr">
        <is>
          <t>1.6.3 INTEGRATION WITH RESOURCE INFORMATION SYSTEMS</t>
        </is>
      </c>
      <c r="F519" s="25" t="inlineStr">
        <is>
          <t>Alternate contact mobile phone</t>
        </is>
      </c>
      <c r="G519" s="19" t="n"/>
      <c r="H519" s="20" t="n"/>
      <c r="I519" s="20" t="n"/>
      <c r="J519" s="19" t="n"/>
      <c r="K519" s="21" t="n"/>
      <c r="L519" s="22">
        <f>IF(OR(J519="",K519=""),"",J519*K519)</f>
        <v/>
      </c>
      <c r="M519" s="19" t="n"/>
      <c r="N519" s="20" t="n"/>
      <c r="O519" s="20" t="n"/>
    </row>
    <row r="520">
      <c r="A520" s="16" t="n">
        <v>517</v>
      </c>
      <c r="B520" s="16" t="inlineStr">
        <is>
          <t>1.6.3.6.28</t>
        </is>
      </c>
      <c r="C520" s="18" t="inlineStr">
        <is>
          <t>Part 1 – General &amp; Programme</t>
        </is>
      </c>
      <c r="D520" s="18" t="inlineStr">
        <is>
          <t>1.6 SYSTEMS DEVELOPMENT, INTEGRATION AND TESTING</t>
        </is>
      </c>
      <c r="E520" s="18" t="inlineStr">
        <is>
          <t>1.6.3 INTEGRATION WITH RESOURCE INFORMATION SYSTEMS</t>
        </is>
      </c>
      <c r="F520" s="18" t="inlineStr">
        <is>
          <t>Time duration</t>
        </is>
      </c>
      <c r="G520" s="19" t="n"/>
      <c r="H520" s="20" t="n"/>
      <c r="I520" s="20" t="n"/>
      <c r="J520" s="19" t="n"/>
      <c r="K520" s="21" t="n"/>
      <c r="L520" s="22">
        <f>IF(OR(J520="",K520=""),"",J520*K520)</f>
        <v/>
      </c>
      <c r="M520" s="19" t="n"/>
      <c r="N520" s="20" t="n"/>
      <c r="O520" s="20" t="n"/>
    </row>
    <row r="521">
      <c r="A521" s="23" t="n">
        <v>518</v>
      </c>
      <c r="B521" s="23" t="inlineStr">
        <is>
          <t>1.6.3.6.29</t>
        </is>
      </c>
      <c r="C521" s="25" t="inlineStr">
        <is>
          <t>Part 1 – General &amp; Programme</t>
        </is>
      </c>
      <c r="D521" s="25" t="inlineStr">
        <is>
          <t>1.6 SYSTEMS DEVELOPMENT, INTEGRATION AND TESTING</t>
        </is>
      </c>
      <c r="E521" s="25" t="inlineStr">
        <is>
          <t>1.6.3 INTEGRATION WITH RESOURCE INFORMATION SYSTEMS</t>
        </is>
      </c>
      <c r="F521" s="25" t="inlineStr">
        <is>
          <t>Description</t>
        </is>
      </c>
      <c r="G521" s="19" t="n"/>
      <c r="H521" s="20" t="n"/>
      <c r="I521" s="20" t="n"/>
      <c r="J521" s="19" t="n"/>
      <c r="K521" s="21" t="n"/>
      <c r="L521" s="22">
        <f>IF(OR(J521="",K521=""),"",J521*K521)</f>
        <v/>
      </c>
      <c r="M521" s="19" t="n"/>
      <c r="N521" s="20" t="n"/>
      <c r="O521" s="20" t="n"/>
    </row>
    <row r="522">
      <c r="A522" s="16" t="n">
        <v>519</v>
      </c>
      <c r="B522" s="16" t="inlineStr">
        <is>
          <t>1.6.3.6.30</t>
        </is>
      </c>
      <c r="C522" s="18" t="inlineStr">
        <is>
          <t>Part 1 – General &amp; Programme</t>
        </is>
      </c>
      <c r="D522" s="18" t="inlineStr">
        <is>
          <t>1.6 SYSTEMS DEVELOPMENT, INTEGRATION AND TESTING</t>
        </is>
      </c>
      <c r="E522" s="18" t="inlineStr">
        <is>
          <t>1.6.3 INTEGRATION WITH RESOURCE INFORMATION SYSTEMS</t>
        </is>
      </c>
      <c r="F522" s="18" t="inlineStr">
        <is>
          <t>Model</t>
        </is>
      </c>
      <c r="G522" s="19" t="n"/>
      <c r="H522" s="20" t="n"/>
      <c r="I522" s="20" t="n"/>
      <c r="J522" s="19" t="n"/>
      <c r="K522" s="21" t="n"/>
      <c r="L522" s="22">
        <f>IF(OR(J522="",K522=""),"",J522*K522)</f>
        <v/>
      </c>
      <c r="M522" s="19" t="n"/>
      <c r="N522" s="20" t="n"/>
      <c r="O522" s="20" t="n"/>
    </row>
    <row r="523">
      <c r="A523" s="23" t="n">
        <v>520</v>
      </c>
      <c r="B523" s="23" t="inlineStr">
        <is>
          <t>1.6.3.6.31</t>
        </is>
      </c>
      <c r="C523" s="25" t="inlineStr">
        <is>
          <t>Part 1 – General &amp; Programme</t>
        </is>
      </c>
      <c r="D523" s="25" t="inlineStr">
        <is>
          <t>1.6 SYSTEMS DEVELOPMENT, INTEGRATION AND TESTING</t>
        </is>
      </c>
      <c r="E523" s="25" t="inlineStr">
        <is>
          <t>1.6.3 INTEGRATION WITH RESOURCE INFORMATION SYSTEMS</t>
        </is>
      </c>
      <c r="F523" s="25" t="inlineStr">
        <is>
          <t>Access information</t>
        </is>
      </c>
      <c r="G523" s="19" t="n"/>
      <c r="H523" s="20" t="n"/>
      <c r="I523" s="20" t="n"/>
      <c r="J523" s="19" t="n"/>
      <c r="K523" s="21" t="n"/>
      <c r="L523" s="22">
        <f>IF(OR(J523="",K523=""),"",J523*K523)</f>
        <v/>
      </c>
      <c r="M523" s="19" t="n"/>
      <c r="N523" s="20" t="n"/>
      <c r="O523" s="20" t="n"/>
    </row>
    <row r="524">
      <c r="A524" s="16" t="n">
        <v>521</v>
      </c>
      <c r="B524" s="16" t="inlineStr">
        <is>
          <t>1.6.3.6.32</t>
        </is>
      </c>
      <c r="C524" s="18" t="inlineStr">
        <is>
          <t>Part 1 – General &amp; Programme</t>
        </is>
      </c>
      <c r="D524" s="18" t="inlineStr">
        <is>
          <t>1.6 SYSTEMS DEVELOPMENT, INTEGRATION AND TESTING</t>
        </is>
      </c>
      <c r="E524" s="18" t="inlineStr">
        <is>
          <t>1.6.3 INTEGRATION WITH RESOURCE INFORMATION SYSTEMS</t>
        </is>
      </c>
      <c r="F524" s="18" t="inlineStr">
        <is>
          <t>Total quantity / capacity</t>
        </is>
      </c>
      <c r="G524" s="19" t="n"/>
      <c r="H524" s="20" t="n"/>
      <c r="I524" s="20" t="n"/>
      <c r="J524" s="19" t="n"/>
      <c r="K524" s="21" t="n"/>
      <c r="L524" s="22">
        <f>IF(OR(J524="",K524=""),"",J524*K524)</f>
        <v/>
      </c>
      <c r="M524" s="19" t="n"/>
      <c r="N524" s="20" t="n"/>
      <c r="O524" s="20" t="n"/>
    </row>
    <row r="525">
      <c r="A525" s="23" t="n">
        <v>522</v>
      </c>
      <c r="B525" s="23" t="inlineStr">
        <is>
          <t>1.6.3.6.33</t>
        </is>
      </c>
      <c r="C525" s="25" t="inlineStr">
        <is>
          <t>Part 1 – General &amp; Programme</t>
        </is>
      </c>
      <c r="D525" s="25" t="inlineStr">
        <is>
          <t>1.6 SYSTEMS DEVELOPMENT, INTEGRATION AND TESTING</t>
        </is>
      </c>
      <c r="E525" s="25" t="inlineStr">
        <is>
          <t>1.6.3 INTEGRATION WITH RESOURCE INFORMATION SYSTEMS</t>
        </is>
      </c>
      <c r="F525" s="25" t="inlineStr">
        <is>
          <t>Current / used quantity / capacity</t>
        </is>
      </c>
      <c r="G525" s="19" t="n"/>
      <c r="H525" s="20" t="n"/>
      <c r="I525" s="20" t="n"/>
      <c r="J525" s="19" t="n"/>
      <c r="K525" s="21" t="n"/>
      <c r="L525" s="22">
        <f>IF(OR(J525="",K525=""),"",J525*K525)</f>
        <v/>
      </c>
      <c r="M525" s="19" t="n"/>
      <c r="N525" s="20" t="n"/>
      <c r="O525" s="20" t="n"/>
    </row>
    <row r="526">
      <c r="A526" s="16" t="n">
        <v>523</v>
      </c>
      <c r="B526" s="16" t="inlineStr">
        <is>
          <t>1.6.3.6.34</t>
        </is>
      </c>
      <c r="C526" s="18" t="inlineStr">
        <is>
          <t>Part 1 – General &amp; Programme</t>
        </is>
      </c>
      <c r="D526" s="18" t="inlineStr">
        <is>
          <t>1.6 SYSTEMS DEVELOPMENT, INTEGRATION AND TESTING</t>
        </is>
      </c>
      <c r="E526" s="18" t="inlineStr">
        <is>
          <t>1.6.3 INTEGRATION WITH RESOURCE INFORMATION SYSTEMS</t>
        </is>
      </c>
      <c r="F526" s="18" t="inlineStr">
        <is>
          <t>Available quantity / capacity</t>
        </is>
      </c>
      <c r="G526" s="19" t="n"/>
      <c r="H526" s="20" t="n"/>
      <c r="I526" s="20" t="n"/>
      <c r="J526" s="19" t="n"/>
      <c r="K526" s="21" t="n"/>
      <c r="L526" s="22">
        <f>IF(OR(J526="",K526=""),"",J526*K526)</f>
        <v/>
      </c>
      <c r="M526" s="19" t="n"/>
      <c r="N526" s="20" t="n"/>
      <c r="O526" s="20" t="n"/>
    </row>
    <row r="527">
      <c r="A527" s="23" t="n">
        <v>524</v>
      </c>
      <c r="B527" s="23" t="inlineStr">
        <is>
          <t>1.6.3.6.35</t>
        </is>
      </c>
      <c r="C527" s="25" t="inlineStr">
        <is>
          <t>Part 1 – General &amp; Programme</t>
        </is>
      </c>
      <c r="D527" s="25" t="inlineStr">
        <is>
          <t>1.6 SYSTEMS DEVELOPMENT, INTEGRATION AND TESTING</t>
        </is>
      </c>
      <c r="E527" s="25" t="inlineStr">
        <is>
          <t>1.6.3 INTEGRATION WITH RESOURCE INFORMATION SYSTEMS</t>
        </is>
      </c>
      <c r="F527" s="25" t="inlineStr">
        <is>
          <t>Available services</t>
        </is>
      </c>
      <c r="G527" s="19" t="n"/>
      <c r="H527" s="20" t="n"/>
      <c r="I527" s="20" t="n"/>
      <c r="J527" s="19" t="n"/>
      <c r="K527" s="21" t="n"/>
      <c r="L527" s="22">
        <f>IF(OR(J527="",K527=""),"",J527*K527)</f>
        <v/>
      </c>
      <c r="M527" s="19" t="n"/>
      <c r="N527" s="20" t="n"/>
      <c r="O527" s="20" t="n"/>
    </row>
    <row r="528">
      <c r="A528" s="16" t="n">
        <v>525</v>
      </c>
      <c r="B528" s="16" t="inlineStr">
        <is>
          <t>1.6.3.6.36</t>
        </is>
      </c>
      <c r="C528" s="18" t="inlineStr">
        <is>
          <t>Part 1 – General &amp; Programme</t>
        </is>
      </c>
      <c r="D528" s="18" t="inlineStr">
        <is>
          <t>1.6 SYSTEMS DEVELOPMENT, INTEGRATION AND TESTING</t>
        </is>
      </c>
      <c r="E528" s="18" t="inlineStr">
        <is>
          <t>1.6.3 INTEGRATION WITH RESOURCE INFORMATION SYSTEMS</t>
        </is>
      </c>
      <c r="F528" s="18" t="inlineStr">
        <is>
          <t>Completed action</t>
        </is>
      </c>
      <c r="G528" s="19" t="n"/>
      <c r="H528" s="20" t="n"/>
      <c r="I528" s="20" t="n"/>
      <c r="J528" s="19" t="n"/>
      <c r="K528" s="21" t="n"/>
      <c r="L528" s="22">
        <f>IF(OR(J528="",K528=""),"",J528*K528)</f>
        <v/>
      </c>
      <c r="M528" s="19" t="n"/>
      <c r="N528" s="20" t="n"/>
      <c r="O528" s="20" t="n"/>
    </row>
    <row r="529">
      <c r="A529" s="23" t="n">
        <v>526</v>
      </c>
      <c r="B529" s="23" t="inlineStr">
        <is>
          <t>1.6.3.6.37</t>
        </is>
      </c>
      <c r="C529" s="25" t="inlineStr">
        <is>
          <t>Part 1 – General &amp; Programme</t>
        </is>
      </c>
      <c r="D529" s="25" t="inlineStr">
        <is>
          <t>1.6 SYSTEMS DEVELOPMENT, INTEGRATION AND TESTING</t>
        </is>
      </c>
      <c r="E529" s="25" t="inlineStr">
        <is>
          <t>1.6.3 INTEGRATION WITH RESOURCE INFORMATION SYSTEMS</t>
        </is>
      </c>
      <c r="F529" s="25" t="inlineStr">
        <is>
          <t>Pending / next action</t>
        </is>
      </c>
      <c r="G529" s="19" t="n"/>
      <c r="H529" s="20" t="n"/>
      <c r="I529" s="20" t="n"/>
      <c r="J529" s="19" t="n"/>
      <c r="K529" s="21" t="n"/>
      <c r="L529" s="22">
        <f>IF(OR(J529="",K529=""),"",J529*K529)</f>
        <v/>
      </c>
      <c r="M529" s="19" t="n"/>
      <c r="N529" s="20" t="n"/>
      <c r="O529" s="20" t="n"/>
    </row>
    <row r="530">
      <c r="A530" s="16" t="n">
        <v>527</v>
      </c>
      <c r="B530" s="16" t="inlineStr">
        <is>
          <t>1.6.3.6.38</t>
        </is>
      </c>
      <c r="C530" s="18" t="inlineStr">
        <is>
          <t>Part 1 – General &amp; Programme</t>
        </is>
      </c>
      <c r="D530" s="18" t="inlineStr">
        <is>
          <t>1.6 SYSTEMS DEVELOPMENT, INTEGRATION AND TESTING</t>
        </is>
      </c>
      <c r="E530" s="18" t="inlineStr">
        <is>
          <t>1.6.3 INTEGRATION WITH RESOURCE INFORMATION SYSTEMS</t>
        </is>
      </c>
      <c r="F530" s="18" t="inlineStr">
        <is>
          <t>Schedules</t>
        </is>
      </c>
      <c r="G530" s="19" t="n"/>
      <c r="H530" s="20" t="n"/>
      <c r="I530" s="20" t="n"/>
      <c r="J530" s="19" t="n"/>
      <c r="K530" s="21" t="n"/>
      <c r="L530" s="22">
        <f>IF(OR(J530="",K530=""),"",J530*K530)</f>
        <v/>
      </c>
      <c r="M530" s="19" t="n"/>
      <c r="N530" s="20" t="n"/>
      <c r="O530" s="20" t="n"/>
    </row>
    <row r="531">
      <c r="A531" s="23" t="n">
        <v>528</v>
      </c>
      <c r="B531" s="23" t="inlineStr">
        <is>
          <t>1.6.3.6.39</t>
        </is>
      </c>
      <c r="C531" s="25" t="inlineStr">
        <is>
          <t>Part 1 – General &amp; Programme</t>
        </is>
      </c>
      <c r="D531" s="25" t="inlineStr">
        <is>
          <t>1.6 SYSTEMS DEVELOPMENT, INTEGRATION AND TESTING</t>
        </is>
      </c>
      <c r="E531" s="25" t="inlineStr">
        <is>
          <t>1.6.3 INTEGRATION WITH RESOURCE INFORMATION SYSTEMS</t>
        </is>
      </c>
      <c r="F531" s="25" t="inlineStr">
        <is>
          <t>Supporting file / plans</t>
        </is>
      </c>
      <c r="G531" s="19" t="n"/>
      <c r="H531" s="20" t="n"/>
      <c r="I531" s="20" t="n"/>
      <c r="J531" s="19" t="n"/>
      <c r="K531" s="21" t="n"/>
      <c r="L531" s="22">
        <f>IF(OR(J531="",K531=""),"",J531*K531)</f>
        <v/>
      </c>
      <c r="M531" s="19" t="n"/>
      <c r="N531" s="20" t="n"/>
      <c r="O531" s="20" t="n"/>
    </row>
    <row r="532">
      <c r="A532" s="16" t="n">
        <v>529</v>
      </c>
      <c r="B532" s="16" t="inlineStr">
        <is>
          <t>1.6.3.6.40</t>
        </is>
      </c>
      <c r="C532" s="18" t="inlineStr">
        <is>
          <t>Part 1 – General &amp; Programme</t>
        </is>
      </c>
      <c r="D532" s="18" t="inlineStr">
        <is>
          <t>1.6 SYSTEMS DEVELOPMENT, INTEGRATION AND TESTING</t>
        </is>
      </c>
      <c r="E532" s="18" t="inlineStr">
        <is>
          <t>1.6.3 INTEGRATION WITH RESOURCE INFORMATION SYSTEMS</t>
        </is>
      </c>
      <c r="F532" s="18" t="inlineStr">
        <is>
          <t>Direction of travel</t>
        </is>
      </c>
      <c r="G532" s="19" t="n"/>
      <c r="H532" s="20" t="n"/>
      <c r="I532" s="20" t="n"/>
      <c r="J532" s="19" t="n"/>
      <c r="K532" s="21" t="n"/>
      <c r="L532" s="22">
        <f>IF(OR(J532="",K532=""),"",J532*K532)</f>
        <v/>
      </c>
      <c r="M532" s="19" t="n"/>
      <c r="N532" s="20" t="n"/>
      <c r="O532" s="20" t="n"/>
    </row>
    <row r="533">
      <c r="A533" s="23" t="n">
        <v>530</v>
      </c>
      <c r="B533" s="23" t="inlineStr">
        <is>
          <t>1.6.3.6.41</t>
        </is>
      </c>
      <c r="C533" s="25" t="inlineStr">
        <is>
          <t>Part 1 – General &amp; Programme</t>
        </is>
      </c>
      <c r="D533" s="25" t="inlineStr">
        <is>
          <t>1.6 SYSTEMS DEVELOPMENT, INTEGRATION AND TESTING</t>
        </is>
      </c>
      <c r="E533" s="25" t="inlineStr">
        <is>
          <t>1.6.3 INTEGRATION WITH RESOURCE INFORMATION SYSTEMS</t>
        </is>
      </c>
      <c r="F533" s="25" t="inlineStr">
        <is>
          <t>Speed of travel</t>
        </is>
      </c>
      <c r="G533" s="19" t="n"/>
      <c r="H533" s="20" t="n"/>
      <c r="I533" s="20" t="n"/>
      <c r="J533" s="19" t="n"/>
      <c r="K533" s="21" t="n"/>
      <c r="L533" s="22">
        <f>IF(OR(J533="",K533=""),"",J533*K533)</f>
        <v/>
      </c>
      <c r="M533" s="19" t="n"/>
      <c r="N533" s="20" t="n"/>
      <c r="O533" s="20" t="n"/>
    </row>
    <row r="534">
      <c r="A534" s="16" t="n">
        <v>531</v>
      </c>
      <c r="B534" s="16" t="inlineStr">
        <is>
          <t>1.6.3.6.42</t>
        </is>
      </c>
      <c r="C534" s="18" t="inlineStr">
        <is>
          <t>Part 1 – General &amp; Programme</t>
        </is>
      </c>
      <c r="D534" s="18" t="inlineStr">
        <is>
          <t>1.6 SYSTEMS DEVELOPMENT, INTEGRATION AND TESTING</t>
        </is>
      </c>
      <c r="E534" s="18" t="inlineStr">
        <is>
          <t>1.6.3 INTEGRATION WITH RESOURCE INFORMATION SYSTEMS</t>
        </is>
      </c>
      <c r="F534" s="18" t="inlineStr">
        <is>
          <t>Update frequency</t>
        </is>
      </c>
      <c r="G534" s="19" t="n"/>
      <c r="H534" s="20" t="n"/>
      <c r="I534" s="20" t="n"/>
      <c r="J534" s="19" t="n"/>
      <c r="K534" s="21" t="n"/>
      <c r="L534" s="22">
        <f>IF(OR(J534="",K534=""),"",J534*K534)</f>
        <v/>
      </c>
      <c r="M534" s="19" t="n"/>
      <c r="N534" s="20" t="n"/>
      <c r="O534" s="20" t="n"/>
    </row>
    <row r="535">
      <c r="A535" s="23" t="n">
        <v>532</v>
      </c>
      <c r="B535" s="23" t="inlineStr">
        <is>
          <t>1.6.3.6.43</t>
        </is>
      </c>
      <c r="C535" s="25" t="inlineStr">
        <is>
          <t>Part 1 – General &amp; Programme</t>
        </is>
      </c>
      <c r="D535" s="25" t="inlineStr">
        <is>
          <t>1.6 SYSTEMS DEVELOPMENT, INTEGRATION AND TESTING</t>
        </is>
      </c>
      <c r="E535" s="25" t="inlineStr">
        <is>
          <t>1.6.3 INTEGRATION WITH RESOURCE INFORMATION SYSTEMS</t>
        </is>
      </c>
      <c r="F535" s="25" t="inlineStr">
        <is>
          <t>Miscellaneous</t>
        </is>
      </c>
      <c r="G535" s="19" t="n"/>
      <c r="H535" s="20" t="n"/>
      <c r="I535" s="20" t="n"/>
      <c r="J535" s="19" t="n"/>
      <c r="K535" s="21" t="n"/>
      <c r="L535" s="22">
        <f>IF(OR(J535="",K535=""),"",J535*K535)</f>
        <v/>
      </c>
      <c r="M535" s="19" t="n"/>
      <c r="N535" s="20" t="n"/>
      <c r="O535" s="20" t="n"/>
    </row>
    <row r="536">
      <c r="A536" s="16" t="n">
        <v>533</v>
      </c>
      <c r="B536" s="17" t="inlineStr">
        <is>
          <t>1.6.3.7</t>
        </is>
      </c>
      <c r="C536" s="18" t="inlineStr">
        <is>
          <t>Part 1 – General &amp; Programme</t>
        </is>
      </c>
      <c r="D536" s="18" t="inlineStr">
        <is>
          <t>1.6 SYSTEMS DEVELOPMENT, INTEGRATION AND TESTING</t>
        </is>
      </c>
      <c r="E536" s="18" t="inlineStr">
        <is>
          <t>1.6.3 INTEGRATION WITH RESOURCE INFORMATION SYSTEMS</t>
        </is>
      </c>
      <c r="F536" s="18" t="inlineStr">
        <is>
          <t>The interface descriptions, fields and third-party systems mentioned above are not the final and definitive list – the CONTRACTOR shall agree the final interface configurations, fields and third-party systems with the MOI during the detailed design and shall deliver OSS911 integrations accordingly.</t>
        </is>
      </c>
      <c r="G536" s="19" t="n"/>
      <c r="H536" s="20" t="n"/>
      <c r="I536" s="20" t="n"/>
      <c r="J536" s="19" t="n"/>
      <c r="K536" s="21" t="n"/>
      <c r="L536" s="22">
        <f>IF(OR(J536="",K536=""),"",J536*K536)</f>
        <v/>
      </c>
      <c r="M536" s="19" t="n"/>
      <c r="N536" s="20" t="n"/>
      <c r="O536" s="20" t="n"/>
    </row>
    <row r="537">
      <c r="A537" s="23" t="n">
        <v>534</v>
      </c>
      <c r="B537" s="24" t="inlineStr">
        <is>
          <t>1.6.3.8</t>
        </is>
      </c>
      <c r="C537" s="25" t="inlineStr">
        <is>
          <t>Part 1 – General &amp; Programme</t>
        </is>
      </c>
      <c r="D537" s="25" t="inlineStr">
        <is>
          <t>1.6 SYSTEMS DEVELOPMENT, INTEGRATION AND TESTING</t>
        </is>
      </c>
      <c r="E537" s="25" t="inlineStr">
        <is>
          <t>1.6.3 INTEGRATION WITH RESOURCE INFORMATION SYSTEMS</t>
        </is>
      </c>
      <c r="F537" s="25" t="inlineStr">
        <is>
          <t>The CONTRACTOR shall configure their solutions to handle partial and/or incomplete return of resources and resource attributes – in other words, it is not necessary that all of the resource attributes be fully defined for a resource to be managed through the OSS911 systems.</t>
        </is>
      </c>
      <c r="G537" s="19" t="n"/>
      <c r="H537" s="20" t="n"/>
      <c r="I537" s="20" t="n"/>
      <c r="J537" s="19" t="n"/>
      <c r="K537" s="21" t="n"/>
      <c r="L537" s="22">
        <f>IF(OR(J537="",K537=""),"",J537*K537)</f>
        <v/>
      </c>
      <c r="M537" s="19" t="n"/>
      <c r="N537" s="20" t="n"/>
      <c r="O537" s="20" t="n"/>
    </row>
    <row r="538">
      <c r="A538" s="16" t="n">
        <v>535</v>
      </c>
      <c r="B538" s="17" t="inlineStr">
        <is>
          <t>1.6.3.9</t>
        </is>
      </c>
      <c r="C538" s="18" t="inlineStr">
        <is>
          <t>Part 1 – General &amp; Programme</t>
        </is>
      </c>
      <c r="D538" s="18" t="inlineStr">
        <is>
          <t>1.6 SYSTEMS DEVELOPMENT, INTEGRATION AND TESTING</t>
        </is>
      </c>
      <c r="E538" s="18" t="inlineStr">
        <is>
          <t>1.6.3 INTEGRATION WITH RESOURCE INFORMATION SYSTEMS</t>
        </is>
      </c>
      <c r="F538" s="18" t="inlineStr">
        <is>
          <t>The CONTRACTOR shall deliver this integration such that the information stored is available to be consumed by other authorized users and/or applications in an open format, for example through web services defined with REST, XML, JSON, etc.</t>
        </is>
      </c>
      <c r="G538" s="19" t="n"/>
      <c r="H538" s="20" t="n"/>
      <c r="I538" s="20" t="n"/>
      <c r="J538" s="19" t="n"/>
      <c r="K538" s="21" t="n"/>
      <c r="L538" s="22">
        <f>IF(OR(J538="",K538=""),"",J538*K538)</f>
        <v/>
      </c>
      <c r="M538" s="19" t="n"/>
      <c r="N538" s="20" t="n"/>
      <c r="O538" s="20" t="n"/>
    </row>
    <row r="539">
      <c r="A539" s="23" t="n">
        <v>536</v>
      </c>
      <c r="B539" s="24" t="inlineStr">
        <is>
          <t>1.6.3.10</t>
        </is>
      </c>
      <c r="C539" s="25" t="inlineStr">
        <is>
          <t>Part 1 – General &amp; Programme</t>
        </is>
      </c>
      <c r="D539" s="25" t="inlineStr">
        <is>
          <t>1.6 SYSTEMS DEVELOPMENT, INTEGRATION AND TESTING</t>
        </is>
      </c>
      <c r="E539" s="25" t="inlineStr">
        <is>
          <t>1.6.3 INTEGRATION WITH RESOURCE INFORMATION SYSTEMS</t>
        </is>
      </c>
      <c r="F539" s="25" t="inlineStr">
        <is>
          <t>The CONTRACTOR shall deliver OSS911 solutions integration with the MOI CID solution, PSD Amn system, Kullunaamn and with MOI Maidan system through web services that delivers the capability of sharing of information with these solutions – examples of information to be shared include incident information records, reports, incident closure information, event types, data, location, responding agency, responding station etc. These are examples only and actual details of the interface configuration shall be agreed by the CONTRACTOR with the MOI prior to implementing the integration.</t>
        </is>
      </c>
      <c r="G539" s="19" t="n"/>
      <c r="H539" s="20" t="n"/>
      <c r="I539" s="20" t="n"/>
      <c r="J539" s="19" t="n"/>
      <c r="K539" s="21" t="n"/>
      <c r="L539" s="22">
        <f>IF(OR(J539="",K539=""),"",J539*K539)</f>
        <v/>
      </c>
      <c r="M539" s="19" t="n"/>
      <c r="N539" s="20" t="n"/>
      <c r="O539" s="20" t="n"/>
    </row>
    <row r="540">
      <c r="A540" s="16" t="n">
        <v>537</v>
      </c>
      <c r="B540" s="17" t="inlineStr">
        <is>
          <t>1.6.3.11</t>
        </is>
      </c>
      <c r="C540" s="18" t="inlineStr">
        <is>
          <t>Part 1 – General &amp; Programme</t>
        </is>
      </c>
      <c r="D540" s="18" t="inlineStr">
        <is>
          <t>1.6 SYSTEMS DEVELOPMENT, INTEGRATION AND TESTING</t>
        </is>
      </c>
      <c r="E540" s="18" t="inlineStr">
        <is>
          <t>1.6.3 INTEGRATION WITH RESOURCE INFORMATION SYSTEMS</t>
        </is>
      </c>
      <c r="F540" s="18" t="inlineStr">
        <is>
          <t>The CONTRACTOR shall deliver OSS911 solutions integration with the Saudi Red Crescent Authority (SRCA) system through web services that delivers the capability of automatically sharing the incident electronically with SRCA based on defined event types and subtypes, delivers the capability of updating the either systems when either OSS911 or SRCA creates, updates and/or cancel an incident and that delivers sharing of information between the two systems – examples of information to be shared include incident information records, reports, incident closure information, event types, data, location, responding agency, responding station etc. These are examples only and actual details of the interface configuration shall be agreed by the CONTRACTOR with the MOI prior to implementing the integration.</t>
        </is>
      </c>
      <c r="G540" s="19" t="n"/>
      <c r="H540" s="20" t="n"/>
      <c r="I540" s="20" t="n"/>
      <c r="J540" s="19" t="n"/>
      <c r="K540" s="21" t="n"/>
      <c r="L540" s="22">
        <f>IF(OR(J540="",K540=""),"",J540*K540)</f>
        <v/>
      </c>
      <c r="M540" s="19" t="n"/>
      <c r="N540" s="20" t="n"/>
      <c r="O540" s="20" t="n"/>
    </row>
    <row r="541">
      <c r="A541" s="23" t="n">
        <v>538</v>
      </c>
      <c r="B541" s="24" t="inlineStr">
        <is>
          <t>1.6.4.1</t>
        </is>
      </c>
      <c r="C541" s="25" t="inlineStr">
        <is>
          <t>Part 1 – General &amp; Programme</t>
        </is>
      </c>
      <c r="D541" s="25" t="inlineStr">
        <is>
          <t>1.6 SYSTEMS DEVELOPMENT, INTEGRATION AND TESTING</t>
        </is>
      </c>
      <c r="E541" s="25" t="inlineStr">
        <is>
          <t>1.6.4 OSS911 SOLUTION INTEGRATION WITH MOI RADIO COMMUNICATIONS NETWORKS</t>
        </is>
      </c>
      <c r="F541" s="25" t="inlineStr">
        <is>
          <t>The CONTRACTOR shall supply OSS911 systems that shall be integrated by the CONTRACTOR with the MOI radio communications networks in that province as determined by MOI.</t>
        </is>
      </c>
      <c r="G541" s="19" t="n"/>
      <c r="H541" s="20" t="n"/>
      <c r="I541" s="20" t="n"/>
      <c r="J541" s="19" t="n"/>
      <c r="K541" s="21" t="n"/>
      <c r="L541" s="22">
        <f>IF(OR(J541="",K541=""),"",J541*K541)</f>
        <v/>
      </c>
      <c r="M541" s="19" t="n"/>
      <c r="N541" s="20" t="n"/>
      <c r="O541" s="20" t="n"/>
    </row>
    <row r="542">
      <c r="A542" s="16" t="n">
        <v>539</v>
      </c>
      <c r="B542" s="17" t="inlineStr">
        <is>
          <t>1.6.4.2</t>
        </is>
      </c>
      <c r="C542" s="18" t="inlineStr">
        <is>
          <t>Part 1 – General &amp; Programme</t>
        </is>
      </c>
      <c r="D542" s="18" t="inlineStr">
        <is>
          <t>1.6 SYSTEMS DEVELOPMENT, INTEGRATION AND TESTING</t>
        </is>
      </c>
      <c r="E542" s="18" t="inlineStr">
        <is>
          <t>1.6.4 OSS911 SOLUTION INTEGRATION WITH MOI RADIO COMMUNICATIONS NETWORKS</t>
        </is>
      </c>
      <c r="F542" s="18" t="inlineStr">
        <is>
          <t>The BIDDER shall note that the details regarding existing MOI radio communication networks shall be shared with the CONTRACTOR after the award of the contract.</t>
        </is>
      </c>
      <c r="G542" s="19" t="n"/>
      <c r="H542" s="20" t="n"/>
      <c r="I542" s="20" t="n"/>
      <c r="J542" s="19" t="n"/>
      <c r="K542" s="21" t="n"/>
      <c r="L542" s="22">
        <f>IF(OR(J542="",K542=""),"",J542*K542)</f>
        <v/>
      </c>
      <c r="M542" s="19" t="n"/>
      <c r="N542" s="20" t="n"/>
      <c r="O542" s="20" t="n"/>
    </row>
    <row r="543">
      <c r="A543" s="23" t="n">
        <v>540</v>
      </c>
      <c r="B543" s="24" t="inlineStr">
        <is>
          <t>1.6.4.3</t>
        </is>
      </c>
      <c r="C543" s="25" t="inlineStr">
        <is>
          <t>Part 1 – General &amp; Programme</t>
        </is>
      </c>
      <c r="D543" s="25" t="inlineStr">
        <is>
          <t>1.6 SYSTEMS DEVELOPMENT, INTEGRATION AND TESTING</t>
        </is>
      </c>
      <c r="E543" s="25" t="inlineStr">
        <is>
          <t>1.6.4 OSS911 SOLUTION INTEGRATION WITH MOI RADIO COMMUNICATIONS NETWORKS</t>
        </is>
      </c>
      <c r="F543" s="25" t="inlineStr">
        <is>
          <t>The CONTRACTOR shall supply OSS911 systems that are integrated with MOI radio communications networks whether these networks are being served by their main or standby sites.</t>
        </is>
      </c>
      <c r="G543" s="19" t="n"/>
      <c r="H543" s="20" t="n"/>
      <c r="I543" s="20" t="n"/>
      <c r="J543" s="19" t="n"/>
      <c r="K543" s="21" t="n"/>
      <c r="L543" s="22">
        <f>IF(OR(J543="",K543=""),"",J543*K543)</f>
        <v/>
      </c>
      <c r="M543" s="19" t="n"/>
      <c r="N543" s="20" t="n"/>
      <c r="O543" s="20" t="n"/>
    </row>
    <row r="544">
      <c r="A544" s="16" t="n">
        <v>541</v>
      </c>
      <c r="B544" s="17" t="inlineStr">
        <is>
          <t>1.6.4.4</t>
        </is>
      </c>
      <c r="C544" s="18" t="inlineStr">
        <is>
          <t>Part 1 – General &amp; Programme</t>
        </is>
      </c>
      <c r="D544" s="18" t="inlineStr">
        <is>
          <t>1.6 SYSTEMS DEVELOPMENT, INTEGRATION AND TESTING</t>
        </is>
      </c>
      <c r="E544" s="18" t="inlineStr">
        <is>
          <t>1.6.4 OSS911 SOLUTION INTEGRATION WITH MOI RADIO COMMUNICATIONS NETWORKS</t>
        </is>
      </c>
      <c r="F544" s="18" t="inlineStr">
        <is>
          <t>The CONTRACTOR is responsible for the procurement, supply, installation, configuration, commissioning and testing of all equipment required to support such integration.</t>
        </is>
      </c>
      <c r="G544" s="19" t="n"/>
      <c r="H544" s="20" t="n"/>
      <c r="I544" s="20" t="n"/>
      <c r="J544" s="19" t="n"/>
      <c r="K544" s="21" t="n"/>
      <c r="L544" s="22">
        <f>IF(OR(J544="",K544=""),"",J544*K544)</f>
        <v/>
      </c>
      <c r="M544" s="19" t="n"/>
      <c r="N544" s="20" t="n"/>
      <c r="O544" s="20" t="n"/>
    </row>
    <row r="545">
      <c r="A545" s="23" t="n">
        <v>542</v>
      </c>
      <c r="B545" s="24" t="inlineStr">
        <is>
          <t>1.6.4.5</t>
        </is>
      </c>
      <c r="C545" s="25" t="inlineStr">
        <is>
          <t>Part 1 – General &amp; Programme</t>
        </is>
      </c>
      <c r="D545" s="25" t="inlineStr">
        <is>
          <t>1.6 SYSTEMS DEVELOPMENT, INTEGRATION AND TESTING</t>
        </is>
      </c>
      <c r="E545" s="25" t="inlineStr">
        <is>
          <t>1.6.4 OSS911 SOLUTION INTEGRATION WITH MOI RADIO COMMUNICATIONS NETWORKS</t>
        </is>
      </c>
      <c r="F545" s="25" t="inlineStr">
        <is>
          <t>The CONTRACTOR supplied interfaces for this integration at each OSS911 Center shall be sized to support the numbers of dispatchers, the joint operations and the crisis management team.</t>
        </is>
      </c>
      <c r="G545" s="19" t="n"/>
      <c r="H545" s="20" t="n"/>
      <c r="I545" s="20" t="n"/>
      <c r="J545" s="19" t="n"/>
      <c r="K545" s="21" t="n"/>
      <c r="L545" s="22">
        <f>IF(OR(J545="",K545=""),"",J545*K545)</f>
        <v/>
      </c>
      <c r="M545" s="19" t="n"/>
      <c r="N545" s="20" t="n"/>
      <c r="O545" s="20" t="n"/>
    </row>
    <row r="546">
      <c r="A546" s="16" t="n">
        <v>543</v>
      </c>
      <c r="B546" s="17" t="inlineStr">
        <is>
          <t>1.6.4.6</t>
        </is>
      </c>
      <c r="C546" s="18" t="inlineStr">
        <is>
          <t>Part 1 – General &amp; Programme</t>
        </is>
      </c>
      <c r="D546" s="18" t="inlineStr">
        <is>
          <t>1.6 SYSTEMS DEVELOPMENT, INTEGRATION AND TESTING</t>
        </is>
      </c>
      <c r="E546" s="18" t="inlineStr">
        <is>
          <t>1.6.4 OSS911 SOLUTION INTEGRATION WITH MOI RADIO COMMUNICATIONS NETWORKS</t>
        </is>
      </c>
      <c r="F546" s="18" t="inlineStr">
        <is>
          <t>Within their proposal, the BIDDER shall specify the detailed characteristics of this integration.</t>
        </is>
      </c>
      <c r="G546" s="19" t="n"/>
      <c r="H546" s="20" t="n"/>
      <c r="I546" s="20" t="n"/>
      <c r="J546" s="19" t="n"/>
      <c r="K546" s="21" t="n"/>
      <c r="L546" s="22">
        <f>IF(OR(J546="",K546=""),"",J546*K546)</f>
        <v/>
      </c>
      <c r="M546" s="19" t="n"/>
      <c r="N546" s="20" t="n"/>
      <c r="O546" s="20" t="n"/>
    </row>
    <row r="547">
      <c r="A547" s="23" t="n">
        <v>544</v>
      </c>
      <c r="B547" s="24" t="inlineStr">
        <is>
          <t>1.6.4.7</t>
        </is>
      </c>
      <c r="C547" s="25" t="inlineStr">
        <is>
          <t>Part 1 – General &amp; Programme</t>
        </is>
      </c>
      <c r="D547" s="25" t="inlineStr">
        <is>
          <t>1.6 SYSTEMS DEVELOPMENT, INTEGRATION AND TESTING</t>
        </is>
      </c>
      <c r="E547" s="25" t="inlineStr">
        <is>
          <t>1.6.4 OSS911 SOLUTION INTEGRATION WITH MOI RADIO COMMUNICATIONS NETWORKS</t>
        </is>
      </c>
      <c r="F547" s="25" t="inlineStr">
        <is>
          <t>The CONTRACTOR shall provide a full specification of this integration including details of the interfaces, APIs, etc.</t>
        </is>
      </c>
      <c r="G547" s="19" t="n"/>
      <c r="H547" s="20" t="n"/>
      <c r="I547" s="20" t="n"/>
      <c r="J547" s="19" t="n"/>
      <c r="K547" s="21" t="n"/>
      <c r="L547" s="22">
        <f>IF(OR(J547="",K547=""),"",J547*K547)</f>
        <v/>
      </c>
      <c r="M547" s="19" t="n"/>
      <c r="N547" s="20" t="n"/>
      <c r="O547" s="20" t="n"/>
    </row>
    <row r="548">
      <c r="A548" s="16" t="n">
        <v>545</v>
      </c>
      <c r="B548" s="17" t="inlineStr">
        <is>
          <t>1.6.4.8</t>
        </is>
      </c>
      <c r="C548" s="18" t="inlineStr">
        <is>
          <t>Part 1 – General &amp; Programme</t>
        </is>
      </c>
      <c r="D548" s="18" t="inlineStr">
        <is>
          <t>1.6 SYSTEMS DEVELOPMENT, INTEGRATION AND TESTING</t>
        </is>
      </c>
      <c r="E548" s="18" t="inlineStr">
        <is>
          <t>1.6.4 OSS911 SOLUTION INTEGRATION WITH MOI RADIO COMMUNICATIONS NETWORKS</t>
        </is>
      </c>
      <c r="F548" s="18" t="inlineStr">
        <is>
          <t>The CONTRACTOR shall provide OSS911 systems integration with MOI radio communications networks that shall include the following as a minimum:</t>
        </is>
      </c>
      <c r="G548" s="19" t="n"/>
      <c r="H548" s="20" t="n"/>
      <c r="I548" s="20" t="n"/>
      <c r="J548" s="19" t="n"/>
      <c r="K548" s="21" t="n"/>
      <c r="L548" s="22">
        <f>IF(OR(J548="",K548=""),"",J548*K548)</f>
        <v/>
      </c>
      <c r="M548" s="19" t="n"/>
      <c r="N548" s="20" t="n"/>
      <c r="O548" s="20" t="n"/>
    </row>
    <row r="549">
      <c r="A549" s="23" t="n">
        <v>546</v>
      </c>
      <c r="B549" s="23" t="inlineStr">
        <is>
          <t>1.6.4.8.1</t>
        </is>
      </c>
      <c r="C549" s="25" t="inlineStr">
        <is>
          <t>Part 1 – General &amp; Programme</t>
        </is>
      </c>
      <c r="D549" s="25" t="inlineStr">
        <is>
          <t>1.6 SYSTEMS DEVELOPMENT, INTEGRATION AND TESTING</t>
        </is>
      </c>
      <c r="E549" s="25" t="inlineStr">
        <is>
          <t>1.6.4 OSS911 SOLUTION INTEGRATION WITH MOI RADIO COMMUNICATIONS NETWORKS</t>
        </is>
      </c>
      <c r="F549" s="25" t="inlineStr">
        <is>
          <t>Emergency Alarm Notification</t>
        </is>
      </c>
      <c r="G549" s="19" t="n"/>
      <c r="H549" s="20" t="n"/>
      <c r="I549" s="20" t="n"/>
      <c r="J549" s="19" t="n"/>
      <c r="K549" s="21" t="n"/>
      <c r="L549" s="22">
        <f>IF(OR(J549="",K549=""),"",J549*K549)</f>
        <v/>
      </c>
      <c r="M549" s="19" t="n"/>
      <c r="N549" s="20" t="n"/>
      <c r="O549" s="20" t="n"/>
    </row>
    <row r="550">
      <c r="A550" s="16" t="n">
        <v>547</v>
      </c>
      <c r="B550" s="16" t="inlineStr">
        <is>
          <t>1.6.4.8.2</t>
        </is>
      </c>
      <c r="C550" s="18" t="inlineStr">
        <is>
          <t>Part 1 – General &amp; Programme</t>
        </is>
      </c>
      <c r="D550" s="18" t="inlineStr">
        <is>
          <t>1.6 SYSTEMS DEVELOPMENT, INTEGRATION AND TESTING</t>
        </is>
      </c>
      <c r="E550" s="18" t="inlineStr">
        <is>
          <t>1.6.4 OSS911 SOLUTION INTEGRATION WITH MOI RADIO COMMUNICATIONS NETWORKS</t>
        </is>
      </c>
      <c r="F550" s="18" t="inlineStr">
        <is>
          <t>Location data</t>
        </is>
      </c>
      <c r="G550" s="19" t="n"/>
      <c r="H550" s="20" t="n"/>
      <c r="I550" s="20" t="n"/>
      <c r="J550" s="19" t="n"/>
      <c r="K550" s="21" t="n"/>
      <c r="L550" s="22">
        <f>IF(OR(J550="",K550=""),"",J550*K550)</f>
        <v/>
      </c>
      <c r="M550" s="19" t="n"/>
      <c r="N550" s="20" t="n"/>
      <c r="O550" s="20" t="n"/>
    </row>
    <row r="551">
      <c r="A551" s="23" t="n">
        <v>548</v>
      </c>
      <c r="B551" s="23" t="inlineStr">
        <is>
          <t>1.6.4.8.3</t>
        </is>
      </c>
      <c r="C551" s="25" t="inlineStr">
        <is>
          <t>Part 1 – General &amp; Programme</t>
        </is>
      </c>
      <c r="D551" s="25" t="inlineStr">
        <is>
          <t>1.6 SYSTEMS DEVELOPMENT, INTEGRATION AND TESTING</t>
        </is>
      </c>
      <c r="E551" s="25" t="inlineStr">
        <is>
          <t>1.6.4 OSS911 SOLUTION INTEGRATION WITH MOI RADIO COMMUNICATIONS NETWORKS</t>
        </is>
      </c>
      <c r="F551" s="25" t="inlineStr">
        <is>
          <t>Status Codes received</t>
        </is>
      </c>
      <c r="G551" s="19" t="n"/>
      <c r="H551" s="20" t="n"/>
      <c r="I551" s="20" t="n"/>
      <c r="J551" s="19" t="n"/>
      <c r="K551" s="21" t="n"/>
      <c r="L551" s="22">
        <f>IF(OR(J551="",K551=""),"",J551*K551)</f>
        <v/>
      </c>
      <c r="M551" s="19" t="n"/>
      <c r="N551" s="20" t="n"/>
      <c r="O551" s="20" t="n"/>
    </row>
    <row r="552">
      <c r="A552" s="16" t="n">
        <v>549</v>
      </c>
      <c r="B552" s="16" t="inlineStr">
        <is>
          <t>1.6.4.8.4</t>
        </is>
      </c>
      <c r="C552" s="18" t="inlineStr">
        <is>
          <t>Part 1 – General &amp; Programme</t>
        </is>
      </c>
      <c r="D552" s="18" t="inlineStr">
        <is>
          <t>1.6 SYSTEMS DEVELOPMENT, INTEGRATION AND TESTING</t>
        </is>
      </c>
      <c r="E552" s="18" t="inlineStr">
        <is>
          <t>1.6.4 OSS911 SOLUTION INTEGRATION WITH MOI RADIO COMMUNICATIONS NETWORKS</t>
        </is>
      </c>
      <c r="F552" s="18" t="inlineStr">
        <is>
          <t>Short Data Messages</t>
        </is>
      </c>
      <c r="G552" s="19" t="n"/>
      <c r="H552" s="20" t="n"/>
      <c r="I552" s="20" t="n"/>
      <c r="J552" s="19" t="n"/>
      <c r="K552" s="21" t="n"/>
      <c r="L552" s="22">
        <f>IF(OR(J552="",K552=""),"",J552*K552)</f>
        <v/>
      </c>
      <c r="M552" s="19" t="n"/>
      <c r="N552" s="20" t="n"/>
      <c r="O552" s="20" t="n"/>
    </row>
    <row r="553">
      <c r="A553" s="23" t="n">
        <v>550</v>
      </c>
      <c r="B553" s="23" t="inlineStr">
        <is>
          <t>1.6.4.8.5</t>
        </is>
      </c>
      <c r="C553" s="25" t="inlineStr">
        <is>
          <t>Part 1 – General &amp; Programme</t>
        </is>
      </c>
      <c r="D553" s="25" t="inlineStr">
        <is>
          <t>1.6 SYSTEMS DEVELOPMENT, INTEGRATION AND TESTING</t>
        </is>
      </c>
      <c r="E553" s="25" t="inlineStr">
        <is>
          <t>1.6.4 OSS911 SOLUTION INTEGRATION WITH MOI RADIO COMMUNICATIONS NETWORKS</t>
        </is>
      </c>
      <c r="F553" s="25" t="inlineStr">
        <is>
          <t>Resource information and management</t>
        </is>
      </c>
      <c r="G553" s="19" t="n"/>
      <c r="H553" s="20" t="n"/>
      <c r="I553" s="20" t="n"/>
      <c r="J553" s="19" t="n"/>
      <c r="K553" s="21" t="n"/>
      <c r="L553" s="22">
        <f>IF(OR(J553="",K553=""),"",J553*K553)</f>
        <v/>
      </c>
      <c r="M553" s="19" t="n"/>
      <c r="N553" s="20" t="n"/>
      <c r="O553" s="20" t="n"/>
    </row>
    <row r="554">
      <c r="A554" s="16" t="n">
        <v>551</v>
      </c>
      <c r="B554" s="16" t="inlineStr">
        <is>
          <t>1.6.4.8.6</t>
        </is>
      </c>
      <c r="C554" s="18" t="inlineStr">
        <is>
          <t>Part 1 – General &amp; Programme</t>
        </is>
      </c>
      <c r="D554" s="18" t="inlineStr">
        <is>
          <t>1.6 SYSTEMS DEVELOPMENT, INTEGRATION AND TESTING</t>
        </is>
      </c>
      <c r="E554" s="18" t="inlineStr">
        <is>
          <t>1.6.4 OSS911 SOLUTION INTEGRATION WITH MOI RADIO COMMUNICATIONS NETWORKS</t>
        </is>
      </c>
      <c r="F554" s="18" t="inlineStr">
        <is>
          <t>Radio communications recording system</t>
        </is>
      </c>
      <c r="G554" s="19" t="n"/>
      <c r="H554" s="20" t="n"/>
      <c r="I554" s="20" t="n"/>
      <c r="J554" s="19" t="n"/>
      <c r="K554" s="21" t="n"/>
      <c r="L554" s="22">
        <f>IF(OR(J554="",K554=""),"",J554*K554)</f>
        <v/>
      </c>
      <c r="M554" s="19" t="n"/>
      <c r="N554" s="20" t="n"/>
      <c r="O554" s="20" t="n"/>
    </row>
    <row r="555">
      <c r="A555" s="23" t="n">
        <v>552</v>
      </c>
      <c r="B555" s="23" t="inlineStr">
        <is>
          <t>1.6.4.8.7</t>
        </is>
      </c>
      <c r="C555" s="25" t="inlineStr">
        <is>
          <t>Part 1 – General &amp; Programme</t>
        </is>
      </c>
      <c r="D555" s="25" t="inlineStr">
        <is>
          <t>1.6 SYSTEMS DEVELOPMENT, INTEGRATION AND TESTING</t>
        </is>
      </c>
      <c r="E555" s="25" t="inlineStr">
        <is>
          <t>1.6.4 OSS911 SOLUTION INTEGRATION WITH MOI RADIO COMMUNICATIONS NETWORKS</t>
        </is>
      </c>
      <c r="F555" s="25" t="inlineStr">
        <is>
          <t>Network Time Protocol (NTP) integration – the NTP source will be advised by MOI</t>
        </is>
      </c>
      <c r="G555" s="19" t="n"/>
      <c r="H555" s="20" t="n"/>
      <c r="I555" s="20" t="n"/>
      <c r="J555" s="19" t="n"/>
      <c r="K555" s="21" t="n"/>
      <c r="L555" s="22">
        <f>IF(OR(J555="",K555=""),"",J555*K555)</f>
        <v/>
      </c>
      <c r="M555" s="19" t="n"/>
      <c r="N555" s="20" t="n"/>
      <c r="O555" s="20" t="n"/>
    </row>
    <row r="556">
      <c r="A556" s="16" t="n">
        <v>553</v>
      </c>
      <c r="B556" s="17" t="inlineStr">
        <is>
          <t>1.6.4.9</t>
        </is>
      </c>
      <c r="C556" s="18" t="inlineStr">
        <is>
          <t>Part 1 – General &amp; Programme</t>
        </is>
      </c>
      <c r="D556" s="18" t="inlineStr">
        <is>
          <t>1.6 SYSTEMS DEVELOPMENT, INTEGRATION AND TESTING</t>
        </is>
      </c>
      <c r="E556" s="18" t="inlineStr">
        <is>
          <t>1.6.4 OSS911 SOLUTION INTEGRATION WITH MOI RADIO COMMUNICATIONS NETWORKS</t>
        </is>
      </c>
      <c r="F556" s="18" t="inlineStr">
        <is>
          <t>The BIDDER shall include in their proposal any other functions that their proposed integration provides.</t>
        </is>
      </c>
      <c r="G556" s="19" t="n"/>
      <c r="H556" s="20" t="n"/>
      <c r="I556" s="20" t="n"/>
      <c r="J556" s="19" t="n"/>
      <c r="K556" s="21" t="n"/>
      <c r="L556" s="22">
        <f>IF(OR(J556="",K556=""),"",J556*K556)</f>
        <v/>
      </c>
      <c r="M556" s="19" t="n"/>
      <c r="N556" s="20" t="n"/>
      <c r="O556" s="20" t="n"/>
    </row>
    <row r="557">
      <c r="A557" s="23" t="n">
        <v>554</v>
      </c>
      <c r="B557" s="24" t="inlineStr">
        <is>
          <t>1.6.5.1</t>
        </is>
      </c>
      <c r="C557" s="25" t="inlineStr">
        <is>
          <t>Part 1 – General &amp; Programme</t>
        </is>
      </c>
      <c r="D557" s="25" t="inlineStr">
        <is>
          <t>1.6 SYSTEMS DEVELOPMENT, INTEGRATION AND TESTING</t>
        </is>
      </c>
      <c r="E557" s="25" t="inlineStr">
        <is>
          <t>1.6.5 OSS911 SOLUTION DESIGN</t>
        </is>
      </c>
      <c r="F557" s="25" t="inlineStr">
        <is>
          <t>The BIDDER shall provide a preliminary high-level systems architecture and design blueprint for the OSS911 applications that includes a conceptual data model for OSS911 systems based on their understanding of the RFP.</t>
        </is>
      </c>
      <c r="G557" s="19" t="n"/>
      <c r="H557" s="20" t="n"/>
      <c r="I557" s="20" t="n"/>
      <c r="J557" s="19" t="n"/>
      <c r="K557" s="21" t="n"/>
      <c r="L557" s="22">
        <f>IF(OR(J557="",K557=""),"",J557*K557)</f>
        <v/>
      </c>
      <c r="M557" s="19" t="n"/>
      <c r="N557" s="20" t="n"/>
      <c r="O557" s="20" t="n"/>
    </row>
    <row r="558">
      <c r="A558" s="16" t="n">
        <v>555</v>
      </c>
      <c r="B558" s="17" t="inlineStr">
        <is>
          <t>1.6.5.2</t>
        </is>
      </c>
      <c r="C558" s="18" t="inlineStr">
        <is>
          <t>Part 1 – General &amp; Programme</t>
        </is>
      </c>
      <c r="D558" s="18" t="inlineStr">
        <is>
          <t>1.6 SYSTEMS DEVELOPMENT, INTEGRATION AND TESTING</t>
        </is>
      </c>
      <c r="E558" s="18" t="inlineStr">
        <is>
          <t>1.6.5 OSS911 SOLUTION DESIGN</t>
        </is>
      </c>
      <c r="F558" s="18" t="inlineStr">
        <is>
          <t>The BIDDER shall include a narrative that describes the conceptual data model along with a large, readable print of the conceptual data model.</t>
        </is>
      </c>
      <c r="G558" s="19" t="n"/>
      <c r="H558" s="20" t="n"/>
      <c r="I558" s="20" t="n"/>
      <c r="J558" s="19" t="n"/>
      <c r="K558" s="21" t="n"/>
      <c r="L558" s="22">
        <f>IF(OR(J558="",K558=""),"",J558*K558)</f>
        <v/>
      </c>
      <c r="M558" s="19" t="n"/>
      <c r="N558" s="20" t="n"/>
      <c r="O558" s="20" t="n"/>
    </row>
    <row r="559">
      <c r="A559" s="23" t="n">
        <v>556</v>
      </c>
      <c r="B559" s="24" t="inlineStr">
        <is>
          <t>1.6.5.3</t>
        </is>
      </c>
      <c r="C559" s="25" t="inlineStr">
        <is>
          <t>Part 1 – General &amp; Programme</t>
        </is>
      </c>
      <c r="D559" s="25" t="inlineStr">
        <is>
          <t>1.6 SYSTEMS DEVELOPMENT, INTEGRATION AND TESTING</t>
        </is>
      </c>
      <c r="E559" s="25" t="inlineStr">
        <is>
          <t>1.6.5 OSS911 SOLUTION DESIGN</t>
        </is>
      </c>
      <c r="F559" s="25" t="inlineStr">
        <is>
          <t>The BIDDER shall confirm that the user interface, forms and reports design, layout and functionality is customizable, and explain this capability in their proposal.</t>
        </is>
      </c>
      <c r="G559" s="19" t="n"/>
      <c r="H559" s="20" t="n"/>
      <c r="I559" s="20" t="n"/>
      <c r="J559" s="19" t="n"/>
      <c r="K559" s="21" t="n"/>
      <c r="L559" s="22">
        <f>IF(OR(J559="",K559=""),"",J559*K559)</f>
        <v/>
      </c>
      <c r="M559" s="19" t="n"/>
      <c r="N559" s="20" t="n"/>
      <c r="O559" s="20" t="n"/>
    </row>
    <row r="560">
      <c r="A560" s="16" t="n">
        <v>557</v>
      </c>
      <c r="B560" s="17" t="inlineStr">
        <is>
          <t>1.6.5.4</t>
        </is>
      </c>
      <c r="C560" s="18" t="inlineStr">
        <is>
          <t>Part 1 – General &amp; Programme</t>
        </is>
      </c>
      <c r="D560" s="18" t="inlineStr">
        <is>
          <t>1.6 SYSTEMS DEVELOPMENT, INTEGRATION AND TESTING</t>
        </is>
      </c>
      <c r="E560" s="18" t="inlineStr">
        <is>
          <t>1.6.5 OSS911 SOLUTION DESIGN</t>
        </is>
      </c>
      <c r="F560" s="18" t="inlineStr">
        <is>
          <t>Within the proposal, the BIDDER shall provide the necessary screenshots in their proposal which help the MOI to understand this capability.</t>
        </is>
      </c>
      <c r="G560" s="19" t="n"/>
      <c r="H560" s="20" t="n"/>
      <c r="I560" s="20" t="n"/>
      <c r="J560" s="19" t="n"/>
      <c r="K560" s="21" t="n"/>
      <c r="L560" s="22">
        <f>IF(OR(J560="",K560=""),"",J560*K560)</f>
        <v/>
      </c>
      <c r="M560" s="19" t="n"/>
      <c r="N560" s="20" t="n"/>
      <c r="O560" s="20" t="n"/>
    </row>
    <row r="561">
      <c r="A561" s="23" t="n">
        <v>558</v>
      </c>
      <c r="B561" s="24" t="inlineStr">
        <is>
          <t>1.6.5.5</t>
        </is>
      </c>
      <c r="C561" s="25" t="inlineStr">
        <is>
          <t>Part 1 – General &amp; Programme</t>
        </is>
      </c>
      <c r="D561" s="25" t="inlineStr">
        <is>
          <t>1.6 SYSTEMS DEVELOPMENT, INTEGRATION AND TESTING</t>
        </is>
      </c>
      <c r="E561" s="25" t="inlineStr">
        <is>
          <t>1.6.5 OSS911 SOLUTION DESIGN</t>
        </is>
      </c>
      <c r="F561" s="25" t="inlineStr">
        <is>
          <t>Within the proposal, the BIDDER shall detail the mechanisms through which the MOI inputs will be accommodated in the system design, in the operator and supervisor user interface screens design and will include multiple system build stages such that MOI have flexibility in influencing the final design as late as possible within the project duration.</t>
        </is>
      </c>
      <c r="G561" s="19" t="n"/>
      <c r="H561" s="20" t="n"/>
      <c r="I561" s="20" t="n"/>
      <c r="J561" s="19" t="n"/>
      <c r="K561" s="21" t="n"/>
      <c r="L561" s="22">
        <f>IF(OR(J561="",K561=""),"",J561*K561)</f>
        <v/>
      </c>
      <c r="M561" s="19" t="n"/>
      <c r="N561" s="20" t="n"/>
      <c r="O561" s="20" t="n"/>
    </row>
    <row r="562">
      <c r="A562" s="16" t="n">
        <v>559</v>
      </c>
      <c r="B562" s="17" t="inlineStr">
        <is>
          <t>1.6.5.6</t>
        </is>
      </c>
      <c r="C562" s="18" t="inlineStr">
        <is>
          <t>Part 1 – General &amp; Programme</t>
        </is>
      </c>
      <c r="D562" s="18" t="inlineStr">
        <is>
          <t>1.6 SYSTEMS DEVELOPMENT, INTEGRATION AND TESTING</t>
        </is>
      </c>
      <c r="E562" s="18" t="inlineStr">
        <is>
          <t>1.6.5 OSS911 SOLUTION DESIGN</t>
        </is>
      </c>
      <c r="F562" s="18" t="inlineStr">
        <is>
          <t>Before proceeding with any high-level or low-level design activities, the CONTRACTOR shall conduct a comprehensive predesign assessment to align their 911 solution stack with the MoI reference Architecture in a workshop with all relevant stakeholders. As an output from this, the CONTRACTOR shall submit a design document that includes the dimensions of resource reuse, integration with existing assets, and alignment with the MoI’s efficiency and sustainability objectives.</t>
        </is>
      </c>
      <c r="G562" s="19" t="n"/>
      <c r="H562" s="20" t="n"/>
      <c r="I562" s="20" t="n"/>
      <c r="J562" s="19" t="n"/>
      <c r="K562" s="21" t="n"/>
      <c r="L562" s="22">
        <f>IF(OR(J562="",K562=""),"",J562*K562)</f>
        <v/>
      </c>
      <c r="M562" s="19" t="n"/>
      <c r="N562" s="20" t="n"/>
      <c r="O562" s="20" t="n"/>
    </row>
    <row r="563">
      <c r="A563" s="23" t="n">
        <v>560</v>
      </c>
      <c r="B563" s="24" t="inlineStr">
        <is>
          <t>1.6.5.7</t>
        </is>
      </c>
      <c r="C563" s="25" t="inlineStr">
        <is>
          <t>Part 1 – General &amp; Programme</t>
        </is>
      </c>
      <c r="D563" s="25" t="inlineStr">
        <is>
          <t>1.6 SYSTEMS DEVELOPMENT, INTEGRATION AND TESTING</t>
        </is>
      </c>
      <c r="E563" s="25" t="inlineStr">
        <is>
          <t>1.6.5 OSS911 SOLUTION DESIGN</t>
        </is>
      </c>
      <c r="F563" s="25" t="inlineStr">
        <is>
          <t>The CONTRACTOR shall implement a high-level data architecture for the OSS911 solution that shall map to the following, identifying the different components therein in consultation and agreement with the MOI:</t>
        </is>
      </c>
      <c r="G563" s="19" t="n"/>
      <c r="H563" s="20" t="n"/>
      <c r="I563" s="20" t="n"/>
      <c r="J563" s="19" t="n"/>
      <c r="K563" s="21" t="n"/>
      <c r="L563" s="22">
        <f>IF(OR(J563="",K563=""),"",J563*K563)</f>
        <v/>
      </c>
      <c r="M563" s="19" t="n"/>
      <c r="N563" s="20" t="n"/>
      <c r="O563" s="20" t="n"/>
    </row>
    <row r="564">
      <c r="A564" s="16" t="n">
        <v>561</v>
      </c>
      <c r="B564" s="16" t="inlineStr">
        <is>
          <t>1.6.5.7.1</t>
        </is>
      </c>
      <c r="C564" s="18" t="inlineStr">
        <is>
          <t>Part 1 – General &amp; Programme</t>
        </is>
      </c>
      <c r="D564" s="18" t="inlineStr">
        <is>
          <t>1.6 SYSTEMS DEVELOPMENT, INTEGRATION AND TESTING</t>
        </is>
      </c>
      <c r="E564" s="18" t="inlineStr">
        <is>
          <t>1.6.5 OSS911 SOLUTION DESIGN</t>
        </is>
      </c>
      <c r="F564" s="18" t="inlineStr">
        <is>
          <t>Data sources including but not limited to voice calls, SIP- data, text &amp; multimedia (images &amp; video), location data from multiple sources, operational data systems from MOI agencies including AVL data, external systems feeding data (live traffic, weather, points of interest, fleet maps, incident information etc.).</t>
        </is>
      </c>
      <c r="G564" s="19" t="n"/>
      <c r="H564" s="20" t="n"/>
      <c r="I564" s="20" t="n"/>
      <c r="J564" s="19" t="n"/>
      <c r="K564" s="21" t="n"/>
      <c r="L564" s="22">
        <f>IF(OR(J564="",K564=""),"",J564*K564)</f>
        <v/>
      </c>
      <c r="M564" s="19" t="n"/>
      <c r="N564" s="20" t="n"/>
      <c r="O564" s="20" t="n"/>
    </row>
    <row r="565">
      <c r="A565" s="23" t="n">
        <v>562</v>
      </c>
      <c r="B565" s="23" t="inlineStr">
        <is>
          <t>1.6.5.7.2</t>
        </is>
      </c>
      <c r="C565" s="25" t="inlineStr">
        <is>
          <t>Part 1 – General &amp; Programme</t>
        </is>
      </c>
      <c r="D565" s="25" t="inlineStr">
        <is>
          <t>1.6 SYSTEMS DEVELOPMENT, INTEGRATION AND TESTING</t>
        </is>
      </c>
      <c r="E565" s="25" t="inlineStr">
        <is>
          <t>1.6.5 OSS911 SOLUTION DESIGN</t>
        </is>
      </c>
      <c r="F565" s="25" t="inlineStr">
        <is>
          <t>Secure data ingestion &amp; integration layer including but not limited to telephony side SIP interfaces, middleware integration bus with API gateway and for orchestration, brokering and arbitration between different message queues and applications, data pass-through, and data validation and normalization in case of business logic application to data.</t>
        </is>
      </c>
      <c r="G565" s="19" t="n"/>
      <c r="H565" s="20" t="n"/>
      <c r="I565" s="20" t="n"/>
      <c r="J565" s="19" t="n"/>
      <c r="K565" s="21" t="n"/>
      <c r="L565" s="22">
        <f>IF(OR(J565="",K565=""),"",J565*K565)</f>
        <v/>
      </c>
      <c r="M565" s="19" t="n"/>
      <c r="N565" s="20" t="n"/>
      <c r="O565" s="20" t="n"/>
    </row>
    <row r="566">
      <c r="A566" s="16" t="n">
        <v>563</v>
      </c>
      <c r="B566" s="16" t="inlineStr">
        <is>
          <t>1.6.5.7.3</t>
        </is>
      </c>
      <c r="C566" s="18" t="inlineStr">
        <is>
          <t>Part 1 – General &amp; Programme</t>
        </is>
      </c>
      <c r="D566" s="18" t="inlineStr">
        <is>
          <t>1.6 SYSTEMS DEVELOPMENT, INTEGRATION AND TESTING</t>
        </is>
      </c>
      <c r="E566" s="18" t="inlineStr">
        <is>
          <t>1.6.5 OSS911 SOLUTION DESIGN</t>
        </is>
      </c>
      <c r="F566" s="18" t="inlineStr">
        <is>
          <t>Core business systems processing layer comprising an integrated suite of applications that utilizes a Service Oriented Architecture (SOA) and integrates the different functions and subsystems of the OSS911 solutions in this document including but not limited to Next Generation 911 (NG911) Incident and Resource Management System (IRMS), Common Operational Picture (COP) Solution, IP Telephony solution, recording solution, all of which shall be orchestrated by an Enterprise Service Bus (ESB).</t>
        </is>
      </c>
      <c r="G566" s="19" t="n"/>
      <c r="H566" s="20" t="n"/>
      <c r="I566" s="20" t="n"/>
      <c r="J566" s="19" t="n"/>
      <c r="K566" s="21" t="n"/>
      <c r="L566" s="22">
        <f>IF(OR(J566="",K566=""),"",J566*K566)</f>
        <v/>
      </c>
      <c r="M566" s="19" t="n"/>
      <c r="N566" s="20" t="n"/>
      <c r="O566" s="20" t="n"/>
    </row>
    <row r="567">
      <c r="A567" s="23" t="n">
        <v>564</v>
      </c>
      <c r="B567" s="23" t="inlineStr">
        <is>
          <t>1.6.5.7.4</t>
        </is>
      </c>
      <c r="C567" s="25" t="inlineStr">
        <is>
          <t>Part 1 – General &amp; Programme</t>
        </is>
      </c>
      <c r="D567" s="25" t="inlineStr">
        <is>
          <t>1.6 SYSTEMS DEVELOPMENT, INTEGRATION AND TESTING</t>
        </is>
      </c>
      <c r="E567" s="25" t="inlineStr">
        <is>
          <t>1.6.5 OSS911 SOLUTION DESIGN</t>
        </is>
      </c>
      <c r="F567" s="25" t="inlineStr">
        <is>
          <t>Data storage layer supporting all the OSS911 solutions including but not limited to the operational databases for incidents and events data based on all data sources (voice, text, images, video), the lineup and units’ data, users’ information, geospatial data stores comprising the location data, maps, traffic and routes information, special operating zones, geofences, logs (operational and system logs), audit trails, data and analytics warehouse and the historical and analytical datastores.</t>
        </is>
      </c>
      <c r="G567" s="19" t="n"/>
      <c r="H567" s="20" t="n"/>
      <c r="I567" s="20" t="n"/>
      <c r="J567" s="19" t="n"/>
      <c r="K567" s="21" t="n"/>
      <c r="L567" s="22">
        <f>IF(OR(J567="",K567=""),"",J567*K567)</f>
        <v/>
      </c>
      <c r="M567" s="19" t="n"/>
      <c r="N567" s="20" t="n"/>
      <c r="O567" s="20" t="n"/>
    </row>
    <row r="568">
      <c r="A568" s="16" t="n">
        <v>565</v>
      </c>
      <c r="B568" s="16" t="inlineStr">
        <is>
          <t>1.6.5.7.5</t>
        </is>
      </c>
      <c r="C568" s="18" t="inlineStr">
        <is>
          <t>Part 1 – General &amp; Programme</t>
        </is>
      </c>
      <c r="D568" s="18" t="inlineStr">
        <is>
          <t>1.6 SYSTEMS DEVELOPMENT, INTEGRATION AND TESTING</t>
        </is>
      </c>
      <c r="E568" s="18" t="inlineStr">
        <is>
          <t>1.6.5 OSS911 SOLUTION DESIGN</t>
        </is>
      </c>
      <c r="F568" s="18" t="inlineStr">
        <is>
          <t>Analytics and intelligence layer including but not limited to analytics insights and decision support supported by operational dashboards with real-time KPIs, concentration zones and hotspots, trend analysis, predictive analysis.</t>
        </is>
      </c>
      <c r="G568" s="19" t="n"/>
      <c r="H568" s="20" t="n"/>
      <c r="I568" s="20" t="n"/>
      <c r="J568" s="19" t="n"/>
      <c r="K568" s="21" t="n"/>
      <c r="L568" s="22">
        <f>IF(OR(J568="",K568=""),"",J568*K568)</f>
        <v/>
      </c>
      <c r="M568" s="19" t="n"/>
      <c r="N568" s="20" t="n"/>
      <c r="O568" s="20" t="n"/>
    </row>
    <row r="569">
      <c r="A569" s="23" t="n">
        <v>566</v>
      </c>
      <c r="B569" s="23" t="inlineStr">
        <is>
          <t>1.6.5.7.6</t>
        </is>
      </c>
      <c r="C569" s="25" t="inlineStr">
        <is>
          <t>Part 1 – General &amp; Programme</t>
        </is>
      </c>
      <c r="D569" s="25" t="inlineStr">
        <is>
          <t>1.6 SYSTEMS DEVELOPMENT, INTEGRATION AND TESTING</t>
        </is>
      </c>
      <c r="E569" s="25" t="inlineStr">
        <is>
          <t>1.6.5 OSS911 SOLUTION DESIGN</t>
        </is>
      </c>
      <c r="F569" s="25" t="inlineStr">
        <is>
          <t>AI layer including but not limited to speech recognition and transcription, natural language understanding, decision support with recommendations, content generation, GenAI, conversational AI, etc.</t>
        </is>
      </c>
      <c r="G569" s="19" t="n"/>
      <c r="H569" s="20" t="n"/>
      <c r="I569" s="20" t="n"/>
      <c r="J569" s="19" t="n"/>
      <c r="K569" s="21" t="n"/>
      <c r="L569" s="22">
        <f>IF(OR(J569="",K569=""),"",J569*K569)</f>
        <v/>
      </c>
      <c r="M569" s="19" t="n"/>
      <c r="N569" s="20" t="n"/>
      <c r="O569" s="20" t="n"/>
    </row>
    <row r="570">
      <c r="A570" s="16" t="n">
        <v>567</v>
      </c>
      <c r="B570" s="16" t="inlineStr">
        <is>
          <t>1.6.5.7.7</t>
        </is>
      </c>
      <c r="C570" s="18" t="inlineStr">
        <is>
          <t>Part 1 – General &amp; Programme</t>
        </is>
      </c>
      <c r="D570" s="18" t="inlineStr">
        <is>
          <t>1.6 SYSTEMS DEVELOPMENT, INTEGRATION AND TESTING</t>
        </is>
      </c>
      <c r="E570" s="18" t="inlineStr">
        <is>
          <t>1.6.5 OSS911 SOLUTION DESIGN</t>
        </is>
      </c>
      <c r="F570" s="18" t="inlineStr">
        <is>
          <t>Technical and Security infrastructure layer forming the backbone for the core business systems, data and analytics including but not limited to centrally management and monitored on-premises private infrastructure supporting the concept of operations outlined in this document.</t>
        </is>
      </c>
      <c r="G570" s="19" t="n"/>
      <c r="H570" s="20" t="n"/>
      <c r="I570" s="20" t="n"/>
      <c r="J570" s="19" t="n"/>
      <c r="K570" s="21" t="n"/>
      <c r="L570" s="22">
        <f>IF(OR(J570="",K570=""),"",J570*K570)</f>
        <v/>
      </c>
      <c r="M570" s="19" t="n"/>
      <c r="N570" s="20" t="n"/>
      <c r="O570" s="20" t="n"/>
    </row>
    <row r="571">
      <c r="A571" s="23" t="n">
        <v>568</v>
      </c>
      <c r="B571" s="24" t="inlineStr">
        <is>
          <t>1.6.5.8</t>
        </is>
      </c>
      <c r="C571" s="25" t="inlineStr">
        <is>
          <t>Part 1 – General &amp; Programme</t>
        </is>
      </c>
      <c r="D571" s="25" t="inlineStr">
        <is>
          <t>1.6 SYSTEMS DEVELOPMENT, INTEGRATION AND TESTING</t>
        </is>
      </c>
      <c r="E571" s="25" t="inlineStr">
        <is>
          <t>1.6.5 OSS911 SOLUTION DESIGN</t>
        </is>
      </c>
      <c r="F571" s="25" t="inlineStr">
        <is>
          <t>The CONTRACTOR shall produce an enterprise system design that utilizes common the data architecture, data structures and consistent user interfaces.</t>
        </is>
      </c>
      <c r="G571" s="19" t="n"/>
      <c r="H571" s="20" t="n"/>
      <c r="I571" s="20" t="n"/>
      <c r="J571" s="19" t="n"/>
      <c r="K571" s="21" t="n"/>
      <c r="L571" s="22">
        <f>IF(OR(J571="",K571=""),"",J571*K571)</f>
        <v/>
      </c>
      <c r="M571" s="19" t="n"/>
      <c r="N571" s="20" t="n"/>
      <c r="O571" s="20" t="n"/>
    </row>
    <row r="572">
      <c r="A572" s="16" t="n">
        <v>569</v>
      </c>
      <c r="B572" s="17" t="inlineStr">
        <is>
          <t>1.6.5.9</t>
        </is>
      </c>
      <c r="C572" s="18" t="inlineStr">
        <is>
          <t>Part 1 – General &amp; Programme</t>
        </is>
      </c>
      <c r="D572" s="18" t="inlineStr">
        <is>
          <t>1.6 SYSTEMS DEVELOPMENT, INTEGRATION AND TESTING</t>
        </is>
      </c>
      <c r="E572" s="18" t="inlineStr">
        <is>
          <t>1.6.5 OSS911 SOLUTION DESIGN</t>
        </is>
      </c>
      <c r="F572" s="18" t="inlineStr">
        <is>
          <t>The CONTRACTOR shall ensure that:</t>
        </is>
      </c>
      <c r="G572" s="19" t="n"/>
      <c r="H572" s="20" t="n"/>
      <c r="I572" s="20" t="n"/>
      <c r="J572" s="19" t="n"/>
      <c r="K572" s="21" t="n"/>
      <c r="L572" s="22">
        <f>IF(OR(J572="",K572=""),"",J572*K572)</f>
        <v/>
      </c>
      <c r="M572" s="19" t="n"/>
      <c r="N572" s="20" t="n"/>
      <c r="O572" s="20" t="n"/>
    </row>
    <row r="573">
      <c r="A573" s="23" t="n">
        <v>570</v>
      </c>
      <c r="B573" s="23" t="inlineStr">
        <is>
          <t>1.6.5.9.1</t>
        </is>
      </c>
      <c r="C573" s="25" t="inlineStr">
        <is>
          <t>Part 1 – General &amp; Programme</t>
        </is>
      </c>
      <c r="D573" s="25" t="inlineStr">
        <is>
          <t>1.6 SYSTEMS DEVELOPMENT, INTEGRATION AND TESTING</t>
        </is>
      </c>
      <c r="E573" s="25" t="inlineStr">
        <is>
          <t>1.6.5 OSS911 SOLUTION DESIGN</t>
        </is>
      </c>
      <c r="F573" s="25" t="inlineStr">
        <is>
          <t>A common nomenclature and taxonomy shall be used across the different systems.</t>
        </is>
      </c>
      <c r="G573" s="19" t="n"/>
      <c r="H573" s="20" t="n"/>
      <c r="I573" s="20" t="n"/>
      <c r="J573" s="19" t="n"/>
      <c r="K573" s="21" t="n"/>
      <c r="L573" s="22">
        <f>IF(OR(J573="",K573=""),"",J573*K573)</f>
        <v/>
      </c>
      <c r="M573" s="19" t="n"/>
      <c r="N573" s="20" t="n"/>
      <c r="O573" s="20" t="n"/>
    </row>
    <row r="574">
      <c r="A574" s="16" t="n">
        <v>571</v>
      </c>
      <c r="B574" s="16" t="inlineStr">
        <is>
          <t>1.6.5.9.2</t>
        </is>
      </c>
      <c r="C574" s="18" t="inlineStr">
        <is>
          <t>Part 1 – General &amp; Programme</t>
        </is>
      </c>
      <c r="D574" s="18" t="inlineStr">
        <is>
          <t>1.6 SYSTEMS DEVELOPMENT, INTEGRATION AND TESTING</t>
        </is>
      </c>
      <c r="E574" s="18" t="inlineStr">
        <is>
          <t>1.6.5 OSS911 SOLUTION DESIGN</t>
        </is>
      </c>
      <c r="F574" s="18" t="inlineStr">
        <is>
          <t>The delivered solution shall provide a dictionary of terms, nomenclature, and taxonomy available to users.</t>
        </is>
      </c>
      <c r="G574" s="19" t="n"/>
      <c r="H574" s="20" t="n"/>
      <c r="I574" s="20" t="n"/>
      <c r="J574" s="19" t="n"/>
      <c r="K574" s="21" t="n"/>
      <c r="L574" s="22">
        <f>IF(OR(J574="",K574=""),"",J574*K574)</f>
        <v/>
      </c>
      <c r="M574" s="19" t="n"/>
      <c r="N574" s="20" t="n"/>
      <c r="O574" s="20" t="n"/>
    </row>
    <row r="575">
      <c r="A575" s="23" t="n">
        <v>572</v>
      </c>
      <c r="B575" s="23" t="inlineStr">
        <is>
          <t>1.6.5.9.3</t>
        </is>
      </c>
      <c r="C575" s="25" t="inlineStr">
        <is>
          <t>Part 1 – General &amp; Programme</t>
        </is>
      </c>
      <c r="D575" s="25" t="inlineStr">
        <is>
          <t>1.6 SYSTEMS DEVELOPMENT, INTEGRATION AND TESTING</t>
        </is>
      </c>
      <c r="E575" s="25" t="inlineStr">
        <is>
          <t>1.6.5 OSS911 SOLUTION DESIGN</t>
        </is>
      </c>
      <c r="F575" s="25" t="inlineStr">
        <is>
          <t>The dictionary shall provide look-up by name and by descriptive key words, and shall provide definition of each term and the usage of each term.</t>
        </is>
      </c>
      <c r="G575" s="19" t="n"/>
      <c r="H575" s="20" t="n"/>
      <c r="I575" s="20" t="n"/>
      <c r="J575" s="19" t="n"/>
      <c r="K575" s="21" t="n"/>
      <c r="L575" s="22">
        <f>IF(OR(J575="",K575=""),"",J575*K575)</f>
        <v/>
      </c>
      <c r="M575" s="19" t="n"/>
      <c r="N575" s="20" t="n"/>
      <c r="O575" s="20" t="n"/>
    </row>
    <row r="576">
      <c r="A576" s="16" t="n">
        <v>573</v>
      </c>
      <c r="B576" s="17" t="inlineStr">
        <is>
          <t>1.6.5.10</t>
        </is>
      </c>
      <c r="C576" s="18" t="inlineStr">
        <is>
          <t>Part 1 – General &amp; Programme</t>
        </is>
      </c>
      <c r="D576" s="18" t="inlineStr">
        <is>
          <t>1.6 SYSTEMS DEVELOPMENT, INTEGRATION AND TESTING</t>
        </is>
      </c>
      <c r="E576" s="18" t="inlineStr">
        <is>
          <t>1.6.5 OSS911 SOLUTION DESIGN</t>
        </is>
      </c>
      <c r="F576" s="18" t="inlineStr">
        <is>
          <t>The CONTRACTOR shall develop a detailed system design blueprint / model. The structure and format of the detailed design blueprint / model shall be finalized in consultation with the MOI after the award of the contract.</t>
        </is>
      </c>
      <c r="G576" s="19" t="n"/>
      <c r="H576" s="20" t="n"/>
      <c r="I576" s="20" t="n"/>
      <c r="J576" s="19" t="n"/>
      <c r="K576" s="21" t="n"/>
      <c r="L576" s="22">
        <f>IF(OR(J576="",K576=""),"",J576*K576)</f>
        <v/>
      </c>
      <c r="M576" s="19" t="n"/>
      <c r="N576" s="20" t="n"/>
      <c r="O576" s="20" t="n"/>
    </row>
    <row r="577">
      <c r="A577" s="23" t="n">
        <v>574</v>
      </c>
      <c r="B577" s="24" t="inlineStr">
        <is>
          <t>1.6.5.11</t>
        </is>
      </c>
      <c r="C577" s="25" t="inlineStr">
        <is>
          <t>Part 1 – General &amp; Programme</t>
        </is>
      </c>
      <c r="D577" s="25" t="inlineStr">
        <is>
          <t>1.6 SYSTEMS DEVELOPMENT, INTEGRATION AND TESTING</t>
        </is>
      </c>
      <c r="E577" s="25" t="inlineStr">
        <is>
          <t>1.6.5 OSS911 SOLUTION DESIGN</t>
        </is>
      </c>
      <c r="F577" s="25" t="inlineStr">
        <is>
          <t>The detailed systems design shall be delivered to the MOI in the form of a Detailed Design Review (DDR) document prior to the completion of the first month after the award of the contract.</t>
        </is>
      </c>
      <c r="G577" s="19" t="n"/>
      <c r="H577" s="20" t="n"/>
      <c r="I577" s="20" t="n"/>
      <c r="J577" s="19" t="n"/>
      <c r="K577" s="21" t="n"/>
      <c r="L577" s="22">
        <f>IF(OR(J577="",K577=""),"",J577*K577)</f>
        <v/>
      </c>
      <c r="M577" s="19" t="n"/>
      <c r="N577" s="20" t="n"/>
      <c r="O577" s="20" t="n"/>
    </row>
    <row r="578">
      <c r="A578" s="16" t="n">
        <v>575</v>
      </c>
      <c r="B578" s="17" t="inlineStr">
        <is>
          <t>1.6.5.12</t>
        </is>
      </c>
      <c r="C578" s="18" t="inlineStr">
        <is>
          <t>Part 1 – General &amp; Programme</t>
        </is>
      </c>
      <c r="D578" s="18" t="inlineStr">
        <is>
          <t>1.6 SYSTEMS DEVELOPMENT, INTEGRATION AND TESTING</t>
        </is>
      </c>
      <c r="E578" s="18" t="inlineStr">
        <is>
          <t>1.6.5 OSS911 SOLUTION DESIGN</t>
        </is>
      </c>
      <c r="F578" s="18" t="inlineStr">
        <is>
          <t>This detailed design blueprint / model shall be available in to the MOI in an electronic version. The CONTRACTOR shall share with MOI one complete license at OSS911 Center with all functionalities required for the MOI to update the design blueprint beyond the life of the contract.</t>
        </is>
      </c>
      <c r="G578" s="19" t="n"/>
      <c r="H578" s="20" t="n"/>
      <c r="I578" s="20" t="n"/>
      <c r="J578" s="19" t="n"/>
      <c r="K578" s="21" t="n"/>
      <c r="L578" s="22">
        <f>IF(OR(J578="",K578=""),"",J578*K578)</f>
        <v/>
      </c>
      <c r="M578" s="19" t="n"/>
      <c r="N578" s="20" t="n"/>
      <c r="O578" s="20" t="n"/>
    </row>
    <row r="579">
      <c r="A579" s="23" t="n">
        <v>576</v>
      </c>
      <c r="B579" s="24" t="inlineStr">
        <is>
          <t>1.6.5.13</t>
        </is>
      </c>
      <c r="C579" s="25" t="inlineStr">
        <is>
          <t>Part 1 – General &amp; Programme</t>
        </is>
      </c>
      <c r="D579" s="25" t="inlineStr">
        <is>
          <t>1.6 SYSTEMS DEVELOPMENT, INTEGRATION AND TESTING</t>
        </is>
      </c>
      <c r="E579" s="25" t="inlineStr">
        <is>
          <t>1.6.5 OSS911 SOLUTION DESIGN</t>
        </is>
      </c>
      <c r="F579" s="25" t="inlineStr">
        <is>
          <t>The detailed design blueprint / model for the OSS911 systems to be produced by the CONTRACTOR shall include:</t>
        </is>
      </c>
      <c r="G579" s="19" t="n"/>
      <c r="H579" s="20" t="n"/>
      <c r="I579" s="20" t="n"/>
      <c r="J579" s="19" t="n"/>
      <c r="K579" s="21" t="n"/>
      <c r="L579" s="22">
        <f>IF(OR(J579="",K579=""),"",J579*K579)</f>
        <v/>
      </c>
      <c r="M579" s="19" t="n"/>
      <c r="N579" s="20" t="n"/>
      <c r="O579" s="20" t="n"/>
    </row>
    <row r="580">
      <c r="A580" s="16" t="n">
        <v>577</v>
      </c>
      <c r="B580" s="16" t="inlineStr">
        <is>
          <t>1.6.5.13.1</t>
        </is>
      </c>
      <c r="C580" s="18" t="inlineStr">
        <is>
          <t>Part 1 – General &amp; Programme</t>
        </is>
      </c>
      <c r="D580" s="18" t="inlineStr">
        <is>
          <t>1.6 SYSTEMS DEVELOPMENT, INTEGRATION AND TESTING</t>
        </is>
      </c>
      <c r="E580" s="18" t="inlineStr">
        <is>
          <t>1.6.5 OSS911 SOLUTION DESIGN</t>
        </is>
      </c>
      <c r="F580" s="18" t="inlineStr">
        <is>
          <t>Documentation, depiction and description of the workflows along with use cases</t>
        </is>
      </c>
      <c r="G580" s="19" t="n"/>
      <c r="H580" s="20" t="n"/>
      <c r="I580" s="20" t="n"/>
      <c r="J580" s="19" t="n"/>
      <c r="K580" s="21" t="n"/>
      <c r="L580" s="22">
        <f>IF(OR(J580="",K580=""),"",J580*K580)</f>
        <v/>
      </c>
      <c r="M580" s="19" t="n"/>
      <c r="N580" s="20" t="n"/>
      <c r="O580" s="20" t="n"/>
    </row>
    <row r="581">
      <c r="A581" s="23" t="n">
        <v>578</v>
      </c>
      <c r="B581" s="23" t="inlineStr">
        <is>
          <t>1.6.5.13.2</t>
        </is>
      </c>
      <c r="C581" s="25" t="inlineStr">
        <is>
          <t>Part 1 – General &amp; Programme</t>
        </is>
      </c>
      <c r="D581" s="25" t="inlineStr">
        <is>
          <t>1.6 SYSTEMS DEVELOPMENT, INTEGRATION AND TESTING</t>
        </is>
      </c>
      <c r="E581" s="25" t="inlineStr">
        <is>
          <t>1.6.5 OSS911 SOLUTION DESIGN</t>
        </is>
      </c>
      <c r="F581" s="25" t="inlineStr">
        <is>
          <t>System standards manual</t>
        </is>
      </c>
      <c r="G581" s="19" t="n"/>
      <c r="H581" s="20" t="n"/>
      <c r="I581" s="20" t="n"/>
      <c r="J581" s="19" t="n"/>
      <c r="K581" s="21" t="n"/>
      <c r="L581" s="22">
        <f>IF(OR(J581="",K581=""),"",J581*K581)</f>
        <v/>
      </c>
      <c r="M581" s="19" t="n"/>
      <c r="N581" s="20" t="n"/>
      <c r="O581" s="20" t="n"/>
    </row>
    <row r="582">
      <c r="A582" s="16" t="n">
        <v>579</v>
      </c>
      <c r="B582" s="16" t="inlineStr">
        <is>
          <t>1.6.5.13.3</t>
        </is>
      </c>
      <c r="C582" s="18" t="inlineStr">
        <is>
          <t>Part 1 – General &amp; Programme</t>
        </is>
      </c>
      <c r="D582" s="18" t="inlineStr">
        <is>
          <t>1.6 SYSTEMS DEVELOPMENT, INTEGRATION AND TESTING</t>
        </is>
      </c>
      <c r="E582" s="18" t="inlineStr">
        <is>
          <t>1.6.5 OSS911 SOLUTION DESIGN</t>
        </is>
      </c>
      <c r="F582" s="18" t="inlineStr">
        <is>
          <t>Hardware, software and middleware details</t>
        </is>
      </c>
      <c r="G582" s="19" t="n"/>
      <c r="H582" s="20" t="n"/>
      <c r="I582" s="20" t="n"/>
      <c r="J582" s="19" t="n"/>
      <c r="K582" s="21" t="n"/>
      <c r="L582" s="22">
        <f>IF(OR(J582="",K582=""),"",J582*K582)</f>
        <v/>
      </c>
      <c r="M582" s="19" t="n"/>
      <c r="N582" s="20" t="n"/>
      <c r="O582" s="20" t="n"/>
    </row>
    <row r="583">
      <c r="A583" s="23" t="n">
        <v>580</v>
      </c>
      <c r="B583" s="23" t="inlineStr">
        <is>
          <t>1.6.5.13.4</t>
        </is>
      </c>
      <c r="C583" s="25" t="inlineStr">
        <is>
          <t>Part 1 – General &amp; Programme</t>
        </is>
      </c>
      <c r="D583" s="25" t="inlineStr">
        <is>
          <t>1.6 SYSTEMS DEVELOPMENT, INTEGRATION AND TESTING</t>
        </is>
      </c>
      <c r="E583" s="25" t="inlineStr">
        <is>
          <t>1.6.5 OSS911 SOLUTION DESIGN</t>
        </is>
      </c>
      <c r="F583" s="25" t="inlineStr">
        <is>
          <t>Unique identification of all system files</t>
        </is>
      </c>
      <c r="G583" s="19" t="n"/>
      <c r="H583" s="20" t="n"/>
      <c r="I583" s="20" t="n"/>
      <c r="J583" s="19" t="n"/>
      <c r="K583" s="21" t="n"/>
      <c r="L583" s="22">
        <f>IF(OR(J583="",K583=""),"",J583*K583)</f>
        <v/>
      </c>
      <c r="M583" s="19" t="n"/>
      <c r="N583" s="20" t="n"/>
      <c r="O583" s="20" t="n"/>
    </row>
    <row r="584">
      <c r="A584" s="16" t="n">
        <v>581</v>
      </c>
      <c r="B584" s="16" t="inlineStr">
        <is>
          <t>1.6.5.13.5</t>
        </is>
      </c>
      <c r="C584" s="18" t="inlineStr">
        <is>
          <t>Part 1 – General &amp; Programme</t>
        </is>
      </c>
      <c r="D584" s="18" t="inlineStr">
        <is>
          <t>1.6 SYSTEMS DEVELOPMENT, INTEGRATION AND TESTING</t>
        </is>
      </c>
      <c r="E584" s="18" t="inlineStr">
        <is>
          <t>1.6.5 OSS911 SOLUTION DESIGN</t>
        </is>
      </c>
      <c r="F584" s="18" t="inlineStr">
        <is>
          <t>System architecture showing all logical layers</t>
        </is>
      </c>
      <c r="G584" s="19" t="n"/>
      <c r="H584" s="20" t="n"/>
      <c r="I584" s="20" t="n"/>
      <c r="J584" s="19" t="n"/>
      <c r="K584" s="21" t="n"/>
      <c r="L584" s="22">
        <f>IF(OR(J584="",K584=""),"",J584*K584)</f>
        <v/>
      </c>
      <c r="M584" s="19" t="n"/>
      <c r="N584" s="20" t="n"/>
      <c r="O584" s="20" t="n"/>
    </row>
    <row r="585">
      <c r="A585" s="23" t="n">
        <v>582</v>
      </c>
      <c r="B585" s="23" t="inlineStr">
        <is>
          <t>1.6.5.13.6</t>
        </is>
      </c>
      <c r="C585" s="25" t="inlineStr">
        <is>
          <t>Part 1 – General &amp; Programme</t>
        </is>
      </c>
      <c r="D585" s="25" t="inlineStr">
        <is>
          <t>1.6 SYSTEMS DEVELOPMENT, INTEGRATION AND TESTING</t>
        </is>
      </c>
      <c r="E585" s="25" t="inlineStr">
        <is>
          <t>1.6.5 OSS911 SOLUTION DESIGN</t>
        </is>
      </c>
      <c r="F585" s="25" t="inlineStr">
        <is>
          <t>System architecture showing all modules, their relations to the various functionalities and their integration</t>
        </is>
      </c>
      <c r="G585" s="19" t="n"/>
      <c r="H585" s="20" t="n"/>
      <c r="I585" s="20" t="n"/>
      <c r="J585" s="19" t="n"/>
      <c r="K585" s="21" t="n"/>
      <c r="L585" s="22">
        <f>IF(OR(J585="",K585=""),"",J585*K585)</f>
        <v/>
      </c>
      <c r="M585" s="19" t="n"/>
      <c r="N585" s="20" t="n"/>
      <c r="O585" s="20" t="n"/>
    </row>
    <row r="586">
      <c r="A586" s="16" t="n">
        <v>583</v>
      </c>
      <c r="B586" s="16" t="inlineStr">
        <is>
          <t>1.6.5.13.7</t>
        </is>
      </c>
      <c r="C586" s="18" t="inlineStr">
        <is>
          <t>Part 1 – General &amp; Programme</t>
        </is>
      </c>
      <c r="D586" s="18" t="inlineStr">
        <is>
          <t>1.6 SYSTEMS DEVELOPMENT, INTEGRATION AND TESTING</t>
        </is>
      </c>
      <c r="E586" s="18" t="inlineStr">
        <is>
          <t>1.6.5 OSS911 SOLUTION DESIGN</t>
        </is>
      </c>
      <c r="F586" s="18" t="inlineStr">
        <is>
          <t>Entity relationship diagrams</t>
        </is>
      </c>
      <c r="G586" s="19" t="n"/>
      <c r="H586" s="20" t="n"/>
      <c r="I586" s="20" t="n"/>
      <c r="J586" s="19" t="n"/>
      <c r="K586" s="21" t="n"/>
      <c r="L586" s="22">
        <f>IF(OR(J586="",K586=""),"",J586*K586)</f>
        <v/>
      </c>
      <c r="M586" s="19" t="n"/>
      <c r="N586" s="20" t="n"/>
      <c r="O586" s="20" t="n"/>
    </row>
    <row r="587">
      <c r="A587" s="23" t="n">
        <v>584</v>
      </c>
      <c r="B587" s="23" t="inlineStr">
        <is>
          <t>1.6.5.13.8</t>
        </is>
      </c>
      <c r="C587" s="25" t="inlineStr">
        <is>
          <t>Part 1 – General &amp; Programme</t>
        </is>
      </c>
      <c r="D587" s="25" t="inlineStr">
        <is>
          <t>1.6 SYSTEMS DEVELOPMENT, INTEGRATION AND TESTING</t>
        </is>
      </c>
      <c r="E587" s="25" t="inlineStr">
        <is>
          <t>1.6.5 OSS911 SOLUTION DESIGN</t>
        </is>
      </c>
      <c r="F587" s="25" t="inlineStr">
        <is>
          <t>Detailed process maps, flow diagrams and description of all system modules including all inputs and outputs</t>
        </is>
      </c>
      <c r="G587" s="19" t="n"/>
      <c r="H587" s="20" t="n"/>
      <c r="I587" s="20" t="n"/>
      <c r="J587" s="19" t="n"/>
      <c r="K587" s="21" t="n"/>
      <c r="L587" s="22">
        <f>IF(OR(J587="",K587=""),"",J587*K587)</f>
        <v/>
      </c>
      <c r="M587" s="19" t="n"/>
      <c r="N587" s="20" t="n"/>
      <c r="O587" s="20" t="n"/>
    </row>
    <row r="588">
      <c r="A588" s="16" t="n">
        <v>585</v>
      </c>
      <c r="B588" s="16" t="inlineStr">
        <is>
          <t>1.6.5.13.9</t>
        </is>
      </c>
      <c r="C588" s="18" t="inlineStr">
        <is>
          <t>Part 1 – General &amp; Programme</t>
        </is>
      </c>
      <c r="D588" s="18" t="inlineStr">
        <is>
          <t>1.6 SYSTEMS DEVELOPMENT, INTEGRATION AND TESTING</t>
        </is>
      </c>
      <c r="E588" s="18" t="inlineStr">
        <is>
          <t>1.6.5 OSS911 SOLUTION DESIGN</t>
        </is>
      </c>
      <c r="F588" s="18" t="inlineStr">
        <is>
          <t>Security design description for each functional area specifying various security attributes like access control, roles, rights, etc.</t>
        </is>
      </c>
      <c r="G588" s="19" t="n"/>
      <c r="H588" s="20" t="n"/>
      <c r="I588" s="20" t="n"/>
      <c r="J588" s="19" t="n"/>
      <c r="K588" s="21" t="n"/>
      <c r="L588" s="22">
        <f>IF(OR(J588="",K588=""),"",J588*K588)</f>
        <v/>
      </c>
      <c r="M588" s="19" t="n"/>
      <c r="N588" s="20" t="n"/>
      <c r="O588" s="20" t="n"/>
    </row>
    <row r="589">
      <c r="A589" s="23" t="n">
        <v>586</v>
      </c>
      <c r="B589" s="23" t="inlineStr">
        <is>
          <t>1.6.5.13.10</t>
        </is>
      </c>
      <c r="C589" s="25" t="inlineStr">
        <is>
          <t>Part 1 – General &amp; Programme</t>
        </is>
      </c>
      <c r="D589" s="25" t="inlineStr">
        <is>
          <t>1.6 SYSTEMS DEVELOPMENT, INTEGRATION AND TESTING</t>
        </is>
      </c>
      <c r="E589" s="25" t="inlineStr">
        <is>
          <t>1.6.5 OSS911 SOLUTION DESIGN</t>
        </is>
      </c>
      <c r="F589" s="25" t="inlineStr">
        <is>
          <t>Concise description of each file, data table, forms and reports</t>
        </is>
      </c>
      <c r="G589" s="19" t="n"/>
      <c r="H589" s="20" t="n"/>
      <c r="I589" s="20" t="n"/>
      <c r="J589" s="19" t="n"/>
      <c r="K589" s="21" t="n"/>
      <c r="L589" s="22">
        <f>IF(OR(J589="",K589=""),"",J589*K589)</f>
        <v/>
      </c>
      <c r="M589" s="19" t="n"/>
      <c r="N589" s="20" t="n"/>
      <c r="O589" s="20" t="n"/>
    </row>
    <row r="590">
      <c r="A590" s="16" t="n">
        <v>587</v>
      </c>
      <c r="B590" s="16" t="inlineStr">
        <is>
          <t>1.6.5.13.11</t>
        </is>
      </c>
      <c r="C590" s="18" t="inlineStr">
        <is>
          <t>Part 1 – General &amp; Programme</t>
        </is>
      </c>
      <c r="D590" s="18" t="inlineStr">
        <is>
          <t>1.6 SYSTEMS DEVELOPMENT, INTEGRATION AND TESTING</t>
        </is>
      </c>
      <c r="E590" s="18" t="inlineStr">
        <is>
          <t>1.6.5 OSS911 SOLUTION DESIGN</t>
        </is>
      </c>
      <c r="F590" s="18" t="inlineStr">
        <is>
          <t>On-screen and print layouts of each report by module</t>
        </is>
      </c>
      <c r="G590" s="19" t="n"/>
      <c r="H590" s="20" t="n"/>
      <c r="I590" s="20" t="n"/>
      <c r="J590" s="19" t="n"/>
      <c r="K590" s="21" t="n"/>
      <c r="L590" s="22">
        <f>IF(OR(J590="",K590=""),"",J590*K590)</f>
        <v/>
      </c>
      <c r="M590" s="19" t="n"/>
      <c r="N590" s="20" t="n"/>
      <c r="O590" s="20" t="n"/>
    </row>
    <row r="591">
      <c r="A591" s="23" t="n">
        <v>588</v>
      </c>
      <c r="B591" s="23" t="inlineStr">
        <is>
          <t>1.6.5.13.12</t>
        </is>
      </c>
      <c r="C591" s="25" t="inlineStr">
        <is>
          <t>Part 1 – General &amp; Programme</t>
        </is>
      </c>
      <c r="D591" s="25" t="inlineStr">
        <is>
          <t>1.6 SYSTEMS DEVELOPMENT, INTEGRATION AND TESTING</t>
        </is>
      </c>
      <c r="E591" s="25" t="inlineStr">
        <is>
          <t>1.6.5 OSS911 SOLUTION DESIGN</t>
        </is>
      </c>
      <c r="F591" s="25" t="inlineStr">
        <is>
          <t>Detailed logical and physical data models linked with the CONTRACTOR supplied database along with the required tools to view and edit them</t>
        </is>
      </c>
      <c r="G591" s="19" t="n"/>
      <c r="H591" s="20" t="n"/>
      <c r="I591" s="20" t="n"/>
      <c r="J591" s="19" t="n"/>
      <c r="K591" s="21" t="n"/>
      <c r="L591" s="22">
        <f>IF(OR(J591="",K591=""),"",J591*K591)</f>
        <v/>
      </c>
      <c r="M591" s="19" t="n"/>
      <c r="N591" s="20" t="n"/>
      <c r="O591" s="20" t="n"/>
    </row>
    <row r="592">
      <c r="A592" s="16" t="n">
        <v>589</v>
      </c>
      <c r="B592" s="16" t="inlineStr">
        <is>
          <t>1.6.5.13.13</t>
        </is>
      </c>
      <c r="C592" s="18" t="inlineStr">
        <is>
          <t>Part 1 – General &amp; Programme</t>
        </is>
      </c>
      <c r="D592" s="18" t="inlineStr">
        <is>
          <t>1.6 SYSTEMS DEVELOPMENT, INTEGRATION AND TESTING</t>
        </is>
      </c>
      <c r="E592" s="18" t="inlineStr">
        <is>
          <t>1.6.5 OSS911 SOLUTION DESIGN</t>
        </is>
      </c>
      <c r="F592" s="18" t="inlineStr">
        <is>
          <t>Detailed description of the workflow logic including all workflow processing rules for edits and decisions</t>
        </is>
      </c>
      <c r="G592" s="19" t="n"/>
      <c r="H592" s="20" t="n"/>
      <c r="I592" s="20" t="n"/>
      <c r="J592" s="19" t="n"/>
      <c r="K592" s="21" t="n"/>
      <c r="L592" s="22">
        <f>IF(OR(J592="",K592=""),"",J592*K592)</f>
        <v/>
      </c>
      <c r="M592" s="19" t="n"/>
      <c r="N592" s="20" t="n"/>
      <c r="O592" s="20" t="n"/>
    </row>
    <row r="593">
      <c r="A593" s="23" t="n">
        <v>590</v>
      </c>
      <c r="B593" s="23" t="inlineStr">
        <is>
          <t>1.6.5.13.14</t>
        </is>
      </c>
      <c r="C593" s="25" t="inlineStr">
        <is>
          <t>Part 1 – General &amp; Programme</t>
        </is>
      </c>
      <c r="D593" s="25" t="inlineStr">
        <is>
          <t>1.6 SYSTEMS DEVELOPMENT, INTEGRATION AND TESTING</t>
        </is>
      </c>
      <c r="E593" s="25" t="inlineStr">
        <is>
          <t>1.6.5 OSS911 SOLUTION DESIGN</t>
        </is>
      </c>
      <c r="F593" s="25" t="inlineStr">
        <is>
          <t>Site maps for all web services and applications</t>
        </is>
      </c>
      <c r="G593" s="19" t="n"/>
      <c r="H593" s="20" t="n"/>
      <c r="I593" s="20" t="n"/>
      <c r="J593" s="19" t="n"/>
      <c r="K593" s="21" t="n"/>
      <c r="L593" s="22">
        <f>IF(OR(J593="",K593=""),"",J593*K593)</f>
        <v/>
      </c>
      <c r="M593" s="19" t="n"/>
      <c r="N593" s="20" t="n"/>
      <c r="O593" s="20" t="n"/>
    </row>
    <row r="594">
      <c r="A594" s="16" t="n">
        <v>591</v>
      </c>
      <c r="B594" s="16" t="inlineStr">
        <is>
          <t>1.6.5.13.15</t>
        </is>
      </c>
      <c r="C594" s="18" t="inlineStr">
        <is>
          <t>Part 1 – General &amp; Programme</t>
        </is>
      </c>
      <c r="D594" s="18" t="inlineStr">
        <is>
          <t>1.6 SYSTEMS DEVELOPMENT, INTEGRATION AND TESTING</t>
        </is>
      </c>
      <c r="E594" s="18" t="inlineStr">
        <is>
          <t>1.6.5 OSS911 SOLUTION DESIGN</t>
        </is>
      </c>
      <c r="F594" s="18" t="inlineStr">
        <is>
          <t>Updated requirements traceability matrix that maps all the functional deliverables to requirements</t>
        </is>
      </c>
      <c r="G594" s="19" t="n"/>
      <c r="H594" s="20" t="n"/>
      <c r="I594" s="20" t="n"/>
      <c r="J594" s="19" t="n"/>
      <c r="K594" s="21" t="n"/>
      <c r="L594" s="22">
        <f>IF(OR(J594="",K594=""),"",J594*K594)</f>
        <v/>
      </c>
      <c r="M594" s="19" t="n"/>
      <c r="N594" s="20" t="n"/>
      <c r="O594" s="20" t="n"/>
    </row>
    <row r="595">
      <c r="A595" s="23" t="n">
        <v>592</v>
      </c>
      <c r="B595" s="23" t="inlineStr">
        <is>
          <t>1.6.5.13.16</t>
        </is>
      </c>
      <c r="C595" s="25" t="inlineStr">
        <is>
          <t>Part 1 – General &amp; Programme</t>
        </is>
      </c>
      <c r="D595" s="25" t="inlineStr">
        <is>
          <t>1.6 SYSTEMS DEVELOPMENT, INTEGRATION AND TESTING</t>
        </is>
      </c>
      <c r="E595" s="25" t="inlineStr">
        <is>
          <t>1.6.5 OSS911 SOLUTION DESIGN</t>
        </is>
      </c>
      <c r="F595" s="25" t="inlineStr">
        <is>
          <t>A detailed data element dictionary in electronic and hard copy that contain at a minimum the data element names, data type(s), data structures, valid values and numbers, functional area definitions, sources of data elements and lists.</t>
        </is>
      </c>
      <c r="G595" s="19" t="n"/>
      <c r="H595" s="20" t="n"/>
      <c r="I595" s="20" t="n"/>
      <c r="J595" s="19" t="n"/>
      <c r="K595" s="21" t="n"/>
      <c r="L595" s="22">
        <f>IF(OR(J595="",K595=""),"",J595*K595)</f>
        <v/>
      </c>
      <c r="M595" s="19" t="n"/>
      <c r="N595" s="20" t="n"/>
      <c r="O595" s="20" t="n"/>
    </row>
    <row r="596">
      <c r="A596" s="16" t="n">
        <v>593</v>
      </c>
      <c r="B596" s="16" t="inlineStr">
        <is>
          <t>1.6.5.13.17</t>
        </is>
      </c>
      <c r="C596" s="18" t="inlineStr">
        <is>
          <t>Part 1 – General &amp; Programme</t>
        </is>
      </c>
      <c r="D596" s="18" t="inlineStr">
        <is>
          <t>1.6 SYSTEMS DEVELOPMENT, INTEGRATION AND TESTING</t>
        </is>
      </c>
      <c r="E596" s="18" t="inlineStr">
        <is>
          <t>1.6.5 OSS911 SOLUTION DESIGN</t>
        </is>
      </c>
      <c r="F596" s="18" t="inlineStr">
        <is>
          <t>Interface control documents (ICDs)</t>
        </is>
      </c>
      <c r="G596" s="19" t="n"/>
      <c r="H596" s="20" t="n"/>
      <c r="I596" s="20" t="n"/>
      <c r="J596" s="19" t="n"/>
      <c r="K596" s="21" t="n"/>
      <c r="L596" s="22">
        <f>IF(OR(J596="",K596=""),"",J596*K596)</f>
        <v/>
      </c>
      <c r="M596" s="19" t="n"/>
      <c r="N596" s="20" t="n"/>
      <c r="O596" s="20" t="n"/>
    </row>
    <row r="597">
      <c r="A597" s="23" t="n">
        <v>594</v>
      </c>
      <c r="B597" s="23" t="inlineStr">
        <is>
          <t>1.6.5.13.18</t>
        </is>
      </c>
      <c r="C597" s="25" t="inlineStr">
        <is>
          <t>Part 1 – General &amp; Programme</t>
        </is>
      </c>
      <c r="D597" s="25" t="inlineStr">
        <is>
          <t>1.6 SYSTEMS DEVELOPMENT, INTEGRATION AND TESTING</t>
        </is>
      </c>
      <c r="E597" s="25" t="inlineStr">
        <is>
          <t>1.6.5 OSS911 SOLUTION DESIGN</t>
        </is>
      </c>
      <c r="F597" s="25" t="inlineStr">
        <is>
          <t>Active Directory schema, network topology, storage diagrams, group and security policies and all configurations.</t>
        </is>
      </c>
      <c r="G597" s="19" t="n"/>
      <c r="H597" s="20" t="n"/>
      <c r="I597" s="20" t="n"/>
      <c r="J597" s="19" t="n"/>
      <c r="K597" s="21" t="n"/>
      <c r="L597" s="22">
        <f>IF(OR(J597="",K597=""),"",J597*K597)</f>
        <v/>
      </c>
      <c r="M597" s="19" t="n"/>
      <c r="N597" s="20" t="n"/>
      <c r="O597" s="20" t="n"/>
    </row>
    <row r="598">
      <c r="A598" s="16" t="n">
        <v>595</v>
      </c>
      <c r="B598" s="17" t="inlineStr">
        <is>
          <t>1.6.5.14</t>
        </is>
      </c>
      <c r="C598" s="18" t="inlineStr">
        <is>
          <t>Part 1 – General &amp; Programme</t>
        </is>
      </c>
      <c r="D598" s="18" t="inlineStr">
        <is>
          <t>1.6 SYSTEMS DEVELOPMENT, INTEGRATION AND TESTING</t>
        </is>
      </c>
      <c r="E598" s="18" t="inlineStr">
        <is>
          <t>1.6.5 OSS911 SOLUTION DESIGN</t>
        </is>
      </c>
      <c r="F598" s="18" t="inlineStr">
        <is>
          <t>The CONTRACTOR shall deliver the systems Application Programming Interfaces (APIs) and the API toolkit associated with their systems.</t>
        </is>
      </c>
      <c r="G598" s="19" t="n"/>
      <c r="H598" s="20" t="n"/>
      <c r="I598" s="20" t="n"/>
      <c r="J598" s="19" t="n"/>
      <c r="K598" s="21" t="n"/>
      <c r="L598" s="22">
        <f>IF(OR(J598="",K598=""),"",J598*K598)</f>
        <v/>
      </c>
      <c r="M598" s="19" t="n"/>
      <c r="N598" s="20" t="n"/>
      <c r="O598" s="20" t="n"/>
    </row>
    <row r="599">
      <c r="A599" s="23" t="n">
        <v>596</v>
      </c>
      <c r="B599" s="24" t="inlineStr">
        <is>
          <t>1.6.5.15</t>
        </is>
      </c>
      <c r="C599" s="25" t="inlineStr">
        <is>
          <t>Part 1 – General &amp; Programme</t>
        </is>
      </c>
      <c r="D599" s="25" t="inlineStr">
        <is>
          <t>1.6 SYSTEMS DEVELOPMENT, INTEGRATION AND TESTING</t>
        </is>
      </c>
      <c r="E599" s="25" t="inlineStr">
        <is>
          <t>1.6.5 OSS911 SOLUTION DESIGN</t>
        </is>
      </c>
      <c r="F599" s="25" t="inlineStr">
        <is>
          <t>The CONTRACTOR shall maintain the system design blueprint for the life of the contract with semi-annual updates.</t>
        </is>
      </c>
      <c r="G599" s="19" t="n"/>
      <c r="H599" s="20" t="n"/>
      <c r="I599" s="20" t="n"/>
      <c r="J599" s="19" t="n"/>
      <c r="K599" s="21" t="n"/>
      <c r="L599" s="22">
        <f>IF(OR(J599="",K599=""),"",J599*K599)</f>
        <v/>
      </c>
      <c r="M599" s="19" t="n"/>
      <c r="N599" s="20" t="n"/>
      <c r="O599" s="20" t="n"/>
    </row>
    <row r="600">
      <c r="A600" s="16" t="n">
        <v>597</v>
      </c>
      <c r="B600" s="17" t="inlineStr">
        <is>
          <t>1.6.5.16</t>
        </is>
      </c>
      <c r="C600" s="18" t="inlineStr">
        <is>
          <t>Part 1 – General &amp; Programme</t>
        </is>
      </c>
      <c r="D600" s="18" t="inlineStr">
        <is>
          <t>1.6 SYSTEMS DEVELOPMENT, INTEGRATION AND TESTING</t>
        </is>
      </c>
      <c r="E600" s="18" t="inlineStr">
        <is>
          <t>1.6.5 OSS911 SOLUTION DESIGN</t>
        </is>
      </c>
      <c r="F600" s="18" t="inlineStr">
        <is>
          <t>The CONTRACTOR shall provide a single sign-on to the entire suite of applications that is based on the user privileges such that a single login signs in the user to the system and a single logout logs out the user from all systems.</t>
        </is>
      </c>
      <c r="G600" s="19" t="n"/>
      <c r="H600" s="20" t="n"/>
      <c r="I600" s="20" t="n"/>
      <c r="J600" s="19" t="n"/>
      <c r="K600" s="21" t="n"/>
      <c r="L600" s="22">
        <f>IF(OR(J600="",K600=""),"",J600*K600)</f>
        <v/>
      </c>
      <c r="M600" s="19" t="n"/>
      <c r="N600" s="20" t="n"/>
      <c r="O600" s="20" t="n"/>
    </row>
    <row r="601">
      <c r="A601" s="23" t="n">
        <v>598</v>
      </c>
      <c r="B601" s="24" t="inlineStr">
        <is>
          <t>1.6.5.17</t>
        </is>
      </c>
      <c r="C601" s="25" t="inlineStr">
        <is>
          <t>Part 1 – General &amp; Programme</t>
        </is>
      </c>
      <c r="D601" s="25" t="inlineStr">
        <is>
          <t>1.6 SYSTEMS DEVELOPMENT, INTEGRATION AND TESTING</t>
        </is>
      </c>
      <c r="E601" s="25" t="inlineStr">
        <is>
          <t>1.6.5 OSS911 SOLUTION DESIGN</t>
        </is>
      </c>
      <c r="F601" s="25" t="inlineStr">
        <is>
          <t>All the OSS911 applications shall be available to be accessed by a web browser from anywhere on the OSS911 networks, subject to authorization with the OSS911 directory.</t>
        </is>
      </c>
      <c r="G601" s="19" t="n"/>
      <c r="H601" s="20" t="n"/>
      <c r="I601" s="20" t="n"/>
      <c r="J601" s="19" t="n"/>
      <c r="K601" s="21" t="n"/>
      <c r="L601" s="22">
        <f>IF(OR(J601="",K601=""),"",J601*K601)</f>
        <v/>
      </c>
      <c r="M601" s="19" t="n"/>
      <c r="N601" s="20" t="n"/>
      <c r="O601" s="20" t="n"/>
    </row>
    <row r="602">
      <c r="A602" s="16" t="n">
        <v>599</v>
      </c>
      <c r="B602" s="17" t="inlineStr">
        <is>
          <t>1.6.5.18</t>
        </is>
      </c>
      <c r="C602" s="18" t="inlineStr">
        <is>
          <t>Part 1 – General &amp; Programme</t>
        </is>
      </c>
      <c r="D602" s="18" t="inlineStr">
        <is>
          <t>1.6 SYSTEMS DEVELOPMENT, INTEGRATION AND TESTING</t>
        </is>
      </c>
      <c r="E602" s="18" t="inlineStr">
        <is>
          <t>1.6.5 OSS911 SOLUTION DESIGN</t>
        </is>
      </c>
      <c r="F602" s="18" t="inlineStr">
        <is>
          <t>The CONTRACTOR shall supply electronic and printed copies of all user manuals and technical documentation in both Arabic and English unless agreed with MOI for exceptions.</t>
        </is>
      </c>
      <c r="G602" s="19" t="n"/>
      <c r="H602" s="20" t="n"/>
      <c r="I602" s="20" t="n"/>
      <c r="J602" s="19" t="n"/>
      <c r="K602" s="21" t="n"/>
      <c r="L602" s="22">
        <f>IF(OR(J602="",K602=""),"",J602*K602)</f>
        <v/>
      </c>
      <c r="M602" s="19" t="n"/>
      <c r="N602" s="20" t="n"/>
      <c r="O602" s="20" t="n"/>
    </row>
    <row r="603">
      <c r="A603" s="23" t="n">
        <v>600</v>
      </c>
      <c r="B603" s="24" t="inlineStr">
        <is>
          <t>1.6.6.1</t>
        </is>
      </c>
      <c r="C603" s="25" t="inlineStr">
        <is>
          <t>Part 1 – General &amp; Programme</t>
        </is>
      </c>
      <c r="D603" s="25" t="inlineStr">
        <is>
          <t>1.6 SYSTEMS DEVELOPMENT, INTEGRATION AND TESTING</t>
        </is>
      </c>
      <c r="E603" s="25" t="inlineStr">
        <is>
          <t>1.6.6 SYSTEMs AVAILABILITY AND RELIABILITY</t>
        </is>
      </c>
      <c r="F603" s="25" t="inlineStr">
        <is>
          <t>The CONTRACTOR shall deliver all the OSS911 solutions such that all the OSS911 systems deliver 99.999% availability, as a value per OSS911 center that will be measured, monitored and reported on a daily basis.</t>
        </is>
      </c>
      <c r="G603" s="19" t="n"/>
      <c r="H603" s="20" t="n"/>
      <c r="I603" s="20" t="n"/>
      <c r="J603" s="19" t="n"/>
      <c r="K603" s="21" t="n"/>
      <c r="L603" s="22">
        <f>IF(OR(J603="",K603=""),"",J603*K603)</f>
        <v/>
      </c>
      <c r="M603" s="19" t="n"/>
      <c r="N603" s="20" t="n"/>
      <c r="O603" s="20" t="n"/>
    </row>
    <row r="604">
      <c r="A604" s="16" t="n">
        <v>601</v>
      </c>
      <c r="B604" s="17" t="inlineStr">
        <is>
          <t>1.6.6.2</t>
        </is>
      </c>
      <c r="C604" s="18" t="inlineStr">
        <is>
          <t>Part 1 – General &amp; Programme</t>
        </is>
      </c>
      <c r="D604" s="18" t="inlineStr">
        <is>
          <t>1.6 SYSTEMS DEVELOPMENT, INTEGRATION AND TESTING</t>
        </is>
      </c>
      <c r="E604" s="18" t="inlineStr">
        <is>
          <t>1.6.6 SYSTEMs AVAILABILITY AND RELIABILITY</t>
        </is>
      </c>
      <c r="F604" s="18" t="inlineStr">
        <is>
          <t>All essential components of all systems shall be hot swappable supporting online insertion and removal (OIR) allowing replacement of components whilst the system is active without affecting the operation of the remainder of the system, or the system will be configured to allow portions of the system to be turned off during a part replacement without degrading the delivery of services to users.</t>
        </is>
      </c>
      <c r="G604" s="19" t="n"/>
      <c r="H604" s="20" t="n"/>
      <c r="I604" s="20" t="n"/>
      <c r="J604" s="19" t="n"/>
      <c r="K604" s="21" t="n"/>
      <c r="L604" s="22">
        <f>IF(OR(J604="",K604=""),"",J604*K604)</f>
        <v/>
      </c>
      <c r="M604" s="19" t="n"/>
      <c r="N604" s="20" t="n"/>
      <c r="O604" s="20" t="n"/>
    </row>
    <row r="605">
      <c r="A605" s="23" t="n">
        <v>602</v>
      </c>
      <c r="B605" s="24" t="inlineStr">
        <is>
          <t>1.6.6.3</t>
        </is>
      </c>
      <c r="C605" s="25" t="inlineStr">
        <is>
          <t>Part 1 – General &amp; Programme</t>
        </is>
      </c>
      <c r="D605" s="25" t="inlineStr">
        <is>
          <t>1.6 SYSTEMS DEVELOPMENT, INTEGRATION AND TESTING</t>
        </is>
      </c>
      <c r="E605" s="25" t="inlineStr">
        <is>
          <t>1.6.6 SYSTEMs AVAILABILITY AND RELIABILITY</t>
        </is>
      </c>
      <c r="F605" s="25" t="inlineStr">
        <is>
          <t>All systems shall be delivered with a level of spares that enable the required availability to be achieved for all OSS911 solutions.</t>
        </is>
      </c>
      <c r="G605" s="19" t="n"/>
      <c r="H605" s="20" t="n"/>
      <c r="I605" s="20" t="n"/>
      <c r="J605" s="19" t="n"/>
      <c r="K605" s="21" t="n"/>
      <c r="L605" s="22">
        <f>IF(OR(J605="",K605=""),"",J605*K605)</f>
        <v/>
      </c>
      <c r="M605" s="19" t="n"/>
      <c r="N605" s="20" t="n"/>
      <c r="O605" s="20" t="n"/>
    </row>
    <row r="606">
      <c r="A606" s="16" t="n">
        <v>603</v>
      </c>
      <c r="B606" s="17" t="inlineStr">
        <is>
          <t>1.6.7.1</t>
        </is>
      </c>
      <c r="C606" s="18" t="inlineStr">
        <is>
          <t>Part 1 – General &amp; Programme</t>
        </is>
      </c>
      <c r="D606" s="18" t="inlineStr">
        <is>
          <t>1.6 SYSTEMS DEVELOPMENT, INTEGRATION AND TESTING</t>
        </is>
      </c>
      <c r="E606" s="18" t="inlineStr">
        <is>
          <t>1.6.7 SOLUTION PERFORMANCE REQUIREMENTS</t>
        </is>
      </c>
      <c r="F606" s="18" t="inlineStr">
        <is>
          <t>The BIDDER shall provide a capacity and performance analysis for their proposed systems and technical infrastructure that shall include among other things:</t>
        </is>
      </c>
      <c r="G606" s="19" t="n"/>
      <c r="H606" s="20" t="n"/>
      <c r="I606" s="20" t="n"/>
      <c r="J606" s="19" t="n"/>
      <c r="K606" s="21" t="n"/>
      <c r="L606" s="22">
        <f>IF(OR(J606="",K606=""),"",J606*K606)</f>
        <v/>
      </c>
      <c r="M606" s="19" t="n"/>
      <c r="N606" s="20" t="n"/>
      <c r="O606" s="20" t="n"/>
    </row>
    <row r="607">
      <c r="A607" s="23" t="n">
        <v>604</v>
      </c>
      <c r="B607" s="23" t="inlineStr">
        <is>
          <t>1.6.7.1.1</t>
        </is>
      </c>
      <c r="C607" s="25" t="inlineStr">
        <is>
          <t>Part 1 – General &amp; Programme</t>
        </is>
      </c>
      <c r="D607" s="25" t="inlineStr">
        <is>
          <t>1.6 SYSTEMS DEVELOPMENT, INTEGRATION AND TESTING</t>
        </is>
      </c>
      <c r="E607" s="25" t="inlineStr">
        <is>
          <t>1.6.7 SOLUTION PERFORMANCE REQUIREMENTS</t>
        </is>
      </c>
      <c r="F607" s="25" t="inlineStr">
        <is>
          <t>Their approach to performance and capacity design and management.</t>
        </is>
      </c>
      <c r="G607" s="19" t="n"/>
      <c r="H607" s="20" t="n"/>
      <c r="I607" s="20" t="n"/>
      <c r="J607" s="19" t="n"/>
      <c r="K607" s="21" t="n"/>
      <c r="L607" s="22">
        <f>IF(OR(J607="",K607=""),"",J607*K607)</f>
        <v/>
      </c>
      <c r="M607" s="19" t="n"/>
      <c r="N607" s="20" t="n"/>
      <c r="O607" s="20" t="n"/>
    </row>
    <row r="608">
      <c r="A608" s="16" t="n">
        <v>605</v>
      </c>
      <c r="B608" s="16" t="inlineStr">
        <is>
          <t>1.6.7.1.2</t>
        </is>
      </c>
      <c r="C608" s="18" t="inlineStr">
        <is>
          <t>Part 1 – General &amp; Programme</t>
        </is>
      </c>
      <c r="D608" s="18" t="inlineStr">
        <is>
          <t>1.6 SYSTEMS DEVELOPMENT, INTEGRATION AND TESTING</t>
        </is>
      </c>
      <c r="E608" s="18" t="inlineStr">
        <is>
          <t>1.6.7 SOLUTION PERFORMANCE REQUIREMENTS</t>
        </is>
      </c>
      <c r="F608" s="18" t="inlineStr">
        <is>
          <t>Their definitions of what constitutes rated capacity, latency, response time, processing time, utilization, usage.</t>
        </is>
      </c>
      <c r="G608" s="19" t="n"/>
      <c r="H608" s="20" t="n"/>
      <c r="I608" s="20" t="n"/>
      <c r="J608" s="19" t="n"/>
      <c r="K608" s="21" t="n"/>
      <c r="L608" s="22">
        <f>IF(OR(J608="",K608=""),"",J608*K608)</f>
        <v/>
      </c>
      <c r="M608" s="19" t="n"/>
      <c r="N608" s="20" t="n"/>
      <c r="O608" s="20" t="n"/>
    </row>
    <row r="609">
      <c r="A609" s="23" t="n">
        <v>606</v>
      </c>
      <c r="B609" s="23" t="inlineStr">
        <is>
          <t>1.6.7.1.3</t>
        </is>
      </c>
      <c r="C609" s="25" t="inlineStr">
        <is>
          <t>Part 1 – General &amp; Programme</t>
        </is>
      </c>
      <c r="D609" s="25" t="inlineStr">
        <is>
          <t>1.6 SYSTEMS DEVELOPMENT, INTEGRATION AND TESTING</t>
        </is>
      </c>
      <c r="E609" s="25" t="inlineStr">
        <is>
          <t>1.6.7 SOLUTION PERFORMANCE REQUIREMENTS</t>
        </is>
      </c>
      <c r="F609" s="25" t="inlineStr">
        <is>
          <t>A matrix of the expected average transaction load and the expected peak transaction load along with the expected response times for both, for a defined set of operational scenarios.</t>
        </is>
      </c>
      <c r="G609" s="19" t="n"/>
      <c r="H609" s="20" t="n"/>
      <c r="I609" s="20" t="n"/>
      <c r="J609" s="19" t="n"/>
      <c r="K609" s="21" t="n"/>
      <c r="L609" s="22">
        <f>IF(OR(J609="",K609=""),"",J609*K609)</f>
        <v/>
      </c>
      <c r="M609" s="19" t="n"/>
      <c r="N609" s="20" t="n"/>
      <c r="O609" s="20" t="n"/>
    </row>
    <row r="610">
      <c r="A610" s="16" t="n">
        <v>607</v>
      </c>
      <c r="B610" s="16" t="inlineStr">
        <is>
          <t>1.6.7.1.4</t>
        </is>
      </c>
      <c r="C610" s="18" t="inlineStr">
        <is>
          <t>Part 1 – General &amp; Programme</t>
        </is>
      </c>
      <c r="D610" s="18" t="inlineStr">
        <is>
          <t>1.6 SYSTEMS DEVELOPMENT, INTEGRATION AND TESTING</t>
        </is>
      </c>
      <c r="E610" s="18" t="inlineStr">
        <is>
          <t>1.6.7 SOLUTION PERFORMANCE REQUIREMENTS</t>
        </is>
      </c>
      <c r="F610" s="18" t="inlineStr">
        <is>
          <t>Analysis of expected load based on a defined set of operational scenarios.</t>
        </is>
      </c>
      <c r="G610" s="19" t="n"/>
      <c r="H610" s="20" t="n"/>
      <c r="I610" s="20" t="n"/>
      <c r="J610" s="19" t="n"/>
      <c r="K610" s="21" t="n"/>
      <c r="L610" s="22">
        <f>IF(OR(J610="",K610=""),"",J610*K610)</f>
        <v/>
      </c>
      <c r="M610" s="19" t="n"/>
      <c r="N610" s="20" t="n"/>
      <c r="O610" s="20" t="n"/>
    </row>
    <row r="611">
      <c r="A611" s="23" t="n">
        <v>608</v>
      </c>
      <c r="B611" s="23" t="inlineStr">
        <is>
          <t>1.6.7.1.5</t>
        </is>
      </c>
      <c r="C611" s="25" t="inlineStr">
        <is>
          <t>Part 1 – General &amp; Programme</t>
        </is>
      </c>
      <c r="D611" s="25" t="inlineStr">
        <is>
          <t>1.6 SYSTEMS DEVELOPMENT, INTEGRATION AND TESTING</t>
        </is>
      </c>
      <c r="E611" s="25" t="inlineStr">
        <is>
          <t>1.6.7 SOLUTION PERFORMANCE REQUIREMENTS</t>
        </is>
      </c>
      <c r="F611" s="25" t="inlineStr">
        <is>
          <t>Benchmarking statistics from other implementations by the BIDDER of similar scale.</t>
        </is>
      </c>
      <c r="G611" s="19" t="n"/>
      <c r="H611" s="20" t="n"/>
      <c r="I611" s="20" t="n"/>
      <c r="J611" s="19" t="n"/>
      <c r="K611" s="21" t="n"/>
      <c r="L611" s="22">
        <f>IF(OR(J611="",K611=""),"",J611*K611)</f>
        <v/>
      </c>
      <c r="M611" s="19" t="n"/>
      <c r="N611" s="20" t="n"/>
      <c r="O611" s="20" t="n"/>
    </row>
    <row r="612">
      <c r="A612" s="16" t="n">
        <v>609</v>
      </c>
      <c r="B612" s="17" t="inlineStr">
        <is>
          <t>1.6.7.2</t>
        </is>
      </c>
      <c r="C612" s="18" t="inlineStr">
        <is>
          <t>Part 1 – General &amp; Programme</t>
        </is>
      </c>
      <c r="D612" s="18" t="inlineStr">
        <is>
          <t>1.6 SYSTEMS DEVELOPMENT, INTEGRATION AND TESTING</t>
        </is>
      </c>
      <c r="E612" s="18" t="inlineStr">
        <is>
          <t>1.6.7 SOLUTION PERFORMANCE REQUIREMENTS</t>
        </is>
      </c>
      <c r="F612" s="18" t="inlineStr">
        <is>
          <t>The BIDDER shall confirm the definition of the response time as the time between the depression of the last keystroke or pointing device activation (e.g., click) and the appearance on the workstation/terminal of the last character of the initial response (e.g., first page, pop-up window, etc.).</t>
        </is>
      </c>
      <c r="G612" s="19" t="n"/>
      <c r="H612" s="20" t="n"/>
      <c r="I612" s="20" t="n"/>
      <c r="J612" s="19" t="n"/>
      <c r="K612" s="21" t="n"/>
      <c r="L612" s="22">
        <f>IF(OR(J612="",K612=""),"",J612*K612)</f>
        <v/>
      </c>
      <c r="M612" s="19" t="n"/>
      <c r="N612" s="20" t="n"/>
      <c r="O612" s="20" t="n"/>
    </row>
    <row r="613">
      <c r="A613" s="23" t="n">
        <v>610</v>
      </c>
      <c r="B613" s="24" t="inlineStr">
        <is>
          <t>1.6.7.3</t>
        </is>
      </c>
      <c r="C613" s="25" t="inlineStr">
        <is>
          <t>Part 1 – General &amp; Programme</t>
        </is>
      </c>
      <c r="D613" s="25" t="inlineStr">
        <is>
          <t>1.6 SYSTEMS DEVELOPMENT, INTEGRATION AND TESTING</t>
        </is>
      </c>
      <c r="E613" s="25" t="inlineStr">
        <is>
          <t>1.6.7 SOLUTION PERFORMANCE REQUIREMENTS</t>
        </is>
      </c>
      <c r="F613" s="25" t="inlineStr">
        <is>
          <t>The BIDDER shall describe how their solution meets the response time requirements in this RFP.</t>
        </is>
      </c>
      <c r="G613" s="19" t="n"/>
      <c r="H613" s="20" t="n"/>
      <c r="I613" s="20" t="n"/>
      <c r="J613" s="19" t="n"/>
      <c r="K613" s="21" t="n"/>
      <c r="L613" s="22">
        <f>IF(OR(J613="",K613=""),"",J613*K613)</f>
        <v/>
      </c>
      <c r="M613" s="19" t="n"/>
      <c r="N613" s="20" t="n"/>
      <c r="O613" s="20" t="n"/>
    </row>
    <row r="614">
      <c r="A614" s="16" t="n">
        <v>611</v>
      </c>
      <c r="B614" s="17" t="inlineStr">
        <is>
          <t>1.6.7.4</t>
        </is>
      </c>
      <c r="C614" s="18" t="inlineStr">
        <is>
          <t>Part 1 – General &amp; Programme</t>
        </is>
      </c>
      <c r="D614" s="18" t="inlineStr">
        <is>
          <t>1.6 SYSTEMS DEVELOPMENT, INTEGRATION AND TESTING</t>
        </is>
      </c>
      <c r="E614" s="18" t="inlineStr">
        <is>
          <t>1.6.7 SOLUTION PERFORMANCE REQUIREMENTS</t>
        </is>
      </c>
      <c r="F614" s="18" t="inlineStr">
        <is>
          <t>The CONTRACTOR shall configure a batch processing window for jobs such as offline backups and replication which shall identify periods of low OSS911 operational activity and thus less load on the technical infrastructure.</t>
        </is>
      </c>
      <c r="G614" s="19" t="n"/>
      <c r="H614" s="20" t="n"/>
      <c r="I614" s="20" t="n"/>
      <c r="J614" s="19" t="n"/>
      <c r="K614" s="21" t="n"/>
      <c r="L614" s="22">
        <f>IF(OR(J614="",K614=""),"",J614*K614)</f>
        <v/>
      </c>
      <c r="M614" s="19" t="n"/>
      <c r="N614" s="20" t="n"/>
      <c r="O614" s="20" t="n"/>
    </row>
    <row r="615">
      <c r="A615" s="23" t="n">
        <v>612</v>
      </c>
      <c r="B615" s="24" t="inlineStr">
        <is>
          <t>1.6.7.5</t>
        </is>
      </c>
      <c r="C615" s="25" t="inlineStr">
        <is>
          <t>Part 1 – General &amp; Programme</t>
        </is>
      </c>
      <c r="D615" s="25" t="inlineStr">
        <is>
          <t>1.6 SYSTEMS DEVELOPMENT, INTEGRATION AND TESTING</t>
        </is>
      </c>
      <c r="E615" s="25" t="inlineStr">
        <is>
          <t>1.6.7 SOLUTION PERFORMANCE REQUIREMENTS</t>
        </is>
      </c>
      <c r="F615" s="25" t="inlineStr">
        <is>
          <t>The CONTRACTOR shall supply all systems, software and equipment such that:</t>
        </is>
      </c>
      <c r="G615" s="19" t="n"/>
      <c r="H615" s="20" t="n"/>
      <c r="I615" s="20" t="n"/>
      <c r="J615" s="19" t="n"/>
      <c r="K615" s="21" t="n"/>
      <c r="L615" s="22">
        <f>IF(OR(J615="",K615=""),"",J615*K615)</f>
        <v/>
      </c>
      <c r="M615" s="19" t="n"/>
      <c r="N615" s="20" t="n"/>
      <c r="O615" s="20" t="n"/>
    </row>
    <row r="616">
      <c r="A616" s="16" t="n">
        <v>613</v>
      </c>
      <c r="B616" s="16" t="inlineStr">
        <is>
          <t>1.6.7.5.1</t>
        </is>
      </c>
      <c r="C616" s="18" t="inlineStr">
        <is>
          <t>Part 1 – General &amp; Programme</t>
        </is>
      </c>
      <c r="D616" s="18" t="inlineStr">
        <is>
          <t>1.6 SYSTEMS DEVELOPMENT, INTEGRATION AND TESTING</t>
        </is>
      </c>
      <c r="E616" s="18" t="inlineStr">
        <is>
          <t>1.6.7 SOLUTION PERFORMANCE REQUIREMENTS</t>
        </is>
      </c>
      <c r="F616" s="18" t="inlineStr">
        <is>
          <t>All OSS911 activities for operations on live data are completed with a sub-second response time in 95 percent of all transactions.</t>
        </is>
      </c>
      <c r="G616" s="19" t="n"/>
      <c r="H616" s="20" t="n"/>
      <c r="I616" s="20" t="n"/>
      <c r="J616" s="19" t="n"/>
      <c r="K616" s="21" t="n"/>
      <c r="L616" s="22">
        <f>IF(OR(J616="",K616=""),"",J616*K616)</f>
        <v/>
      </c>
      <c r="M616" s="19" t="n"/>
      <c r="N616" s="20" t="n"/>
      <c r="O616" s="20" t="n"/>
    </row>
    <row r="617">
      <c r="A617" s="23" t="n">
        <v>614</v>
      </c>
      <c r="B617" s="23" t="inlineStr">
        <is>
          <t>1.6.7.5.2</t>
        </is>
      </c>
      <c r="C617" s="25" t="inlineStr">
        <is>
          <t>Part 1 – General &amp; Programme</t>
        </is>
      </c>
      <c r="D617" s="25" t="inlineStr">
        <is>
          <t>1.6 SYSTEMS DEVELOPMENT, INTEGRATION AND TESTING</t>
        </is>
      </c>
      <c r="E617" s="25" t="inlineStr">
        <is>
          <t>1.6.7 SOLUTION PERFORMANCE REQUIREMENTS</t>
        </is>
      </c>
      <c r="F617" s="25" t="inlineStr">
        <is>
          <t>When the system is loaded with transactions in the maximum busy peak hour volume, the response time shall be under two seconds 99 percent of the time for operations on live data.</t>
        </is>
      </c>
      <c r="G617" s="19" t="n"/>
      <c r="H617" s="20" t="n"/>
      <c r="I617" s="20" t="n"/>
      <c r="J617" s="19" t="n"/>
      <c r="K617" s="21" t="n"/>
      <c r="L617" s="22">
        <f>IF(OR(J617="",K617=""),"",J617*K617)</f>
        <v/>
      </c>
      <c r="M617" s="19" t="n"/>
      <c r="N617" s="20" t="n"/>
      <c r="O617" s="20" t="n"/>
    </row>
    <row r="618">
      <c r="A618" s="16" t="n">
        <v>615</v>
      </c>
      <c r="B618" s="16" t="inlineStr">
        <is>
          <t>1.6.7.5.3</t>
        </is>
      </c>
      <c r="C618" s="18" t="inlineStr">
        <is>
          <t>Part 1 – General &amp; Programme</t>
        </is>
      </c>
      <c r="D618" s="18" t="inlineStr">
        <is>
          <t>1.6 SYSTEMS DEVELOPMENT, INTEGRATION AND TESTING</t>
        </is>
      </c>
      <c r="E618" s="18" t="inlineStr">
        <is>
          <t>1.6.7 SOLUTION PERFORMANCE REQUIREMENTS</t>
        </is>
      </c>
      <c r="F618" s="18" t="inlineStr">
        <is>
          <t>None of the routine transaction operations on live data shall exceed three seconds.</t>
        </is>
      </c>
      <c r="G618" s="19" t="n"/>
      <c r="H618" s="20" t="n"/>
      <c r="I618" s="20" t="n"/>
      <c r="J618" s="19" t="n"/>
      <c r="K618" s="21" t="n"/>
      <c r="L618" s="22">
        <f>IF(OR(J618="",K618=""),"",J618*K618)</f>
        <v/>
      </c>
      <c r="M618" s="19" t="n"/>
      <c r="N618" s="20" t="n"/>
      <c r="O618" s="20" t="n"/>
    </row>
    <row r="619">
      <c r="A619" s="23" t="n">
        <v>616</v>
      </c>
      <c r="B619" s="24" t="inlineStr">
        <is>
          <t>1.6.8.1</t>
        </is>
      </c>
      <c r="C619" s="25" t="inlineStr">
        <is>
          <t>Part 1 – General &amp; Programme</t>
        </is>
      </c>
      <c r="D619" s="25" t="inlineStr">
        <is>
          <t>1.6 SYSTEMS DEVELOPMENT, INTEGRATION AND TESTING</t>
        </is>
      </c>
      <c r="E619" s="25" t="inlineStr">
        <is>
          <t>1.6.8 SOLUTIONS TESTING OVERVIEW</t>
        </is>
      </c>
      <c r="F619" s="25" t="inlineStr">
        <is>
          <t>The BIDDER shall propose a comprehensive test plan and methodology that meets all the requirements set out in this document. This methodology shall be detailed enough to provide a complete understanding of the BIDDER’s approach to testing and commissioning of all components of this RFP.</t>
        </is>
      </c>
      <c r="G619" s="19" t="n"/>
      <c r="H619" s="20" t="n"/>
      <c r="I619" s="20" t="n"/>
      <c r="J619" s="19" t="n"/>
      <c r="K619" s="21" t="n"/>
      <c r="L619" s="22">
        <f>IF(OR(J619="",K619=""),"",J619*K619)</f>
        <v/>
      </c>
      <c r="M619" s="19" t="n"/>
      <c r="N619" s="20" t="n"/>
      <c r="O619" s="20" t="n"/>
    </row>
    <row r="620">
      <c r="A620" s="16" t="n">
        <v>617</v>
      </c>
      <c r="B620" s="17" t="inlineStr">
        <is>
          <t>1.6.8.2</t>
        </is>
      </c>
      <c r="C620" s="18" t="inlineStr">
        <is>
          <t>Part 1 – General &amp; Programme</t>
        </is>
      </c>
      <c r="D620" s="18" t="inlineStr">
        <is>
          <t>1.6 SYSTEMS DEVELOPMENT, INTEGRATION AND TESTING</t>
        </is>
      </c>
      <c r="E620" s="18" t="inlineStr">
        <is>
          <t>1.6.8 SOLUTIONS TESTING OVERVIEW</t>
        </is>
      </c>
      <c r="F620" s="18" t="inlineStr">
        <is>
          <t>The BIDDER shall note that the MOI may require modification of the test plans and acceptance criteria.</t>
        </is>
      </c>
      <c r="G620" s="19" t="n"/>
      <c r="H620" s="20" t="n"/>
      <c r="I620" s="20" t="n"/>
      <c r="J620" s="19" t="n"/>
      <c r="K620" s="21" t="n"/>
      <c r="L620" s="22">
        <f>IF(OR(J620="",K620=""),"",J620*K620)</f>
        <v/>
      </c>
      <c r="M620" s="19" t="n"/>
      <c r="N620" s="20" t="n"/>
      <c r="O620" s="20" t="n"/>
    </row>
    <row r="621">
      <c r="A621" s="23" t="n">
        <v>618</v>
      </c>
      <c r="B621" s="24" t="inlineStr">
        <is>
          <t>1.6.8.3</t>
        </is>
      </c>
      <c r="C621" s="25" t="inlineStr">
        <is>
          <t>Part 1 – General &amp; Programme</t>
        </is>
      </c>
      <c r="D621" s="25" t="inlineStr">
        <is>
          <t>1.6 SYSTEMS DEVELOPMENT, INTEGRATION AND TESTING</t>
        </is>
      </c>
      <c r="E621" s="25" t="inlineStr">
        <is>
          <t>1.6.8 SOLUTIONS TESTING OVERVIEW</t>
        </is>
      </c>
      <c r="F621" s="25" t="inlineStr">
        <is>
          <t>The BIDDER shall note that the MOI reserves the right to participate in, and witness any of the stages of any testing.</t>
        </is>
      </c>
      <c r="G621" s="19" t="n"/>
      <c r="H621" s="20" t="n"/>
      <c r="I621" s="20" t="n"/>
      <c r="J621" s="19" t="n"/>
      <c r="K621" s="21" t="n"/>
      <c r="L621" s="22">
        <f>IF(OR(J621="",K621=""),"",J621*K621)</f>
        <v/>
      </c>
      <c r="M621" s="19" t="n"/>
      <c r="N621" s="20" t="n"/>
      <c r="O621" s="20" t="n"/>
    </row>
    <row r="622">
      <c r="A622" s="16" t="n">
        <v>619</v>
      </c>
      <c r="B622" s="17" t="inlineStr">
        <is>
          <t>1.6.8.4</t>
        </is>
      </c>
      <c r="C622" s="18" t="inlineStr">
        <is>
          <t>Part 1 – General &amp; Programme</t>
        </is>
      </c>
      <c r="D622" s="18" t="inlineStr">
        <is>
          <t>1.6 SYSTEMS DEVELOPMENT, INTEGRATION AND TESTING</t>
        </is>
      </c>
      <c r="E622" s="18" t="inlineStr">
        <is>
          <t>1.6.8 SOLUTIONS TESTING OVERVIEW</t>
        </is>
      </c>
      <c r="F622" s="18" t="inlineStr">
        <is>
          <t>Within their proposal, the BIDDER shall clearly document their proposed testing durations for the different types of testing during the different stages of the project duration.</t>
        </is>
      </c>
      <c r="G622" s="19" t="n"/>
      <c r="H622" s="20" t="n"/>
      <c r="I622" s="20" t="n"/>
      <c r="J622" s="19" t="n"/>
      <c r="K622" s="21" t="n"/>
      <c r="L622" s="22">
        <f>IF(OR(J622="",K622=""),"",J622*K622)</f>
        <v/>
      </c>
      <c r="M622" s="19" t="n"/>
      <c r="N622" s="20" t="n"/>
      <c r="O622" s="20" t="n"/>
    </row>
    <row r="623">
      <c r="A623" s="23" t="n">
        <v>620</v>
      </c>
      <c r="B623" s="24" t="inlineStr">
        <is>
          <t>1.6.8.5</t>
        </is>
      </c>
      <c r="C623" s="25" t="inlineStr">
        <is>
          <t>Part 1 – General &amp; Programme</t>
        </is>
      </c>
      <c r="D623" s="25" t="inlineStr">
        <is>
          <t>1.6 SYSTEMS DEVELOPMENT, INTEGRATION AND TESTING</t>
        </is>
      </c>
      <c r="E623" s="25" t="inlineStr">
        <is>
          <t>1.6.8 SOLUTIONS TESTING OVERVIEW</t>
        </is>
      </c>
      <c r="F623" s="25" t="inlineStr">
        <is>
          <t>The CONTRACTOR shall be responsible for the development of an Integrated Acceptance Test Plan (IATP) that clearly defines the requirements for all system commissioning and acceptance testing.</t>
        </is>
      </c>
      <c r="G623" s="19" t="n"/>
      <c r="H623" s="20" t="n"/>
      <c r="I623" s="20" t="n"/>
      <c r="J623" s="19" t="n"/>
      <c r="K623" s="21" t="n"/>
      <c r="L623" s="22">
        <f>IF(OR(J623="",K623=""),"",J623*K623)</f>
        <v/>
      </c>
      <c r="M623" s="19" t="n"/>
      <c r="N623" s="20" t="n"/>
      <c r="O623" s="20" t="n"/>
    </row>
    <row r="624">
      <c r="A624" s="16" t="n">
        <v>621</v>
      </c>
      <c r="B624" s="17" t="inlineStr">
        <is>
          <t>1.6.8.6</t>
        </is>
      </c>
      <c r="C624" s="18" t="inlineStr">
        <is>
          <t>Part 1 – General &amp; Programme</t>
        </is>
      </c>
      <c r="D624" s="18" t="inlineStr">
        <is>
          <t>1.6 SYSTEMS DEVELOPMENT, INTEGRATION AND TESTING</t>
        </is>
      </c>
      <c r="E624" s="18" t="inlineStr">
        <is>
          <t>1.6.8 SOLUTIONS TESTING OVERVIEW</t>
        </is>
      </c>
      <c r="F624" s="18" t="inlineStr">
        <is>
          <t>The CONTRACTOR shall develop an IATP that includes an overall approach and methodology for testing and acceptance and include rectification processes for acceptance testing issues.</t>
        </is>
      </c>
      <c r="G624" s="19" t="n"/>
      <c r="H624" s="20" t="n"/>
      <c r="I624" s="20" t="n"/>
      <c r="J624" s="19" t="n"/>
      <c r="K624" s="21" t="n"/>
      <c r="L624" s="22">
        <f>IF(OR(J624="",K624=""),"",J624*K624)</f>
        <v/>
      </c>
      <c r="M624" s="19" t="n"/>
      <c r="N624" s="20" t="n"/>
      <c r="O624" s="20" t="n"/>
    </row>
    <row r="625">
      <c r="A625" s="23" t="n">
        <v>622</v>
      </c>
      <c r="B625" s="24" t="inlineStr">
        <is>
          <t>1.6.8.7</t>
        </is>
      </c>
      <c r="C625" s="25" t="inlineStr">
        <is>
          <t>Part 1 – General &amp; Programme</t>
        </is>
      </c>
      <c r="D625" s="25" t="inlineStr">
        <is>
          <t>1.6 SYSTEMS DEVELOPMENT, INTEGRATION AND TESTING</t>
        </is>
      </c>
      <c r="E625" s="25" t="inlineStr">
        <is>
          <t>1.6.8 SOLUTIONS TESTING OVERVIEW</t>
        </is>
      </c>
      <c r="F625" s="25" t="inlineStr">
        <is>
          <t>The CONTRACTOR shall conduct Testing and Acceptance in the following stages with each stage having to be completed prior to the start of the next stage:</t>
        </is>
      </c>
      <c r="G625" s="19" t="n"/>
      <c r="H625" s="20" t="n"/>
      <c r="I625" s="20" t="n"/>
      <c r="J625" s="19" t="n"/>
      <c r="K625" s="21" t="n"/>
      <c r="L625" s="22">
        <f>IF(OR(J625="",K625=""),"",J625*K625)</f>
        <v/>
      </c>
      <c r="M625" s="19" t="n"/>
      <c r="N625" s="20" t="n"/>
      <c r="O625" s="20" t="n"/>
    </row>
    <row r="626">
      <c r="A626" s="16" t="n">
        <v>623</v>
      </c>
      <c r="B626" s="16" t="inlineStr">
        <is>
          <t>1.6.8.7.1</t>
        </is>
      </c>
      <c r="C626" s="18" t="inlineStr">
        <is>
          <t>Part 1 – General &amp; Programme</t>
        </is>
      </c>
      <c r="D626" s="18" t="inlineStr">
        <is>
          <t>1.6 SYSTEMS DEVELOPMENT, INTEGRATION AND TESTING</t>
        </is>
      </c>
      <c r="E626" s="18" t="inlineStr">
        <is>
          <t>1.6.8 SOLUTIONS TESTING OVERVIEW</t>
        </is>
      </c>
      <c r="F626" s="18" t="inlineStr">
        <is>
          <t>Preliminary Acceptance Testing (PAT)</t>
        </is>
      </c>
      <c r="G626" s="19" t="n"/>
      <c r="H626" s="20" t="n"/>
      <c r="I626" s="20" t="n"/>
      <c r="J626" s="19" t="n"/>
      <c r="K626" s="21" t="n"/>
      <c r="L626" s="22">
        <f>IF(OR(J626="",K626=""),"",J626*K626)</f>
        <v/>
      </c>
      <c r="M626" s="19" t="n"/>
      <c r="N626" s="20" t="n"/>
      <c r="O626" s="20" t="n"/>
    </row>
    <row r="627">
      <c r="A627" s="23" t="n">
        <v>624</v>
      </c>
      <c r="B627" s="23" t="inlineStr">
        <is>
          <t>1.6.8.7.2</t>
        </is>
      </c>
      <c r="C627" s="25" t="inlineStr">
        <is>
          <t>Part 1 – General &amp; Programme</t>
        </is>
      </c>
      <c r="D627" s="25" t="inlineStr">
        <is>
          <t>1.6 SYSTEMS DEVELOPMENT, INTEGRATION AND TESTING</t>
        </is>
      </c>
      <c r="E627" s="25" t="inlineStr">
        <is>
          <t>1.6.8 SOLUTIONS TESTING OVERVIEW</t>
        </is>
      </c>
      <c r="F627" s="25" t="inlineStr">
        <is>
          <t>Final System Acceptance Testing (FSAT)</t>
        </is>
      </c>
      <c r="G627" s="19" t="n"/>
      <c r="H627" s="20" t="n"/>
      <c r="I627" s="20" t="n"/>
      <c r="J627" s="19" t="n"/>
      <c r="K627" s="21" t="n"/>
      <c r="L627" s="22">
        <f>IF(OR(J627="",K627=""),"",J627*K627)</f>
        <v/>
      </c>
      <c r="M627" s="19" t="n"/>
      <c r="N627" s="20" t="n"/>
      <c r="O627" s="20" t="n"/>
    </row>
    <row r="628">
      <c r="A628" s="16" t="n">
        <v>625</v>
      </c>
      <c r="B628" s="17" t="inlineStr">
        <is>
          <t>1.6.8.8</t>
        </is>
      </c>
      <c r="C628" s="18" t="inlineStr">
        <is>
          <t>Part 1 – General &amp; Programme</t>
        </is>
      </c>
      <c r="D628" s="18" t="inlineStr">
        <is>
          <t>1.6 SYSTEMS DEVELOPMENT, INTEGRATION AND TESTING</t>
        </is>
      </c>
      <c r="E628" s="18" t="inlineStr">
        <is>
          <t>1.6.8 SOLUTIONS TESTING OVERVIEW</t>
        </is>
      </c>
      <c r="F628" s="18" t="inlineStr">
        <is>
          <t>The CONTRACTOR shall develop a requirements traceability matrix along with test cases for each MOI requirement, during the systems design, which shall be approved by MOI and shall be then used by the CONTRACTOR to verify and validate performance during all testing.</t>
        </is>
      </c>
      <c r="G628" s="19" t="n"/>
      <c r="H628" s="20" t="n"/>
      <c r="I628" s="20" t="n"/>
      <c r="J628" s="19" t="n"/>
      <c r="K628" s="21" t="n"/>
      <c r="L628" s="22">
        <f>IF(OR(J628="",K628=""),"",J628*K628)</f>
        <v/>
      </c>
      <c r="M628" s="19" t="n"/>
      <c r="N628" s="20" t="n"/>
      <c r="O628" s="20" t="n"/>
    </row>
    <row r="629">
      <c r="A629" s="23" t="n">
        <v>626</v>
      </c>
      <c r="B629" s="24" t="inlineStr">
        <is>
          <t>1.6.8.9</t>
        </is>
      </c>
      <c r="C629" s="25" t="inlineStr">
        <is>
          <t>Part 1 – General &amp; Programme</t>
        </is>
      </c>
      <c r="D629" s="25" t="inlineStr">
        <is>
          <t>1.6 SYSTEMS DEVELOPMENT, INTEGRATION AND TESTING</t>
        </is>
      </c>
      <c r="E629" s="25" t="inlineStr">
        <is>
          <t>1.6.8 SOLUTIONS TESTING OVERVIEW</t>
        </is>
      </c>
      <c r="F629" s="25" t="inlineStr">
        <is>
          <t>The CONTRACTOR shall comply with the additional system-specific testing requirements noted in the technical systems sections, and that the CONTRACTOR is advised and required to review these requirements and include them in their Testing plans.</t>
        </is>
      </c>
      <c r="G629" s="19" t="n"/>
      <c r="H629" s="20" t="n"/>
      <c r="I629" s="20" t="n"/>
      <c r="J629" s="19" t="n"/>
      <c r="K629" s="21" t="n"/>
      <c r="L629" s="22">
        <f>IF(OR(J629="",K629=""),"",J629*K629)</f>
        <v/>
      </c>
      <c r="M629" s="19" t="n"/>
      <c r="N629" s="20" t="n"/>
      <c r="O629" s="20" t="n"/>
    </row>
    <row r="630">
      <c r="A630" s="16" t="n">
        <v>627</v>
      </c>
      <c r="B630" s="17" t="inlineStr">
        <is>
          <t>1.6.8.10</t>
        </is>
      </c>
      <c r="C630" s="18" t="inlineStr">
        <is>
          <t>Part 1 – General &amp; Programme</t>
        </is>
      </c>
      <c r="D630" s="18" t="inlineStr">
        <is>
          <t>1.6 SYSTEMS DEVELOPMENT, INTEGRATION AND TESTING</t>
        </is>
      </c>
      <c r="E630" s="18" t="inlineStr">
        <is>
          <t>1.6.8 SOLUTIONS TESTING OVERVIEW</t>
        </is>
      </c>
      <c r="F630" s="18" t="inlineStr">
        <is>
          <t>At the end of each stage of testing, the CONTRACTOR shall provide a complete a report with the set of test results and its analysis to the MOI for review and for MOI approval.</t>
        </is>
      </c>
      <c r="G630" s="19" t="n"/>
      <c r="H630" s="20" t="n"/>
      <c r="I630" s="20" t="n"/>
      <c r="J630" s="19" t="n"/>
      <c r="K630" s="21" t="n"/>
      <c r="L630" s="22">
        <f>IF(OR(J630="",K630=""),"",J630*K630)</f>
        <v/>
      </c>
      <c r="M630" s="19" t="n"/>
      <c r="N630" s="20" t="n"/>
      <c r="O630" s="20" t="n"/>
    </row>
    <row r="631">
      <c r="A631" s="23" t="n">
        <v>628</v>
      </c>
      <c r="B631" s="24" t="inlineStr">
        <is>
          <t>1.6.8.11</t>
        </is>
      </c>
      <c r="C631" s="25" t="inlineStr">
        <is>
          <t>Part 1 – General &amp; Programme</t>
        </is>
      </c>
      <c r="D631" s="25" t="inlineStr">
        <is>
          <t>1.6 SYSTEMS DEVELOPMENT, INTEGRATION AND TESTING</t>
        </is>
      </c>
      <c r="E631" s="25" t="inlineStr">
        <is>
          <t>1.6.8 SOLUTIONS TESTING OVERVIEW</t>
        </is>
      </c>
      <c r="F631" s="25" t="inlineStr">
        <is>
          <t>The CONTRACTOR shall conduct all testing in the production environment unless otherwise advised and approved by the MOI.</t>
        </is>
      </c>
      <c r="G631" s="19" t="n"/>
      <c r="H631" s="20" t="n"/>
      <c r="I631" s="20" t="n"/>
      <c r="J631" s="19" t="n"/>
      <c r="K631" s="21" t="n"/>
      <c r="L631" s="22">
        <f>IF(OR(J631="",K631=""),"",J631*K631)</f>
        <v/>
      </c>
      <c r="M631" s="19" t="n"/>
      <c r="N631" s="20" t="n"/>
      <c r="O631" s="20" t="n"/>
    </row>
    <row r="632">
      <c r="A632" s="16" t="n">
        <v>629</v>
      </c>
      <c r="B632" s="17" t="inlineStr">
        <is>
          <t>1.6.8.12</t>
        </is>
      </c>
      <c r="C632" s="18" t="inlineStr">
        <is>
          <t>Part 1 – General &amp; Programme</t>
        </is>
      </c>
      <c r="D632" s="18" t="inlineStr">
        <is>
          <t>1.6 SYSTEMS DEVELOPMENT, INTEGRATION AND TESTING</t>
        </is>
      </c>
      <c r="E632" s="18" t="inlineStr">
        <is>
          <t>1.6.8 SOLUTIONS TESTING OVERVIEW</t>
        </is>
      </c>
      <c r="F632" s="18" t="inlineStr">
        <is>
          <t>Preliminary Acceptance Testing (PAT) shall be conducted by the CONTRACTOR for each OSS911 Center in scope with the schedule determined by the MOI.</t>
        </is>
      </c>
      <c r="G632" s="19" t="n"/>
      <c r="H632" s="20" t="n"/>
      <c r="I632" s="20" t="n"/>
      <c r="J632" s="19" t="n"/>
      <c r="K632" s="21" t="n"/>
      <c r="L632" s="22">
        <f>IF(OR(J632="",K632=""),"",J632*K632)</f>
        <v/>
      </c>
      <c r="M632" s="19" t="n"/>
      <c r="N632" s="20" t="n"/>
      <c r="O632" s="20" t="n"/>
    </row>
    <row r="633">
      <c r="A633" s="23" t="n">
        <v>630</v>
      </c>
      <c r="B633" s="24" t="inlineStr">
        <is>
          <t>1.6.8.13</t>
        </is>
      </c>
      <c r="C633" s="25" t="inlineStr">
        <is>
          <t>Part 1 – General &amp; Programme</t>
        </is>
      </c>
      <c r="D633" s="25" t="inlineStr">
        <is>
          <t>1.6 SYSTEMS DEVELOPMENT, INTEGRATION AND TESTING</t>
        </is>
      </c>
      <c r="E633" s="25" t="inlineStr">
        <is>
          <t>1.6.8 SOLUTIONS TESTING OVERVIEW</t>
        </is>
      </c>
      <c r="F633" s="25" t="inlineStr">
        <is>
          <t>The CONTRACTOR PAT shall incorporate the functional and integration testing of all site-specific systems. Acceptance shall be based on the successful testing of the system as a complete system, demonstrating full integration with local systems and other interdependent systems.</t>
        </is>
      </c>
      <c r="G633" s="19" t="n"/>
      <c r="H633" s="20" t="n"/>
      <c r="I633" s="20" t="n"/>
      <c r="J633" s="19" t="n"/>
      <c r="K633" s="21" t="n"/>
      <c r="L633" s="22">
        <f>IF(OR(J633="",K633=""),"",J633*K633)</f>
        <v/>
      </c>
      <c r="M633" s="19" t="n"/>
      <c r="N633" s="20" t="n"/>
      <c r="O633" s="20" t="n"/>
    </row>
    <row r="634">
      <c r="A634" s="16" t="n">
        <v>631</v>
      </c>
      <c r="B634" s="17" t="inlineStr">
        <is>
          <t>1.6.8.14</t>
        </is>
      </c>
      <c r="C634" s="18" t="inlineStr">
        <is>
          <t>Part 1 – General &amp; Programme</t>
        </is>
      </c>
      <c r="D634" s="18" t="inlineStr">
        <is>
          <t>1.6 SYSTEMS DEVELOPMENT, INTEGRATION AND TESTING</t>
        </is>
      </c>
      <c r="E634" s="18" t="inlineStr">
        <is>
          <t>1.6.8 SOLUTIONS TESTING OVERVIEW</t>
        </is>
      </c>
      <c r="F634" s="18" t="inlineStr">
        <is>
          <t>PAT inspections shall include at a minimum the following:</t>
        </is>
      </c>
      <c r="G634" s="19" t="n"/>
      <c r="H634" s="20" t="n"/>
      <c r="I634" s="20" t="n"/>
      <c r="J634" s="19" t="n"/>
      <c r="K634" s="21" t="n"/>
      <c r="L634" s="22">
        <f>IF(OR(J634="",K634=""),"",J634*K634)</f>
        <v/>
      </c>
      <c r="M634" s="19" t="n"/>
      <c r="N634" s="20" t="n"/>
      <c r="O634" s="20" t="n"/>
    </row>
    <row r="635">
      <c r="A635" s="23" t="n">
        <v>632</v>
      </c>
      <c r="B635" s="23" t="inlineStr">
        <is>
          <t>1.6.8.14.1</t>
        </is>
      </c>
      <c r="C635" s="25" t="inlineStr">
        <is>
          <t>Part 1 – General &amp; Programme</t>
        </is>
      </c>
      <c r="D635" s="25" t="inlineStr">
        <is>
          <t>1.6 SYSTEMS DEVELOPMENT, INTEGRATION AND TESTING</t>
        </is>
      </c>
      <c r="E635" s="25" t="inlineStr">
        <is>
          <t>1.6.8 SOLUTIONS TESTING OVERVIEW</t>
        </is>
      </c>
      <c r="F635" s="25" t="inlineStr">
        <is>
          <t>Delivered Bill of Material verification</t>
        </is>
      </c>
      <c r="G635" s="19" t="n"/>
      <c r="H635" s="20" t="n"/>
      <c r="I635" s="20" t="n"/>
      <c r="J635" s="19" t="n"/>
      <c r="K635" s="21" t="n"/>
      <c r="L635" s="22">
        <f>IF(OR(J635="",K635=""),"",J635*K635)</f>
        <v/>
      </c>
      <c r="M635" s="19" t="n"/>
      <c r="N635" s="20" t="n"/>
      <c r="O635" s="20" t="n"/>
    </row>
    <row r="636">
      <c r="A636" s="16" t="n">
        <v>633</v>
      </c>
      <c r="B636" s="16" t="inlineStr">
        <is>
          <t>1.6.8.14.2</t>
        </is>
      </c>
      <c r="C636" s="18" t="inlineStr">
        <is>
          <t>Part 1 – General &amp; Programme</t>
        </is>
      </c>
      <c r="D636" s="18" t="inlineStr">
        <is>
          <t>1.6 SYSTEMS DEVELOPMENT, INTEGRATION AND TESTING</t>
        </is>
      </c>
      <c r="E636" s="18" t="inlineStr">
        <is>
          <t>1.6.8 SOLUTIONS TESTING OVERVIEW</t>
        </is>
      </c>
      <c r="F636" s="18" t="inlineStr">
        <is>
          <t>All Documentation including project documentation</t>
        </is>
      </c>
      <c r="G636" s="19" t="n"/>
      <c r="H636" s="20" t="n"/>
      <c r="I636" s="20" t="n"/>
      <c r="J636" s="19" t="n"/>
      <c r="K636" s="21" t="n"/>
      <c r="L636" s="22">
        <f>IF(OR(J636="",K636=""),"",J636*K636)</f>
        <v/>
      </c>
      <c r="M636" s="19" t="n"/>
      <c r="N636" s="20" t="n"/>
      <c r="O636" s="20" t="n"/>
    </row>
    <row r="637">
      <c r="A637" s="23" t="n">
        <v>634</v>
      </c>
      <c r="B637" s="23" t="inlineStr">
        <is>
          <t>1.6.8.14.3</t>
        </is>
      </c>
      <c r="C637" s="25" t="inlineStr">
        <is>
          <t>Part 1 – General &amp; Programme</t>
        </is>
      </c>
      <c r="D637" s="25" t="inlineStr">
        <is>
          <t>1.6 SYSTEMS DEVELOPMENT, INTEGRATION AND TESTING</t>
        </is>
      </c>
      <c r="E637" s="25" t="inlineStr">
        <is>
          <t>1.6.8 SOLUTIONS TESTING OVERVIEW</t>
        </is>
      </c>
      <c r="F637" s="25" t="inlineStr">
        <is>
          <t>Configuration verification</t>
        </is>
      </c>
      <c r="G637" s="19" t="n"/>
      <c r="H637" s="20" t="n"/>
      <c r="I637" s="20" t="n"/>
      <c r="J637" s="19" t="n"/>
      <c r="K637" s="21" t="n"/>
      <c r="L637" s="22">
        <f>IF(OR(J637="",K637=""),"",J637*K637)</f>
        <v/>
      </c>
      <c r="M637" s="19" t="n"/>
      <c r="N637" s="20" t="n"/>
      <c r="O637" s="20" t="n"/>
    </row>
    <row r="638">
      <c r="A638" s="16" t="n">
        <v>635</v>
      </c>
      <c r="B638" s="16" t="inlineStr">
        <is>
          <t>1.6.8.14.4</t>
        </is>
      </c>
      <c r="C638" s="18" t="inlineStr">
        <is>
          <t>Part 1 – General &amp; Programme</t>
        </is>
      </c>
      <c r="D638" s="18" t="inlineStr">
        <is>
          <t>1.6 SYSTEMS DEVELOPMENT, INTEGRATION AND TESTING</t>
        </is>
      </c>
      <c r="E638" s="18" t="inlineStr">
        <is>
          <t>1.6.8 SOLUTIONS TESTING OVERVIEW</t>
        </is>
      </c>
      <c r="F638" s="18" t="inlineStr">
        <is>
          <t>SLA Compliance</t>
        </is>
      </c>
      <c r="G638" s="19" t="n"/>
      <c r="H638" s="20" t="n"/>
      <c r="I638" s="20" t="n"/>
      <c r="J638" s="19" t="n"/>
      <c r="K638" s="21" t="n"/>
      <c r="L638" s="22">
        <f>IF(OR(J638="",K638=""),"",J638*K638)</f>
        <v/>
      </c>
      <c r="M638" s="19" t="n"/>
      <c r="N638" s="20" t="n"/>
      <c r="O638" s="20" t="n"/>
    </row>
    <row r="639">
      <c r="A639" s="23" t="n">
        <v>636</v>
      </c>
      <c r="B639" s="23" t="inlineStr">
        <is>
          <t>1.6.8.14.5</t>
        </is>
      </c>
      <c r="C639" s="25" t="inlineStr">
        <is>
          <t>Part 1 – General &amp; Programme</t>
        </is>
      </c>
      <c r="D639" s="25" t="inlineStr">
        <is>
          <t>1.6 SYSTEMS DEVELOPMENT, INTEGRATION AND TESTING</t>
        </is>
      </c>
      <c r="E639" s="25" t="inlineStr">
        <is>
          <t>1.6.8 SOLUTIONS TESTING OVERVIEW</t>
        </is>
      </c>
      <c r="F639" s="25" t="inlineStr">
        <is>
          <t>Functionality implementation validation against the DDR</t>
        </is>
      </c>
      <c r="G639" s="19" t="n"/>
      <c r="H639" s="20" t="n"/>
      <c r="I639" s="20" t="n"/>
      <c r="J639" s="19" t="n"/>
      <c r="K639" s="21" t="n"/>
      <c r="L639" s="22">
        <f>IF(OR(J639="",K639=""),"",J639*K639)</f>
        <v/>
      </c>
      <c r="M639" s="19" t="n"/>
      <c r="N639" s="20" t="n"/>
      <c r="O639" s="20" t="n"/>
    </row>
    <row r="640">
      <c r="A640" s="16" t="n">
        <v>637</v>
      </c>
      <c r="B640" s="17" t="inlineStr">
        <is>
          <t>1.6.8.15</t>
        </is>
      </c>
      <c r="C640" s="18" t="inlineStr">
        <is>
          <t>Part 1 – General &amp; Programme</t>
        </is>
      </c>
      <c r="D640" s="18" t="inlineStr">
        <is>
          <t>1.6 SYSTEMS DEVELOPMENT, INTEGRATION AND TESTING</t>
        </is>
      </c>
      <c r="E640" s="18" t="inlineStr">
        <is>
          <t>1.6.8 SOLUTIONS TESTING OVERVIEW</t>
        </is>
      </c>
      <c r="F640" s="18" t="inlineStr">
        <is>
          <t>The BIDDER shall include in their approach its proposed approach and metrics which will need to be approved by MOI prior to implementation.</t>
        </is>
      </c>
      <c r="G640" s="19" t="n"/>
      <c r="H640" s="20" t="n"/>
      <c r="I640" s="20" t="n"/>
      <c r="J640" s="19" t="n"/>
      <c r="K640" s="21" t="n"/>
      <c r="L640" s="22">
        <f>IF(OR(J640="",K640=""),"",J640*K640)</f>
        <v/>
      </c>
      <c r="M640" s="19" t="n"/>
      <c r="N640" s="20" t="n"/>
      <c r="O640" s="20" t="n"/>
    </row>
    <row r="641">
      <c r="A641" s="23" t="n">
        <v>638</v>
      </c>
      <c r="B641" s="24" t="inlineStr">
        <is>
          <t>1.6.8.16</t>
        </is>
      </c>
      <c r="C641" s="25" t="inlineStr">
        <is>
          <t>Part 1 – General &amp; Programme</t>
        </is>
      </c>
      <c r="D641" s="25" t="inlineStr">
        <is>
          <t>1.6 SYSTEMS DEVELOPMENT, INTEGRATION AND TESTING</t>
        </is>
      </c>
      <c r="E641" s="25" t="inlineStr">
        <is>
          <t>1.6.8 SOLUTIONS TESTING OVERVIEW</t>
        </is>
      </c>
      <c r="F641" s="25" t="inlineStr">
        <is>
          <t>The CONTRACTOR shall include at least the following categories in their testing for all testing stages with clear and quantifiable metrics. This list is not exhaustive and will be worked in detail with the CONTRACTOR and MOI further to award of the contract.</t>
        </is>
      </c>
      <c r="G641" s="19" t="n"/>
      <c r="H641" s="20" t="n"/>
      <c r="I641" s="20" t="n"/>
      <c r="J641" s="19" t="n"/>
      <c r="K641" s="21" t="n"/>
      <c r="L641" s="22">
        <f>IF(OR(J641="",K641=""),"",J641*K641)</f>
        <v/>
      </c>
      <c r="M641" s="19" t="n"/>
      <c r="N641" s="20" t="n"/>
      <c r="O641" s="20" t="n"/>
    </row>
    <row r="642">
      <c r="A642" s="16" t="n">
        <v>639</v>
      </c>
      <c r="B642" s="16" t="inlineStr">
        <is>
          <t>1.6.8.16.1</t>
        </is>
      </c>
      <c r="C642" s="18" t="inlineStr">
        <is>
          <t>Part 1 – General &amp; Programme</t>
        </is>
      </c>
      <c r="D642" s="18" t="inlineStr">
        <is>
          <t>1.6 SYSTEMS DEVELOPMENT, INTEGRATION AND TESTING</t>
        </is>
      </c>
      <c r="E642" s="18" t="inlineStr">
        <is>
          <t>1.6.8 SOLUTIONS TESTING OVERVIEW</t>
        </is>
      </c>
      <c r="F642" s="18" t="inlineStr">
        <is>
          <t>Functionality testing</t>
        </is>
      </c>
      <c r="G642" s="19" t="n"/>
      <c r="H642" s="20" t="n"/>
      <c r="I642" s="20" t="n"/>
      <c r="J642" s="19" t="n"/>
      <c r="K642" s="21" t="n"/>
      <c r="L642" s="22">
        <f>IF(OR(J642="",K642=""),"",J642*K642)</f>
        <v/>
      </c>
      <c r="M642" s="19" t="n"/>
      <c r="N642" s="20" t="n"/>
      <c r="O642" s="20" t="n"/>
    </row>
    <row r="643">
      <c r="A643" s="23" t="n">
        <v>640</v>
      </c>
      <c r="B643" s="23" t="inlineStr">
        <is>
          <t>1.6.8.16.2</t>
        </is>
      </c>
      <c r="C643" s="25" t="inlineStr">
        <is>
          <t>Part 1 – General &amp; Programme</t>
        </is>
      </c>
      <c r="D643" s="25" t="inlineStr">
        <is>
          <t>1.6 SYSTEMS DEVELOPMENT, INTEGRATION AND TESTING</t>
        </is>
      </c>
      <c r="E643" s="25" t="inlineStr">
        <is>
          <t>1.6.8 SOLUTIONS TESTING OVERVIEW</t>
        </is>
      </c>
      <c r="F643" s="25" t="inlineStr">
        <is>
          <t>Stress testing</t>
        </is>
      </c>
      <c r="G643" s="19" t="n"/>
      <c r="H643" s="20" t="n"/>
      <c r="I643" s="20" t="n"/>
      <c r="J643" s="19" t="n"/>
      <c r="K643" s="21" t="n"/>
      <c r="L643" s="22">
        <f>IF(OR(J643="",K643=""),"",J643*K643)</f>
        <v/>
      </c>
      <c r="M643" s="19" t="n"/>
      <c r="N643" s="20" t="n"/>
      <c r="O643" s="20" t="n"/>
    </row>
    <row r="644">
      <c r="A644" s="16" t="n">
        <v>641</v>
      </c>
      <c r="B644" s="16" t="inlineStr">
        <is>
          <t>1.6.8.16.3</t>
        </is>
      </c>
      <c r="C644" s="18" t="inlineStr">
        <is>
          <t>Part 1 – General &amp; Programme</t>
        </is>
      </c>
      <c r="D644" s="18" t="inlineStr">
        <is>
          <t>1.6 SYSTEMS DEVELOPMENT, INTEGRATION AND TESTING</t>
        </is>
      </c>
      <c r="E644" s="18" t="inlineStr">
        <is>
          <t>1.6.8 SOLUTIONS TESTING OVERVIEW</t>
        </is>
      </c>
      <c r="F644" s="18" t="inlineStr">
        <is>
          <t>System usability</t>
        </is>
      </c>
      <c r="G644" s="19" t="n"/>
      <c r="H644" s="20" t="n"/>
      <c r="I644" s="20" t="n"/>
      <c r="J644" s="19" t="n"/>
      <c r="K644" s="21" t="n"/>
      <c r="L644" s="22">
        <f>IF(OR(J644="",K644=""),"",J644*K644)</f>
        <v/>
      </c>
      <c r="M644" s="19" t="n"/>
      <c r="N644" s="20" t="n"/>
      <c r="O644" s="20" t="n"/>
    </row>
    <row r="645">
      <c r="A645" s="23" t="n">
        <v>642</v>
      </c>
      <c r="B645" s="23" t="inlineStr">
        <is>
          <t>1.6.8.16.4</t>
        </is>
      </c>
      <c r="C645" s="25" t="inlineStr">
        <is>
          <t>Part 1 – General &amp; Programme</t>
        </is>
      </c>
      <c r="D645" s="25" t="inlineStr">
        <is>
          <t>1.6 SYSTEMS DEVELOPMENT, INTEGRATION AND TESTING</t>
        </is>
      </c>
      <c r="E645" s="25" t="inlineStr">
        <is>
          <t>1.6.8 SOLUTIONS TESTING OVERVIEW</t>
        </is>
      </c>
      <c r="F645" s="25" t="inlineStr">
        <is>
          <t>Data Quality</t>
        </is>
      </c>
      <c r="G645" s="19" t="n"/>
      <c r="H645" s="20" t="n"/>
      <c r="I645" s="20" t="n"/>
      <c r="J645" s="19" t="n"/>
      <c r="K645" s="21" t="n"/>
      <c r="L645" s="22">
        <f>IF(OR(J645="",K645=""),"",J645*K645)</f>
        <v/>
      </c>
      <c r="M645" s="19" t="n"/>
      <c r="N645" s="20" t="n"/>
      <c r="O645" s="20" t="n"/>
    </row>
    <row r="646">
      <c r="A646" s="16" t="n">
        <v>643</v>
      </c>
      <c r="B646" s="16" t="inlineStr">
        <is>
          <t>1.6.8.16.5</t>
        </is>
      </c>
      <c r="C646" s="18" t="inlineStr">
        <is>
          <t>Part 1 – General &amp; Programme</t>
        </is>
      </c>
      <c r="D646" s="18" t="inlineStr">
        <is>
          <t>1.6 SYSTEMS DEVELOPMENT, INTEGRATION AND TESTING</t>
        </is>
      </c>
      <c r="E646" s="18" t="inlineStr">
        <is>
          <t>1.6.8 SOLUTIONS TESTING OVERVIEW</t>
        </is>
      </c>
      <c r="F646" s="18" t="inlineStr">
        <is>
          <t>End-to-end testing</t>
        </is>
      </c>
      <c r="G646" s="19" t="n"/>
      <c r="H646" s="20" t="n"/>
      <c r="I646" s="20" t="n"/>
      <c r="J646" s="19" t="n"/>
      <c r="K646" s="21" t="n"/>
      <c r="L646" s="22">
        <f>IF(OR(J646="",K646=""),"",J646*K646)</f>
        <v/>
      </c>
      <c r="M646" s="19" t="n"/>
      <c r="N646" s="20" t="n"/>
      <c r="O646" s="20" t="n"/>
    </row>
    <row r="647">
      <c r="A647" s="23" t="n">
        <v>644</v>
      </c>
      <c r="B647" s="23" t="inlineStr">
        <is>
          <t>1.6.8.16.6</t>
        </is>
      </c>
      <c r="C647" s="25" t="inlineStr">
        <is>
          <t>Part 1 – General &amp; Programme</t>
        </is>
      </c>
      <c r="D647" s="25" t="inlineStr">
        <is>
          <t>1.6 SYSTEMS DEVELOPMENT, INTEGRATION AND TESTING</t>
        </is>
      </c>
      <c r="E647" s="25" t="inlineStr">
        <is>
          <t>1.6.8 SOLUTIONS TESTING OVERVIEW</t>
        </is>
      </c>
      <c r="F647" s="25" t="inlineStr">
        <is>
          <t>Operational testing</t>
        </is>
      </c>
      <c r="G647" s="19" t="n"/>
      <c r="H647" s="20" t="n"/>
      <c r="I647" s="20" t="n"/>
      <c r="J647" s="19" t="n"/>
      <c r="K647" s="21" t="n"/>
      <c r="L647" s="22">
        <f>IF(OR(J647="",K647=""),"",J647*K647)</f>
        <v/>
      </c>
      <c r="M647" s="19" t="n"/>
      <c r="N647" s="20" t="n"/>
      <c r="O647" s="20" t="n"/>
    </row>
    <row r="648">
      <c r="A648" s="16" t="n">
        <v>645</v>
      </c>
      <c r="B648" s="16" t="inlineStr">
        <is>
          <t>1.6.8.16.7</t>
        </is>
      </c>
      <c r="C648" s="18" t="inlineStr">
        <is>
          <t>Part 1 – General &amp; Programme</t>
        </is>
      </c>
      <c r="D648" s="18" t="inlineStr">
        <is>
          <t>1.6 SYSTEMS DEVELOPMENT, INTEGRATION AND TESTING</t>
        </is>
      </c>
      <c r="E648" s="18" t="inlineStr">
        <is>
          <t>1.6.8 SOLUTIONS TESTING OVERVIEW</t>
        </is>
      </c>
      <c r="F648" s="18" t="inlineStr">
        <is>
          <t>Load testing</t>
        </is>
      </c>
      <c r="G648" s="19" t="n"/>
      <c r="H648" s="20" t="n"/>
      <c r="I648" s="20" t="n"/>
      <c r="J648" s="19" t="n"/>
      <c r="K648" s="21" t="n"/>
      <c r="L648" s="22">
        <f>IF(OR(J648="",K648=""),"",J648*K648)</f>
        <v/>
      </c>
      <c r="M648" s="19" t="n"/>
      <c r="N648" s="20" t="n"/>
      <c r="O648" s="20" t="n"/>
    </row>
    <row r="649">
      <c r="A649" s="23" t="n">
        <v>646</v>
      </c>
      <c r="B649" s="23" t="inlineStr">
        <is>
          <t>1.6.8.16.8</t>
        </is>
      </c>
      <c r="C649" s="25" t="inlineStr">
        <is>
          <t>Part 1 – General &amp; Programme</t>
        </is>
      </c>
      <c r="D649" s="25" t="inlineStr">
        <is>
          <t>1.6 SYSTEMS DEVELOPMENT, INTEGRATION AND TESTING</t>
        </is>
      </c>
      <c r="E649" s="25" t="inlineStr">
        <is>
          <t>1.6.8 SOLUTIONS TESTING OVERVIEW</t>
        </is>
      </c>
      <c r="F649" s="25" t="inlineStr">
        <is>
          <t>Performance testing</t>
        </is>
      </c>
      <c r="G649" s="19" t="n"/>
      <c r="H649" s="20" t="n"/>
      <c r="I649" s="20" t="n"/>
      <c r="J649" s="19" t="n"/>
      <c r="K649" s="21" t="n"/>
      <c r="L649" s="22">
        <f>IF(OR(J649="",K649=""),"",J649*K649)</f>
        <v/>
      </c>
      <c r="M649" s="19" t="n"/>
      <c r="N649" s="20" t="n"/>
      <c r="O649" s="20" t="n"/>
    </row>
    <row r="650">
      <c r="A650" s="16" t="n">
        <v>647</v>
      </c>
      <c r="B650" s="16" t="inlineStr">
        <is>
          <t>1.6.8.16.9</t>
        </is>
      </c>
      <c r="C650" s="18" t="inlineStr">
        <is>
          <t>Part 1 – General &amp; Programme</t>
        </is>
      </c>
      <c r="D650" s="18" t="inlineStr">
        <is>
          <t>1.6 SYSTEMS DEVELOPMENT, INTEGRATION AND TESTING</t>
        </is>
      </c>
      <c r="E650" s="18" t="inlineStr">
        <is>
          <t>1.6.8 SOLUTIONS TESTING OVERVIEW</t>
        </is>
      </c>
      <c r="F650" s="18" t="inlineStr">
        <is>
          <t>Integration testing</t>
        </is>
      </c>
      <c r="G650" s="19" t="n"/>
      <c r="H650" s="20" t="n"/>
      <c r="I650" s="20" t="n"/>
      <c r="J650" s="19" t="n"/>
      <c r="K650" s="21" t="n"/>
      <c r="L650" s="22">
        <f>IF(OR(J650="",K650=""),"",J650*K650)</f>
        <v/>
      </c>
      <c r="M650" s="19" t="n"/>
      <c r="N650" s="20" t="n"/>
      <c r="O650" s="20" t="n"/>
    </row>
    <row r="651">
      <c r="A651" s="23" t="n">
        <v>648</v>
      </c>
      <c r="B651" s="23" t="inlineStr">
        <is>
          <t>1.6.8.16.10</t>
        </is>
      </c>
      <c r="C651" s="25" t="inlineStr">
        <is>
          <t>Part 1 – General &amp; Programme</t>
        </is>
      </c>
      <c r="D651" s="25" t="inlineStr">
        <is>
          <t>1.6 SYSTEMS DEVELOPMENT, INTEGRATION AND TESTING</t>
        </is>
      </c>
      <c r="E651" s="25" t="inlineStr">
        <is>
          <t>1.6.8 SOLUTIONS TESTING OVERVIEW</t>
        </is>
      </c>
      <c r="F651" s="25" t="inlineStr">
        <is>
          <t>Interface testing</t>
        </is>
      </c>
      <c r="G651" s="19" t="n"/>
      <c r="H651" s="20" t="n"/>
      <c r="I651" s="20" t="n"/>
      <c r="J651" s="19" t="n"/>
      <c r="K651" s="21" t="n"/>
      <c r="L651" s="22">
        <f>IF(OR(J651="",K651=""),"",J651*K651)</f>
        <v/>
      </c>
      <c r="M651" s="19" t="n"/>
      <c r="N651" s="20" t="n"/>
      <c r="O651" s="20" t="n"/>
    </row>
    <row r="652">
      <c r="A652" s="16" t="n">
        <v>649</v>
      </c>
      <c r="B652" s="16" t="inlineStr">
        <is>
          <t>1.6.8.16.11</t>
        </is>
      </c>
      <c r="C652" s="18" t="inlineStr">
        <is>
          <t>Part 1 – General &amp; Programme</t>
        </is>
      </c>
      <c r="D652" s="18" t="inlineStr">
        <is>
          <t>1.6 SYSTEMS DEVELOPMENT, INTEGRATION AND TESTING</t>
        </is>
      </c>
      <c r="E652" s="18" t="inlineStr">
        <is>
          <t>1.6.8 SOLUTIONS TESTING OVERVIEW</t>
        </is>
      </c>
      <c r="F652" s="18" t="inlineStr">
        <is>
          <t>Security testing</t>
        </is>
      </c>
      <c r="G652" s="19" t="n"/>
      <c r="H652" s="20" t="n"/>
      <c r="I652" s="20" t="n"/>
      <c r="J652" s="19" t="n"/>
      <c r="K652" s="21" t="n"/>
      <c r="L652" s="22">
        <f>IF(OR(J652="",K652=""),"",J652*K652)</f>
        <v/>
      </c>
      <c r="M652" s="19" t="n"/>
      <c r="N652" s="20" t="n"/>
      <c r="O652" s="20" t="n"/>
    </row>
    <row r="653">
      <c r="A653" s="23" t="n">
        <v>650</v>
      </c>
      <c r="B653" s="23" t="inlineStr">
        <is>
          <t>1.6.8.16.12</t>
        </is>
      </c>
      <c r="C653" s="25" t="inlineStr">
        <is>
          <t>Part 1 – General &amp; Programme</t>
        </is>
      </c>
      <c r="D653" s="25" t="inlineStr">
        <is>
          <t>1.6 SYSTEMS DEVELOPMENT, INTEGRATION AND TESTING</t>
        </is>
      </c>
      <c r="E653" s="25" t="inlineStr">
        <is>
          <t>1.6.8 SOLUTIONS TESTING OVERVIEW</t>
        </is>
      </c>
      <c r="F653" s="25" t="inlineStr">
        <is>
          <t>Penetration testing</t>
        </is>
      </c>
      <c r="G653" s="19" t="n"/>
      <c r="H653" s="20" t="n"/>
      <c r="I653" s="20" t="n"/>
      <c r="J653" s="19" t="n"/>
      <c r="K653" s="21" t="n"/>
      <c r="L653" s="22">
        <f>IF(OR(J653="",K653=""),"",J653*K653)</f>
        <v/>
      </c>
      <c r="M653" s="19" t="n"/>
      <c r="N653" s="20" t="n"/>
      <c r="O653" s="20" t="n"/>
    </row>
    <row r="654">
      <c r="A654" s="16" t="n">
        <v>651</v>
      </c>
      <c r="B654" s="16" t="inlineStr">
        <is>
          <t>1.6.8.16.13</t>
        </is>
      </c>
      <c r="C654" s="18" t="inlineStr">
        <is>
          <t>Part 1 – General &amp; Programme</t>
        </is>
      </c>
      <c r="D654" s="18" t="inlineStr">
        <is>
          <t>1.6 SYSTEMS DEVELOPMENT, INTEGRATION AND TESTING</t>
        </is>
      </c>
      <c r="E654" s="18" t="inlineStr">
        <is>
          <t>1.6.8 SOLUTIONS TESTING OVERVIEW</t>
        </is>
      </c>
      <c r="F654" s="18" t="inlineStr">
        <is>
          <t>Manageability testing</t>
        </is>
      </c>
      <c r="G654" s="19" t="n"/>
      <c r="H654" s="20" t="n"/>
      <c r="I654" s="20" t="n"/>
      <c r="J654" s="19" t="n"/>
      <c r="K654" s="21" t="n"/>
      <c r="L654" s="22">
        <f>IF(OR(J654="",K654=""),"",J654*K654)</f>
        <v/>
      </c>
      <c r="M654" s="19" t="n"/>
      <c r="N654" s="20" t="n"/>
      <c r="O654" s="20" t="n"/>
    </row>
    <row r="655">
      <c r="A655" s="23" t="n">
        <v>652</v>
      </c>
      <c r="B655" s="23" t="inlineStr">
        <is>
          <t>1.6.8.16.14</t>
        </is>
      </c>
      <c r="C655" s="25" t="inlineStr">
        <is>
          <t>Part 1 – General &amp; Programme</t>
        </is>
      </c>
      <c r="D655" s="25" t="inlineStr">
        <is>
          <t>1.6 SYSTEMS DEVELOPMENT, INTEGRATION AND TESTING</t>
        </is>
      </c>
      <c r="E655" s="25" t="inlineStr">
        <is>
          <t>1.6.8 SOLUTIONS TESTING OVERVIEW</t>
        </is>
      </c>
      <c r="F655" s="25" t="inlineStr">
        <is>
          <t>Availability testing</t>
        </is>
      </c>
      <c r="G655" s="19" t="n"/>
      <c r="H655" s="20" t="n"/>
      <c r="I655" s="20" t="n"/>
      <c r="J655" s="19" t="n"/>
      <c r="K655" s="21" t="n"/>
      <c r="L655" s="22">
        <f>IF(OR(J655="",K655=""),"",J655*K655)</f>
        <v/>
      </c>
      <c r="M655" s="19" t="n"/>
      <c r="N655" s="20" t="n"/>
      <c r="O655" s="20" t="n"/>
    </row>
    <row r="656">
      <c r="A656" s="16" t="n">
        <v>653</v>
      </c>
      <c r="B656" s="16" t="inlineStr">
        <is>
          <t>1.6.8.16.15</t>
        </is>
      </c>
      <c r="C656" s="18" t="inlineStr">
        <is>
          <t>Part 1 – General &amp; Programme</t>
        </is>
      </c>
      <c r="D656" s="18" t="inlineStr">
        <is>
          <t>1.6 SYSTEMS DEVELOPMENT, INTEGRATION AND TESTING</t>
        </is>
      </c>
      <c r="E656" s="18" t="inlineStr">
        <is>
          <t>1.6.8 SOLUTIONS TESTING OVERVIEW</t>
        </is>
      </c>
      <c r="F656" s="18" t="inlineStr">
        <is>
          <t>Resilience, fallback, failover and restore testing</t>
        </is>
      </c>
      <c r="G656" s="19" t="n"/>
      <c r="H656" s="20" t="n"/>
      <c r="I656" s="20" t="n"/>
      <c r="J656" s="19" t="n"/>
      <c r="K656" s="21" t="n"/>
      <c r="L656" s="22">
        <f>IF(OR(J656="",K656=""),"",J656*K656)</f>
        <v/>
      </c>
      <c r="M656" s="19" t="n"/>
      <c r="N656" s="20" t="n"/>
      <c r="O656" s="20" t="n"/>
    </row>
    <row r="657">
      <c r="A657" s="23" t="n">
        <v>654</v>
      </c>
      <c r="B657" s="23" t="inlineStr">
        <is>
          <t>1.6.8.16.16</t>
        </is>
      </c>
      <c r="C657" s="25" t="inlineStr">
        <is>
          <t>Part 1 – General &amp; Programme</t>
        </is>
      </c>
      <c r="D657" s="25" t="inlineStr">
        <is>
          <t>1.6 SYSTEMS DEVELOPMENT, INTEGRATION AND TESTING</t>
        </is>
      </c>
      <c r="E657" s="25" t="inlineStr">
        <is>
          <t>1.6.8 SOLUTIONS TESTING OVERVIEW</t>
        </is>
      </c>
      <c r="F657" s="25" t="inlineStr">
        <is>
          <t>Technical infrastructure compliance</t>
        </is>
      </c>
      <c r="G657" s="19" t="n"/>
      <c r="H657" s="20" t="n"/>
      <c r="I657" s="20" t="n"/>
      <c r="J657" s="19" t="n"/>
      <c r="K657" s="21" t="n"/>
      <c r="L657" s="22">
        <f>IF(OR(J657="",K657=""),"",J657*K657)</f>
        <v/>
      </c>
      <c r="M657" s="19" t="n"/>
      <c r="N657" s="20" t="n"/>
      <c r="O657" s="20" t="n"/>
    </row>
    <row r="658">
      <c r="A658" s="16" t="n">
        <v>655</v>
      </c>
      <c r="B658" s="16" t="inlineStr">
        <is>
          <t>1.6.8.16.17</t>
        </is>
      </c>
      <c r="C658" s="18" t="inlineStr">
        <is>
          <t>Part 1 – General &amp; Programme</t>
        </is>
      </c>
      <c r="D658" s="18" t="inlineStr">
        <is>
          <t>1.6 SYSTEMS DEVELOPMENT, INTEGRATION AND TESTING</t>
        </is>
      </c>
      <c r="E658" s="18" t="inlineStr">
        <is>
          <t>1.6.8 SOLUTIONS TESTING OVERVIEW</t>
        </is>
      </c>
      <c r="F658" s="18" t="inlineStr">
        <is>
          <t>Capacity verification</t>
        </is>
      </c>
      <c r="G658" s="19" t="n"/>
      <c r="H658" s="20" t="n"/>
      <c r="I658" s="20" t="n"/>
      <c r="J658" s="19" t="n"/>
      <c r="K658" s="21" t="n"/>
      <c r="L658" s="22">
        <f>IF(OR(J658="",K658=""),"",J658*K658)</f>
        <v/>
      </c>
      <c r="M658" s="19" t="n"/>
      <c r="N658" s="20" t="n"/>
      <c r="O658" s="20" t="n"/>
    </row>
    <row r="659">
      <c r="A659" s="23" t="n">
        <v>656</v>
      </c>
      <c r="B659" s="23" t="inlineStr">
        <is>
          <t>1.6.8.16.18</t>
        </is>
      </c>
      <c r="C659" s="25" t="inlineStr">
        <is>
          <t>Part 1 – General &amp; Programme</t>
        </is>
      </c>
      <c r="D659" s="25" t="inlineStr">
        <is>
          <t>1.6 SYSTEMS DEVELOPMENT, INTEGRATION AND TESTING</t>
        </is>
      </c>
      <c r="E659" s="25" t="inlineStr">
        <is>
          <t>1.6.8 SOLUTIONS TESTING OVERVIEW</t>
        </is>
      </c>
      <c r="F659" s="25" t="inlineStr">
        <is>
          <t>SLA Reporting System and Compliance</t>
        </is>
      </c>
      <c r="G659" s="19" t="n"/>
      <c r="H659" s="20" t="n"/>
      <c r="I659" s="20" t="n"/>
      <c r="J659" s="19" t="n"/>
      <c r="K659" s="21" t="n"/>
      <c r="L659" s="22">
        <f>IF(OR(J659="",K659=""),"",J659*K659)</f>
        <v/>
      </c>
      <c r="M659" s="19" t="n"/>
      <c r="N659" s="20" t="n"/>
      <c r="O659" s="20" t="n"/>
    </row>
    <row r="660">
      <c r="A660" s="16" t="n">
        <v>657</v>
      </c>
      <c r="B660" s="17" t="inlineStr">
        <is>
          <t>1.6.8.17</t>
        </is>
      </c>
      <c r="C660" s="18" t="inlineStr">
        <is>
          <t>Part 1 – General &amp; Programme</t>
        </is>
      </c>
      <c r="D660" s="18" t="inlineStr">
        <is>
          <t>1.6 SYSTEMS DEVELOPMENT, INTEGRATION AND TESTING</t>
        </is>
      </c>
      <c r="E660" s="18" t="inlineStr">
        <is>
          <t>1.6.8 SOLUTIONS TESTING OVERVIEW</t>
        </is>
      </c>
      <c r="F660" s="18" t="inlineStr">
        <is>
          <t>Locations where equipment is installed shall be the subject of formal inspections using checklists written by the CONTRACTOR which have been reviewed and approved by the MOI.</t>
        </is>
      </c>
      <c r="G660" s="19" t="n"/>
      <c r="H660" s="20" t="n"/>
      <c r="I660" s="20" t="n"/>
      <c r="J660" s="19" t="n"/>
      <c r="K660" s="21" t="n"/>
      <c r="L660" s="22">
        <f>IF(OR(J660="",K660=""),"",J660*K660)</f>
        <v/>
      </c>
      <c r="M660" s="19" t="n"/>
      <c r="N660" s="20" t="n"/>
      <c r="O660" s="20" t="n"/>
    </row>
    <row r="661">
      <c r="A661" s="23" t="n">
        <v>658</v>
      </c>
      <c r="B661" s="24" t="inlineStr">
        <is>
          <t>1.6.8.18</t>
        </is>
      </c>
      <c r="C661" s="25" t="inlineStr">
        <is>
          <t>Part 1 – General &amp; Programme</t>
        </is>
      </c>
      <c r="D661" s="25" t="inlineStr">
        <is>
          <t>1.6 SYSTEMS DEVELOPMENT, INTEGRATION AND TESTING</t>
        </is>
      </c>
      <c r="E661" s="25" t="inlineStr">
        <is>
          <t>1.6.8 SOLUTIONS TESTING OVERVIEW</t>
        </is>
      </c>
      <c r="F661" s="25" t="inlineStr">
        <is>
          <t>Inspections of equipment and installations shall be conducted by the MOI and may be witnessed by authorized representatives of the CONTRACTOR.</t>
        </is>
      </c>
      <c r="G661" s="19" t="n"/>
      <c r="H661" s="20" t="n"/>
      <c r="I661" s="20" t="n"/>
      <c r="J661" s="19" t="n"/>
      <c r="K661" s="21" t="n"/>
      <c r="L661" s="22">
        <f>IF(OR(J661="",K661=""),"",J661*K661)</f>
        <v/>
      </c>
      <c r="M661" s="19" t="n"/>
      <c r="N661" s="20" t="n"/>
      <c r="O661" s="20" t="n"/>
    </row>
    <row r="662">
      <c r="A662" s="16" t="n">
        <v>659</v>
      </c>
      <c r="B662" s="17" t="inlineStr">
        <is>
          <t>1.6.8.19</t>
        </is>
      </c>
      <c r="C662" s="18" t="inlineStr">
        <is>
          <t>Part 1 – General &amp; Programme</t>
        </is>
      </c>
      <c r="D662" s="18" t="inlineStr">
        <is>
          <t>1.6 SYSTEMS DEVELOPMENT, INTEGRATION AND TESTING</t>
        </is>
      </c>
      <c r="E662" s="18" t="inlineStr">
        <is>
          <t>1.6.8 SOLUTIONS TESTING OVERVIEW</t>
        </is>
      </c>
      <c r="F662" s="18" t="inlineStr">
        <is>
          <t>Testing shall be conducted by the CONTRACTOR and be witnessed by authorized representatives of the MOI.</t>
        </is>
      </c>
      <c r="G662" s="19" t="n"/>
      <c r="H662" s="20" t="n"/>
      <c r="I662" s="20" t="n"/>
      <c r="J662" s="19" t="n"/>
      <c r="K662" s="21" t="n"/>
      <c r="L662" s="22">
        <f>IF(OR(J662="",K662=""),"",J662*K662)</f>
        <v/>
      </c>
      <c r="M662" s="19" t="n"/>
      <c r="N662" s="20" t="n"/>
      <c r="O662" s="20" t="n"/>
    </row>
    <row r="663">
      <c r="A663" s="23" t="n">
        <v>660</v>
      </c>
      <c r="B663" s="24" t="inlineStr">
        <is>
          <t>1.6.8.20</t>
        </is>
      </c>
      <c r="C663" s="25" t="inlineStr">
        <is>
          <t>Part 1 – General &amp; Programme</t>
        </is>
      </c>
      <c r="D663" s="25" t="inlineStr">
        <is>
          <t>1.6 SYSTEMS DEVELOPMENT, INTEGRATION AND TESTING</t>
        </is>
      </c>
      <c r="E663" s="25" t="inlineStr">
        <is>
          <t>1.6.8 SOLUTIONS TESTING OVERVIEW</t>
        </is>
      </c>
      <c r="F663" s="25" t="inlineStr">
        <is>
          <t>Testing shall be performed in accordance with test plans and procedures written by the CONTRACTOR which have been reviewed and approved by the MOI.</t>
        </is>
      </c>
      <c r="G663" s="19" t="n"/>
      <c r="H663" s="20" t="n"/>
      <c r="I663" s="20" t="n"/>
      <c r="J663" s="19" t="n"/>
      <c r="K663" s="21" t="n"/>
      <c r="L663" s="22">
        <f>IF(OR(J663="",K663=""),"",J663*K663)</f>
        <v/>
      </c>
      <c r="M663" s="19" t="n"/>
      <c r="N663" s="20" t="n"/>
      <c r="O663" s="20" t="n"/>
    </row>
    <row r="664">
      <c r="A664" s="16" t="n">
        <v>661</v>
      </c>
      <c r="B664" s="17" t="inlineStr">
        <is>
          <t>1.6.8.21</t>
        </is>
      </c>
      <c r="C664" s="18" t="inlineStr">
        <is>
          <t>Part 1 – General &amp; Programme</t>
        </is>
      </c>
      <c r="D664" s="18" t="inlineStr">
        <is>
          <t>1.6 SYSTEMS DEVELOPMENT, INTEGRATION AND TESTING</t>
        </is>
      </c>
      <c r="E664" s="18" t="inlineStr">
        <is>
          <t>1.6.8 SOLUTIONS TESTING OVERVIEW</t>
        </is>
      </c>
      <c r="F664" s="18" t="inlineStr">
        <is>
          <t>CONTRACTOR shall not begin PAT until:</t>
        </is>
      </c>
      <c r="G664" s="19" t="n"/>
      <c r="H664" s="20" t="n"/>
      <c r="I664" s="20" t="n"/>
      <c r="J664" s="19" t="n"/>
      <c r="K664" s="21" t="n"/>
      <c r="L664" s="22">
        <f>IF(OR(J664="",K664=""),"",J664*K664)</f>
        <v/>
      </c>
      <c r="M664" s="19" t="n"/>
      <c r="N664" s="20" t="n"/>
      <c r="O664" s="20" t="n"/>
    </row>
    <row r="665">
      <c r="A665" s="23" t="n">
        <v>662</v>
      </c>
      <c r="B665" s="23" t="inlineStr">
        <is>
          <t>1.6.8.21.1</t>
        </is>
      </c>
      <c r="C665" s="25" t="inlineStr">
        <is>
          <t>Part 1 – General &amp; Programme</t>
        </is>
      </c>
      <c r="D665" s="25" t="inlineStr">
        <is>
          <t>1.6 SYSTEMS DEVELOPMENT, INTEGRATION AND TESTING</t>
        </is>
      </c>
      <c r="E665" s="25" t="inlineStr">
        <is>
          <t>1.6.8 SOLUTIONS TESTING OVERVIEW</t>
        </is>
      </c>
      <c r="F665" s="25" t="inlineStr">
        <is>
          <t>All systems have been installed and individually and jointly tested to ensure they are operating properly.</t>
        </is>
      </c>
      <c r="G665" s="19" t="n"/>
      <c r="H665" s="20" t="n"/>
      <c r="I665" s="20" t="n"/>
      <c r="J665" s="19" t="n"/>
      <c r="K665" s="21" t="n"/>
      <c r="L665" s="22">
        <f>IF(OR(J665="",K665=""),"",J665*K665)</f>
        <v/>
      </c>
      <c r="M665" s="19" t="n"/>
      <c r="N665" s="20" t="n"/>
      <c r="O665" s="20" t="n"/>
    </row>
    <row r="666">
      <c r="A666" s="16" t="n">
        <v>663</v>
      </c>
      <c r="B666" s="16" t="inlineStr">
        <is>
          <t>1.6.8.21.2</t>
        </is>
      </c>
      <c r="C666" s="18" t="inlineStr">
        <is>
          <t>Part 1 – General &amp; Programme</t>
        </is>
      </c>
      <c r="D666" s="18" t="inlineStr">
        <is>
          <t>1.6 SYSTEMS DEVELOPMENT, INTEGRATION AND TESTING</t>
        </is>
      </c>
      <c r="E666" s="18" t="inlineStr">
        <is>
          <t>1.6.8 SOLUTIONS TESTING OVERVIEW</t>
        </is>
      </c>
      <c r="F666" s="18" t="inlineStr">
        <is>
          <t>Written permission to begin testing has been received.</t>
        </is>
      </c>
      <c r="G666" s="19" t="n"/>
      <c r="H666" s="20" t="n"/>
      <c r="I666" s="20" t="n"/>
      <c r="J666" s="19" t="n"/>
      <c r="K666" s="21" t="n"/>
      <c r="L666" s="22">
        <f>IF(OR(J666="",K666=""),"",J666*K666)</f>
        <v/>
      </c>
      <c r="M666" s="19" t="n"/>
      <c r="N666" s="20" t="n"/>
      <c r="O666" s="20" t="n"/>
    </row>
    <row r="667">
      <c r="A667" s="23" t="n">
        <v>664</v>
      </c>
      <c r="B667" s="24" t="inlineStr">
        <is>
          <t>1.6.8.22</t>
        </is>
      </c>
      <c r="C667" s="25" t="inlineStr">
        <is>
          <t>Part 1 – General &amp; Programme</t>
        </is>
      </c>
      <c r="D667" s="25" t="inlineStr">
        <is>
          <t>1.6 SYSTEMS DEVELOPMENT, INTEGRATION AND TESTING</t>
        </is>
      </c>
      <c r="E667" s="25" t="inlineStr">
        <is>
          <t>1.6.8 SOLUTIONS TESTING OVERVIEW</t>
        </is>
      </c>
      <c r="F667" s="25" t="inlineStr">
        <is>
          <t>As part of performance verification and testing, the CONTRACTOR shall test all components of system, and verify correct operation of the required system functionality as defined in these specifications.</t>
        </is>
      </c>
      <c r="G667" s="19" t="n"/>
      <c r="H667" s="20" t="n"/>
      <c r="I667" s="20" t="n"/>
      <c r="J667" s="19" t="n"/>
      <c r="K667" s="21" t="n"/>
      <c r="L667" s="22">
        <f>IF(OR(J667="",K667=""),"",J667*K667)</f>
        <v/>
      </c>
      <c r="M667" s="19" t="n"/>
      <c r="N667" s="20" t="n"/>
      <c r="O667" s="20" t="n"/>
    </row>
    <row r="668">
      <c r="A668" s="16" t="n">
        <v>665</v>
      </c>
      <c r="B668" s="17" t="inlineStr">
        <is>
          <t>1.6.8.23</t>
        </is>
      </c>
      <c r="C668" s="18" t="inlineStr">
        <is>
          <t>Part 1 – General &amp; Programme</t>
        </is>
      </c>
      <c r="D668" s="18" t="inlineStr">
        <is>
          <t>1.6 SYSTEMS DEVELOPMENT, INTEGRATION AND TESTING</t>
        </is>
      </c>
      <c r="E668" s="18" t="inlineStr">
        <is>
          <t>1.6.8 SOLUTIONS TESTING OVERVIEW</t>
        </is>
      </c>
      <c r="F668" s="18" t="inlineStr">
        <is>
          <t>Further to the successful completion of CONTRACTOR testing, the MOI may undertake its own testing as part of the PAT for some or all of the test cases.</t>
        </is>
      </c>
      <c r="G668" s="19" t="n"/>
      <c r="H668" s="20" t="n"/>
      <c r="I668" s="20" t="n"/>
      <c r="J668" s="19" t="n"/>
      <c r="K668" s="21" t="n"/>
      <c r="L668" s="22">
        <f>IF(OR(J668="",K668=""),"",J668*K668)</f>
        <v/>
      </c>
      <c r="M668" s="19" t="n"/>
      <c r="N668" s="20" t="n"/>
      <c r="O668" s="20" t="n"/>
    </row>
    <row r="669">
      <c r="A669" s="23" t="n">
        <v>666</v>
      </c>
      <c r="B669" s="24" t="inlineStr">
        <is>
          <t>1.6.8.24</t>
        </is>
      </c>
      <c r="C669" s="25" t="inlineStr">
        <is>
          <t>Part 1 – General &amp; Programme</t>
        </is>
      </c>
      <c r="D669" s="25" t="inlineStr">
        <is>
          <t>1.6 SYSTEMS DEVELOPMENT, INTEGRATION AND TESTING</t>
        </is>
      </c>
      <c r="E669" s="25" t="inlineStr">
        <is>
          <t>1.6.8 SOLUTIONS TESTING OVERVIEW</t>
        </is>
      </c>
      <c r="F669" s="25" t="inlineStr">
        <is>
          <t>As part of corrective actions, the CONTRACTOR shall correct all identified snags and deficiencies, and retest affected components.</t>
        </is>
      </c>
      <c r="G669" s="19" t="n"/>
      <c r="H669" s="20" t="n"/>
      <c r="I669" s="20" t="n"/>
      <c r="J669" s="19" t="n"/>
      <c r="K669" s="21" t="n"/>
      <c r="L669" s="22">
        <f>IF(OR(J669="",K669=""),"",J669*K669)</f>
        <v/>
      </c>
      <c r="M669" s="19" t="n"/>
      <c r="N669" s="20" t="n"/>
      <c r="O669" s="20" t="n"/>
    </row>
    <row r="670">
      <c r="A670" s="16" t="n">
        <v>667</v>
      </c>
      <c r="B670" s="17" t="inlineStr">
        <is>
          <t>1.6.8.25</t>
        </is>
      </c>
      <c r="C670" s="18" t="inlineStr">
        <is>
          <t>Part 1 – General &amp; Programme</t>
        </is>
      </c>
      <c r="D670" s="18" t="inlineStr">
        <is>
          <t>1.6 SYSTEMS DEVELOPMENT, INTEGRATION AND TESTING</t>
        </is>
      </c>
      <c r="E670" s="18" t="inlineStr">
        <is>
          <t>1.6.8 SOLUTIONS TESTING OVERVIEW</t>
        </is>
      </c>
      <c r="F670" s="18" t="inlineStr">
        <is>
          <t>The CONTRACTOR shall mark performance verification test as complete when testing or retesting of each component has produced a positive result and has been approved in writing by MOI.</t>
        </is>
      </c>
      <c r="G670" s="19" t="n"/>
      <c r="H670" s="20" t="n"/>
      <c r="I670" s="20" t="n"/>
      <c r="J670" s="19" t="n"/>
      <c r="K670" s="21" t="n"/>
      <c r="L670" s="22">
        <f>IF(OR(J670="",K670=""),"",J670*K670)</f>
        <v/>
      </c>
      <c r="M670" s="19" t="n"/>
      <c r="N670" s="20" t="n"/>
      <c r="O670" s="20" t="n"/>
    </row>
    <row r="671">
      <c r="A671" s="23" t="n">
        <v>668</v>
      </c>
      <c r="B671" s="24" t="inlineStr">
        <is>
          <t>1.6.8.26</t>
        </is>
      </c>
      <c r="C671" s="25" t="inlineStr">
        <is>
          <t>Part 1 – General &amp; Programme</t>
        </is>
      </c>
      <c r="D671" s="25" t="inlineStr">
        <is>
          <t>1.6 SYSTEMS DEVELOPMENT, INTEGRATION AND TESTING</t>
        </is>
      </c>
      <c r="E671" s="25" t="inlineStr">
        <is>
          <t>1.6.8 SOLUTIONS TESTING OVERVIEW</t>
        </is>
      </c>
      <c r="F671" s="25" t="inlineStr">
        <is>
          <t>The CONTRACTOR shall record in tabular form all test results, deficiencies, and corrective measures.</t>
        </is>
      </c>
      <c r="G671" s="19" t="n"/>
      <c r="H671" s="20" t="n"/>
      <c r="I671" s="20" t="n"/>
      <c r="J671" s="19" t="n"/>
      <c r="K671" s="21" t="n"/>
      <c r="L671" s="22">
        <f>IF(OR(J671="",K671=""),"",J671*K671)</f>
        <v/>
      </c>
      <c r="M671" s="19" t="n"/>
      <c r="N671" s="20" t="n"/>
      <c r="O671" s="20" t="n"/>
    </row>
    <row r="672">
      <c r="A672" s="16" t="n">
        <v>669</v>
      </c>
      <c r="B672" s="17" t="inlineStr">
        <is>
          <t>1.6.8.27</t>
        </is>
      </c>
      <c r="C672" s="18" t="inlineStr">
        <is>
          <t>Part 1 – General &amp; Programme</t>
        </is>
      </c>
      <c r="D672" s="18" t="inlineStr">
        <is>
          <t>1.6 SYSTEMS DEVELOPMENT, INTEGRATION AND TESTING</t>
        </is>
      </c>
      <c r="E672" s="18" t="inlineStr">
        <is>
          <t>1.6.8 SOLUTIONS TESTING OVERVIEW</t>
        </is>
      </c>
      <c r="F672" s="18" t="inlineStr">
        <is>
          <t>The CONTRACTOR shall provide a copy of all test results and data collected to the MOI in an agreed format at the end of each day’s testing.</t>
        </is>
      </c>
      <c r="G672" s="19" t="n"/>
      <c r="H672" s="20" t="n"/>
      <c r="I672" s="20" t="n"/>
      <c r="J672" s="19" t="n"/>
      <c r="K672" s="21" t="n"/>
      <c r="L672" s="22">
        <f>IF(OR(J672="",K672=""),"",J672*K672)</f>
        <v/>
      </c>
      <c r="M672" s="19" t="n"/>
      <c r="N672" s="20" t="n"/>
      <c r="O672" s="20" t="n"/>
    </row>
    <row r="673">
      <c r="A673" s="23" t="n">
        <v>670</v>
      </c>
      <c r="B673" s="24" t="inlineStr">
        <is>
          <t>1.6.8.28</t>
        </is>
      </c>
      <c r="C673" s="25" t="inlineStr">
        <is>
          <t>Part 1 – General &amp; Programme</t>
        </is>
      </c>
      <c r="D673" s="25" t="inlineStr">
        <is>
          <t>1.6 SYSTEMS DEVELOPMENT, INTEGRATION AND TESTING</t>
        </is>
      </c>
      <c r="E673" s="25" t="inlineStr">
        <is>
          <t>1.6.8 SOLUTIONS TESTING OVERVIEW</t>
        </is>
      </c>
      <c r="F673" s="25" t="inlineStr">
        <is>
          <t>While the MOI will be responsible for the conduct of Operational Testing, the CONTRACTOR shall supply MOI with an approach and a plan for the related activities.</t>
        </is>
      </c>
      <c r="G673" s="19" t="n"/>
      <c r="H673" s="20" t="n"/>
      <c r="I673" s="20" t="n"/>
      <c r="J673" s="19" t="n"/>
      <c r="K673" s="21" t="n"/>
      <c r="L673" s="22">
        <f>IF(OR(J673="",K673=""),"",J673*K673)</f>
        <v/>
      </c>
      <c r="M673" s="19" t="n"/>
      <c r="N673" s="20" t="n"/>
      <c r="O673" s="20" t="n"/>
    </row>
    <row r="674">
      <c r="A674" s="16" t="n">
        <v>671</v>
      </c>
      <c r="B674" s="17" t="inlineStr">
        <is>
          <t>1.6.8.29</t>
        </is>
      </c>
      <c r="C674" s="18" t="inlineStr">
        <is>
          <t>Part 1 – General &amp; Programme</t>
        </is>
      </c>
      <c r="D674" s="18" t="inlineStr">
        <is>
          <t>1.6 SYSTEMS DEVELOPMENT, INTEGRATION AND TESTING</t>
        </is>
      </c>
      <c r="E674" s="18" t="inlineStr">
        <is>
          <t>1.6.8 SOLUTIONS TESTING OVERVIEW</t>
        </is>
      </c>
      <c r="F674" s="18" t="inlineStr">
        <is>
          <t>Operational testing shall take place during the PAT and shall be accepted before FSAT is allowed to commence.</t>
        </is>
      </c>
      <c r="G674" s="19" t="n"/>
      <c r="H674" s="20" t="n"/>
      <c r="I674" s="20" t="n"/>
      <c r="J674" s="19" t="n"/>
      <c r="K674" s="21" t="n"/>
      <c r="L674" s="22">
        <f>IF(OR(J674="",K674=""),"",J674*K674)</f>
        <v/>
      </c>
      <c r="M674" s="19" t="n"/>
      <c r="N674" s="20" t="n"/>
      <c r="O674" s="20" t="n"/>
    </row>
    <row r="675">
      <c r="A675" s="23" t="n">
        <v>672</v>
      </c>
      <c r="B675" s="24" t="inlineStr">
        <is>
          <t>1.6.8.30</t>
        </is>
      </c>
      <c r="C675" s="25" t="inlineStr">
        <is>
          <t>Part 1 – General &amp; Programme</t>
        </is>
      </c>
      <c r="D675" s="25" t="inlineStr">
        <is>
          <t>1.6 SYSTEMS DEVELOPMENT, INTEGRATION AND TESTING</t>
        </is>
      </c>
      <c r="E675" s="25" t="inlineStr">
        <is>
          <t>1.6.8 SOLUTIONS TESTING OVERVIEW</t>
        </is>
      </c>
      <c r="F675" s="25" t="inlineStr">
        <is>
          <t>The CONTRACTOR shall provide all necessary operational and technical support to the MOI during operational testing periods.</t>
        </is>
      </c>
      <c r="G675" s="19" t="n"/>
      <c r="H675" s="20" t="n"/>
      <c r="I675" s="20" t="n"/>
      <c r="J675" s="19" t="n"/>
      <c r="K675" s="21" t="n"/>
      <c r="L675" s="22">
        <f>IF(OR(J675="",K675=""),"",J675*K675)</f>
        <v/>
      </c>
      <c r="M675" s="19" t="n"/>
      <c r="N675" s="20" t="n"/>
      <c r="O675" s="20" t="n"/>
    </row>
    <row r="676">
      <c r="A676" s="16" t="n">
        <v>673</v>
      </c>
      <c r="B676" s="17" t="inlineStr">
        <is>
          <t>1.6.8.31</t>
        </is>
      </c>
      <c r="C676" s="18" t="inlineStr">
        <is>
          <t>Part 1 – General &amp; Programme</t>
        </is>
      </c>
      <c r="D676" s="18" t="inlineStr">
        <is>
          <t>1.6 SYSTEMS DEVELOPMENT, INTEGRATION AND TESTING</t>
        </is>
      </c>
      <c r="E676" s="18" t="inlineStr">
        <is>
          <t>1.6.8 SOLUTIONS TESTING OVERVIEW</t>
        </is>
      </c>
      <c r="F676" s="18" t="inlineStr">
        <is>
          <t>The BIDDER shall describe in its proposal what kind of technical and operational support will be provided, and how this support will be provided.</t>
        </is>
      </c>
      <c r="G676" s="19" t="n"/>
      <c r="H676" s="20" t="n"/>
      <c r="I676" s="20" t="n"/>
      <c r="J676" s="19" t="n"/>
      <c r="K676" s="21" t="n"/>
      <c r="L676" s="22">
        <f>IF(OR(J676="",K676=""),"",J676*K676)</f>
        <v/>
      </c>
      <c r="M676" s="19" t="n"/>
      <c r="N676" s="20" t="n"/>
      <c r="O676" s="20" t="n"/>
    </row>
    <row r="677">
      <c r="A677" s="23" t="n">
        <v>674</v>
      </c>
      <c r="B677" s="24" t="inlineStr">
        <is>
          <t>1.6.8.32</t>
        </is>
      </c>
      <c r="C677" s="25" t="inlineStr">
        <is>
          <t>Part 1 – General &amp; Programme</t>
        </is>
      </c>
      <c r="D677" s="25" t="inlineStr">
        <is>
          <t>1.6 SYSTEMS DEVELOPMENT, INTEGRATION AND TESTING</t>
        </is>
      </c>
      <c r="E677" s="25" t="inlineStr">
        <is>
          <t>1.6.8 SOLUTIONS TESTING OVERVIEW</t>
        </is>
      </c>
      <c r="F677" s="25" t="inlineStr">
        <is>
          <t>The BIDDER shall note that only the successful completion of Final System Acceptance Testing (FSAT) determines acceptance of the OSS911 project, per OSS911 center.</t>
        </is>
      </c>
      <c r="G677" s="19" t="n"/>
      <c r="H677" s="20" t="n"/>
      <c r="I677" s="20" t="n"/>
      <c r="J677" s="19" t="n"/>
      <c r="K677" s="21" t="n"/>
      <c r="L677" s="22">
        <f>IF(OR(J677="",K677=""),"",J677*K677)</f>
        <v/>
      </c>
      <c r="M677" s="19" t="n"/>
      <c r="N677" s="20" t="n"/>
      <c r="O677" s="20" t="n"/>
    </row>
    <row r="678">
      <c r="A678" s="16" t="n">
        <v>675</v>
      </c>
      <c r="B678" s="17" t="inlineStr">
        <is>
          <t>1.6.8.33</t>
        </is>
      </c>
      <c r="C678" s="18" t="inlineStr">
        <is>
          <t>Part 1 – General &amp; Programme</t>
        </is>
      </c>
      <c r="D678" s="18" t="inlineStr">
        <is>
          <t>1.6 SYSTEMS DEVELOPMENT, INTEGRATION AND TESTING</t>
        </is>
      </c>
      <c r="E678" s="18" t="inlineStr">
        <is>
          <t>1.6.8 SOLUTIONS TESTING OVERVIEW</t>
        </is>
      </c>
      <c r="F678" s="18" t="inlineStr">
        <is>
          <t>As a prerequisite to Final System Acceptance Testing, the CONTRACTOR shall undertake and complete full commissioning and complete testing on the entire system.</t>
        </is>
      </c>
      <c r="G678" s="19" t="n"/>
      <c r="H678" s="20" t="n"/>
      <c r="I678" s="20" t="n"/>
      <c r="J678" s="19" t="n"/>
      <c r="K678" s="21" t="n"/>
      <c r="L678" s="22">
        <f>IF(OR(J678="",K678=""),"",J678*K678)</f>
        <v/>
      </c>
      <c r="M678" s="19" t="n"/>
      <c r="N678" s="20" t="n"/>
      <c r="O678" s="20" t="n"/>
    </row>
    <row r="679">
      <c r="A679" s="23" t="n">
        <v>676</v>
      </c>
      <c r="B679" s="24" t="inlineStr">
        <is>
          <t>1.6.8.34</t>
        </is>
      </c>
      <c r="C679" s="25" t="inlineStr">
        <is>
          <t>Part 1 – General &amp; Programme</t>
        </is>
      </c>
      <c r="D679" s="25" t="inlineStr">
        <is>
          <t>1.6 SYSTEMS DEVELOPMENT, INTEGRATION AND TESTING</t>
        </is>
      </c>
      <c r="E679" s="25" t="inlineStr">
        <is>
          <t>1.6.8 SOLUTIONS TESTING OVERVIEW</t>
        </is>
      </c>
      <c r="F679" s="25" t="inlineStr">
        <is>
          <t>The CONTRACTOR shall deliver an FSAT that incorporates testing of all systems for the whole enterprise, including full integration and functional testing of all dependent systems throughout the entire OSS911 network and associated sites covering all testing mentioned in this document.</t>
        </is>
      </c>
      <c r="G679" s="19" t="n"/>
      <c r="H679" s="20" t="n"/>
      <c r="I679" s="20" t="n"/>
      <c r="J679" s="19" t="n"/>
      <c r="K679" s="21" t="n"/>
      <c r="L679" s="22">
        <f>IF(OR(J679="",K679=""),"",J679*K679)</f>
        <v/>
      </c>
      <c r="M679" s="19" t="n"/>
      <c r="N679" s="20" t="n"/>
      <c r="O679" s="20" t="n"/>
    </row>
    <row r="680">
      <c r="A680" s="16" t="n">
        <v>677</v>
      </c>
      <c r="B680" s="17" t="inlineStr">
        <is>
          <t>1.6.9.1</t>
        </is>
      </c>
      <c r="C680" s="18" t="inlineStr">
        <is>
          <t>Part 1 – General &amp; Programme</t>
        </is>
      </c>
      <c r="D680" s="18" t="inlineStr">
        <is>
          <t>1.6 SYSTEMS DEVELOPMENT, INTEGRATION AND TESTING</t>
        </is>
      </c>
      <c r="E680" s="18" t="inlineStr">
        <is>
          <t>1.6.9 ENVIRONMENTS</t>
        </is>
      </c>
      <c r="F680" s="18" t="inlineStr">
        <is>
          <t>The CONTRACTOR is responsible to deliver to the MOI the following physically and logically isolated environments which shall be assessed for compliance as part of the preliminary acceptance testing and as part of the final system acceptance testing:</t>
        </is>
      </c>
      <c r="G680" s="19" t="n"/>
      <c r="H680" s="20" t="n"/>
      <c r="I680" s="20" t="n"/>
      <c r="J680" s="19" t="n"/>
      <c r="K680" s="21" t="n"/>
      <c r="L680" s="22">
        <f>IF(OR(J680="",K680=""),"",J680*K680)</f>
        <v/>
      </c>
      <c r="M680" s="19" t="n"/>
      <c r="N680" s="20" t="n"/>
      <c r="O680" s="20" t="n"/>
    </row>
    <row r="681">
      <c r="A681" s="23" t="n">
        <v>678</v>
      </c>
      <c r="B681" s="23" t="inlineStr">
        <is>
          <t>1.6.9.1.1</t>
        </is>
      </c>
      <c r="C681" s="25" t="inlineStr">
        <is>
          <t>Part 1 – General &amp; Programme</t>
        </is>
      </c>
      <c r="D681" s="25" t="inlineStr">
        <is>
          <t>1.6 SYSTEMS DEVELOPMENT, INTEGRATION AND TESTING</t>
        </is>
      </c>
      <c r="E681" s="25" t="inlineStr">
        <is>
          <t>1.6.9 ENVIRONMENTS</t>
        </is>
      </c>
      <c r="F681" s="25" t="inlineStr">
        <is>
          <t>Production environment</t>
        </is>
      </c>
      <c r="G681" s="19" t="n"/>
      <c r="H681" s="20" t="n"/>
      <c r="I681" s="20" t="n"/>
      <c r="J681" s="19" t="n"/>
      <c r="K681" s="21" t="n"/>
      <c r="L681" s="22">
        <f>IF(OR(J681="",K681=""),"",J681*K681)</f>
        <v/>
      </c>
      <c r="M681" s="19" t="n"/>
      <c r="N681" s="20" t="n"/>
      <c r="O681" s="20" t="n"/>
    </row>
    <row r="682">
      <c r="A682" s="16" t="n">
        <v>679</v>
      </c>
      <c r="B682" s="16" t="inlineStr">
        <is>
          <t>1.6.9.1.2</t>
        </is>
      </c>
      <c r="C682" s="18" t="inlineStr">
        <is>
          <t>Part 1 – General &amp; Programme</t>
        </is>
      </c>
      <c r="D682" s="18" t="inlineStr">
        <is>
          <t>1.6 SYSTEMS DEVELOPMENT, INTEGRATION AND TESTING</t>
        </is>
      </c>
      <c r="E682" s="18" t="inlineStr">
        <is>
          <t>1.6.9 ENVIRONMENTS</t>
        </is>
      </c>
      <c r="F682" s="18" t="inlineStr">
        <is>
          <t>Training environment</t>
        </is>
      </c>
      <c r="G682" s="19" t="n"/>
      <c r="H682" s="20" t="n"/>
      <c r="I682" s="20" t="n"/>
      <c r="J682" s="19" t="n"/>
      <c r="K682" s="21" t="n"/>
      <c r="L682" s="22">
        <f>IF(OR(J682="",K682=""),"",J682*K682)</f>
        <v/>
      </c>
      <c r="M682" s="19" t="n"/>
      <c r="N682" s="20" t="n"/>
      <c r="O682" s="20" t="n"/>
    </row>
    <row r="683">
      <c r="A683" s="23" t="n">
        <v>680</v>
      </c>
      <c r="B683" s="23" t="inlineStr">
        <is>
          <t>1.6.9.1.3</t>
        </is>
      </c>
      <c r="C683" s="25" t="inlineStr">
        <is>
          <t>Part 1 – General &amp; Programme</t>
        </is>
      </c>
      <c r="D683" s="25" t="inlineStr">
        <is>
          <t>1.6 SYSTEMS DEVELOPMENT, INTEGRATION AND TESTING</t>
        </is>
      </c>
      <c r="E683" s="25" t="inlineStr">
        <is>
          <t>1.6.9 ENVIRONMENTS</t>
        </is>
      </c>
      <c r="F683" s="25" t="inlineStr">
        <is>
          <t>Testing environment</t>
        </is>
      </c>
      <c r="G683" s="19" t="n"/>
      <c r="H683" s="20" t="n"/>
      <c r="I683" s="20" t="n"/>
      <c r="J683" s="19" t="n"/>
      <c r="K683" s="21" t="n"/>
      <c r="L683" s="22">
        <f>IF(OR(J683="",K683=""),"",J683*K683)</f>
        <v/>
      </c>
      <c r="M683" s="19" t="n"/>
      <c r="N683" s="20" t="n"/>
      <c r="O683" s="20" t="n"/>
    </row>
    <row r="684">
      <c r="A684" s="16" t="n">
        <v>681</v>
      </c>
      <c r="B684" s="17" t="inlineStr">
        <is>
          <t>1.6.9.2</t>
        </is>
      </c>
      <c r="C684" s="18" t="inlineStr">
        <is>
          <t>Part 1 – General &amp; Programme</t>
        </is>
      </c>
      <c r="D684" s="18" t="inlineStr">
        <is>
          <t>1.6 SYSTEMS DEVELOPMENT, INTEGRATION AND TESTING</t>
        </is>
      </c>
      <c r="E684" s="18" t="inlineStr">
        <is>
          <t>1.6.9 ENVIRONMENTS</t>
        </is>
      </c>
      <c r="F684" s="18" t="inlineStr">
        <is>
          <t>Testing environment:</t>
        </is>
      </c>
      <c r="G684" s="19" t="n"/>
      <c r="H684" s="20" t="n"/>
      <c r="I684" s="20" t="n"/>
      <c r="J684" s="19" t="n"/>
      <c r="K684" s="21" t="n"/>
      <c r="L684" s="22">
        <f>IF(OR(J684="",K684=""),"",J684*K684)</f>
        <v/>
      </c>
      <c r="M684" s="19" t="n"/>
      <c r="N684" s="20" t="n"/>
      <c r="O684" s="20" t="n"/>
    </row>
    <row r="685">
      <c r="A685" s="23" t="n">
        <v>682</v>
      </c>
      <c r="B685" s="23" t="inlineStr">
        <is>
          <t>1.6.9.2.1</t>
        </is>
      </c>
      <c r="C685" s="25" t="inlineStr">
        <is>
          <t>Part 1 – General &amp; Programme</t>
        </is>
      </c>
      <c r="D685" s="25" t="inlineStr">
        <is>
          <t>1.6 SYSTEMS DEVELOPMENT, INTEGRATION AND TESTING</t>
        </is>
      </c>
      <c r="E685" s="25" t="inlineStr">
        <is>
          <t>1.6.9 ENVIRONMENTS</t>
        </is>
      </c>
      <c r="F685" s="25" t="inlineStr">
        <is>
          <t>For the sake of testing, the CONTRACTOR shall provide an additional environment (systems, infrastructure, licenses, databases, network, cabling, Internet, circuits and any and all related components for all solutions within the OSS911 solution) within the OSS911 center for contractor testing and demonstration to MOI of new or maintenance releases of features and/or systems prior to their installation in the live/production and training environment.</t>
        </is>
      </c>
      <c r="G685" s="19" t="n"/>
      <c r="H685" s="20" t="n"/>
      <c r="I685" s="20" t="n"/>
      <c r="J685" s="19" t="n"/>
      <c r="K685" s="21" t="n"/>
      <c r="L685" s="22">
        <f>IF(OR(J685="",K685=""),"",J685*K685)</f>
        <v/>
      </c>
      <c r="M685" s="19" t="n"/>
      <c r="N685" s="20" t="n"/>
      <c r="O685" s="20" t="n"/>
    </row>
    <row r="686">
      <c r="A686" s="16" t="n">
        <v>683</v>
      </c>
      <c r="B686" s="16" t="inlineStr">
        <is>
          <t>1.6.9.2.2</t>
        </is>
      </c>
      <c r="C686" s="18" t="inlineStr">
        <is>
          <t>Part 1 – General &amp; Programme</t>
        </is>
      </c>
      <c r="D686" s="18" t="inlineStr">
        <is>
          <t>1.6 SYSTEMS DEVELOPMENT, INTEGRATION AND TESTING</t>
        </is>
      </c>
      <c r="E686" s="18" t="inlineStr">
        <is>
          <t>1.6.9 ENVIRONMENTS</t>
        </is>
      </c>
      <c r="F686" s="18" t="inlineStr">
        <is>
          <t>The components (size, quantity, licenses) and their sufficiency for a test environment depends on the BIDDER solution and the amount of testing necessary, and shall be provisioned accordingly by the CONTRACTOR.</t>
        </is>
      </c>
      <c r="G686" s="19" t="n"/>
      <c r="H686" s="20" t="n"/>
      <c r="I686" s="20" t="n"/>
      <c r="J686" s="19" t="n"/>
      <c r="K686" s="21" t="n"/>
      <c r="L686" s="22">
        <f>IF(OR(J686="",K686=""),"",J686*K686)</f>
        <v/>
      </c>
      <c r="M686" s="19" t="n"/>
      <c r="N686" s="20" t="n"/>
      <c r="O686" s="20" t="n"/>
    </row>
    <row r="687">
      <c r="A687" s="23" t="n">
        <v>684</v>
      </c>
      <c r="B687" s="23" t="inlineStr">
        <is>
          <t>1.6.9.2.3</t>
        </is>
      </c>
      <c r="C687" s="25" t="inlineStr">
        <is>
          <t>Part 1 – General &amp; Programme</t>
        </is>
      </c>
      <c r="D687" s="25" t="inlineStr">
        <is>
          <t>1.6 SYSTEMS DEVELOPMENT, INTEGRATION AND TESTING</t>
        </is>
      </c>
      <c r="E687" s="25" t="inlineStr">
        <is>
          <t>1.6.9 ENVIRONMENTS</t>
        </is>
      </c>
      <c r="F687" s="25" t="inlineStr">
        <is>
          <t>The CONTRACTOR shall deploy the Testing environment which shall be isolated from the production and training environments.</t>
        </is>
      </c>
      <c r="G687" s="19" t="n"/>
      <c r="H687" s="20" t="n"/>
      <c r="I687" s="20" t="n"/>
      <c r="J687" s="19" t="n"/>
      <c r="K687" s="21" t="n"/>
      <c r="L687" s="22">
        <f>IF(OR(J687="",K687=""),"",J687*K687)</f>
        <v/>
      </c>
      <c r="M687" s="19" t="n"/>
      <c r="N687" s="20" t="n"/>
      <c r="O687" s="20" t="n"/>
    </row>
    <row r="688">
      <c r="A688" s="16" t="n">
        <v>685</v>
      </c>
      <c r="B688" s="17" t="inlineStr">
        <is>
          <t>1.6.10.1</t>
        </is>
      </c>
      <c r="C688" s="18" t="inlineStr">
        <is>
          <t>Part 1 – General &amp; Programme</t>
        </is>
      </c>
      <c r="D688" s="18" t="inlineStr">
        <is>
          <t>1.6 SYSTEMS DEVELOPMENT, INTEGRATION AND TESTING</t>
        </is>
      </c>
      <c r="E688" s="18" t="inlineStr">
        <is>
          <t>1.6.10 TESTING AND ACCEPTANCE PROGRAM</t>
        </is>
      </c>
      <c r="F688" s="18" t="inlineStr">
        <is>
          <t>The CONTRACTOR shall develop a testing and acceptance program to allow the MOI to accept the OSS911 service capability.</t>
        </is>
      </c>
      <c r="G688" s="19" t="n"/>
      <c r="H688" s="20" t="n"/>
      <c r="I688" s="20" t="n"/>
      <c r="J688" s="19" t="n"/>
      <c r="K688" s="21" t="n"/>
      <c r="L688" s="22">
        <f>IF(OR(J688="",K688=""),"",J688*K688)</f>
        <v/>
      </c>
      <c r="M688" s="19" t="n"/>
      <c r="N688" s="20" t="n"/>
      <c r="O688" s="20" t="n"/>
    </row>
    <row r="689">
      <c r="A689" s="23" t="n">
        <v>686</v>
      </c>
      <c r="B689" s="24" t="inlineStr">
        <is>
          <t>1.6.10.2</t>
        </is>
      </c>
      <c r="C689" s="25" t="inlineStr">
        <is>
          <t>Part 1 – General &amp; Programme</t>
        </is>
      </c>
      <c r="D689" s="25" t="inlineStr">
        <is>
          <t>1.6 SYSTEMS DEVELOPMENT, INTEGRATION AND TESTING</t>
        </is>
      </c>
      <c r="E689" s="25" t="inlineStr">
        <is>
          <t>1.6.10 TESTING AND ACCEPTANCE PROGRAM</t>
        </is>
      </c>
      <c r="F689" s="25" t="inlineStr">
        <is>
          <t>This program shall be contained within the Integrated Acceptance Test Plan (IATP) to facilitate the acceptance and approval process by both the CONTRACTOR and the MOI</t>
        </is>
      </c>
      <c r="G689" s="19" t="n"/>
      <c r="H689" s="20" t="n"/>
      <c r="I689" s="20" t="n"/>
      <c r="J689" s="19" t="n"/>
      <c r="K689" s="21" t="n"/>
      <c r="L689" s="22">
        <f>IF(OR(J689="",K689=""),"",J689*K689)</f>
        <v/>
      </c>
      <c r="M689" s="19" t="n"/>
      <c r="N689" s="20" t="n"/>
      <c r="O689" s="20" t="n"/>
    </row>
    <row r="690">
      <c r="A690" s="16" t="n">
        <v>687</v>
      </c>
      <c r="B690" s="17" t="inlineStr">
        <is>
          <t>1.6.10.3</t>
        </is>
      </c>
      <c r="C690" s="18" t="inlineStr">
        <is>
          <t>Part 1 – General &amp; Programme</t>
        </is>
      </c>
      <c r="D690" s="18" t="inlineStr">
        <is>
          <t>1.6 SYSTEMS DEVELOPMENT, INTEGRATION AND TESTING</t>
        </is>
      </c>
      <c r="E690" s="18" t="inlineStr">
        <is>
          <t>1.6.10 TESTING AND ACCEPTANCE PROGRAM</t>
        </is>
      </c>
      <c r="F690" s="18" t="inlineStr">
        <is>
          <t>The IATP shall clearly indicate the differing levels of testing, ownership and responsibilities for the entire acceptance testing program.</t>
        </is>
      </c>
      <c r="G690" s="19" t="n"/>
      <c r="H690" s="20" t="n"/>
      <c r="I690" s="20" t="n"/>
      <c r="J690" s="19" t="n"/>
      <c r="K690" s="21" t="n"/>
      <c r="L690" s="22">
        <f>IF(OR(J690="",K690=""),"",J690*K690)</f>
        <v/>
      </c>
      <c r="M690" s="19" t="n"/>
      <c r="N690" s="20" t="n"/>
      <c r="O690" s="20" t="n"/>
    </row>
    <row r="691">
      <c r="A691" s="23" t="n">
        <v>688</v>
      </c>
      <c r="B691" s="24" t="inlineStr">
        <is>
          <t>1.6.10.4</t>
        </is>
      </c>
      <c r="C691" s="25" t="inlineStr">
        <is>
          <t>Part 1 – General &amp; Programme</t>
        </is>
      </c>
      <c r="D691" s="25" t="inlineStr">
        <is>
          <t>1.6 SYSTEMS DEVELOPMENT, INTEGRATION AND TESTING</t>
        </is>
      </c>
      <c r="E691" s="25" t="inlineStr">
        <is>
          <t>1.6.10 TESTING AND ACCEPTANCE PROGRAM</t>
        </is>
      </c>
      <c r="F691" s="25" t="inlineStr">
        <is>
          <t>The tool / software used for testing shall be part of the OSS911 applications delivered to MOI by the CONTRACTOR.</t>
        </is>
      </c>
      <c r="G691" s="19" t="n"/>
      <c r="H691" s="20" t="n"/>
      <c r="I691" s="20" t="n"/>
      <c r="J691" s="19" t="n"/>
      <c r="K691" s="21" t="n"/>
      <c r="L691" s="22">
        <f>IF(OR(J691="",K691=""),"",J691*K691)</f>
        <v/>
      </c>
      <c r="M691" s="19" t="n"/>
      <c r="N691" s="20" t="n"/>
      <c r="O691" s="20" t="n"/>
    </row>
    <row r="692">
      <c r="A692" s="16" t="n">
        <v>689</v>
      </c>
      <c r="B692" s="17" t="inlineStr">
        <is>
          <t>1.6.10.5</t>
        </is>
      </c>
      <c r="C692" s="18" t="inlineStr">
        <is>
          <t>Part 1 – General &amp; Programme</t>
        </is>
      </c>
      <c r="D692" s="18" t="inlineStr">
        <is>
          <t>1.6 SYSTEMS DEVELOPMENT, INTEGRATION AND TESTING</t>
        </is>
      </c>
      <c r="E692" s="18" t="inlineStr">
        <is>
          <t>1.6.10 TESTING AND ACCEPTANCE PROGRAM</t>
        </is>
      </c>
      <c r="F692" s="18" t="inlineStr">
        <is>
          <t>Each service capability release shall be subject to acceptance by the MOI following an acceptance testing plan developed and executed by the CONTRACTOR.</t>
        </is>
      </c>
      <c r="G692" s="19" t="n"/>
      <c r="H692" s="20" t="n"/>
      <c r="I692" s="20" t="n"/>
      <c r="J692" s="19" t="n"/>
      <c r="K692" s="21" t="n"/>
      <c r="L692" s="22">
        <f>IF(OR(J692="",K692=""),"",J692*K692)</f>
        <v/>
      </c>
      <c r="M692" s="19" t="n"/>
      <c r="N692" s="20" t="n"/>
      <c r="O692" s="20" t="n"/>
    </row>
    <row r="693">
      <c r="A693" s="23" t="n">
        <v>690</v>
      </c>
      <c r="B693" s="24" t="inlineStr">
        <is>
          <t>1.6.10.6</t>
        </is>
      </c>
      <c r="C693" s="25" t="inlineStr">
        <is>
          <t>Part 1 – General &amp; Programme</t>
        </is>
      </c>
      <c r="D693" s="25" t="inlineStr">
        <is>
          <t>1.6 SYSTEMS DEVELOPMENT, INTEGRATION AND TESTING</t>
        </is>
      </c>
      <c r="E693" s="25" t="inlineStr">
        <is>
          <t>1.6.10 TESTING AND ACCEPTANCE PROGRAM</t>
        </is>
      </c>
      <c r="F693" s="25" t="inlineStr">
        <is>
          <t>Following formal acceptance of a new release of software or system from the CONTRACTOR, the MOI reserves the right to perform their own testing and/or training prior to roll out into the operational environment.</t>
        </is>
      </c>
      <c r="G693" s="19" t="n"/>
      <c r="H693" s="20" t="n"/>
      <c r="I693" s="20" t="n"/>
      <c r="J693" s="19" t="n"/>
      <c r="K693" s="21" t="n"/>
      <c r="L693" s="22">
        <f>IF(OR(J693="",K693=""),"",J693*K693)</f>
        <v/>
      </c>
      <c r="M693" s="19" t="n"/>
      <c r="N693" s="20" t="n"/>
      <c r="O693" s="20" t="n"/>
    </row>
    <row r="694">
      <c r="A694" s="16" t="n">
        <v>691</v>
      </c>
      <c r="B694" s="17" t="inlineStr">
        <is>
          <t>1.6.10.7</t>
        </is>
      </c>
      <c r="C694" s="18" t="inlineStr">
        <is>
          <t>Part 1 – General &amp; Programme</t>
        </is>
      </c>
      <c r="D694" s="18" t="inlineStr">
        <is>
          <t>1.6 SYSTEMS DEVELOPMENT, INTEGRATION AND TESTING</t>
        </is>
      </c>
      <c r="E694" s="18" t="inlineStr">
        <is>
          <t>1.6.10 TESTING AND ACCEPTANCE PROGRAM</t>
        </is>
      </c>
      <c r="F694" s="18" t="inlineStr">
        <is>
          <t>The CONTRACTOR shall include, as a minimum, the following requirements within the IATP:</t>
        </is>
      </c>
      <c r="G694" s="19" t="n"/>
      <c r="H694" s="20" t="n"/>
      <c r="I694" s="20" t="n"/>
      <c r="J694" s="19" t="n"/>
      <c r="K694" s="21" t="n"/>
      <c r="L694" s="22">
        <f>IF(OR(J694="",K694=""),"",J694*K694)</f>
        <v/>
      </c>
      <c r="M694" s="19" t="n"/>
      <c r="N694" s="20" t="n"/>
      <c r="O694" s="20" t="n"/>
    </row>
    <row r="695">
      <c r="A695" s="23" t="n">
        <v>692</v>
      </c>
      <c r="B695" s="23" t="inlineStr">
        <is>
          <t>1.6.10.7.1</t>
        </is>
      </c>
      <c r="C695" s="25" t="inlineStr">
        <is>
          <t>Part 1 – General &amp; Programme</t>
        </is>
      </c>
      <c r="D695" s="25" t="inlineStr">
        <is>
          <t>1.6 SYSTEMS DEVELOPMENT, INTEGRATION AND TESTING</t>
        </is>
      </c>
      <c r="E695" s="25" t="inlineStr">
        <is>
          <t>1.6.10 TESTING AND ACCEPTANCE PROGRAM</t>
        </is>
      </c>
      <c r="F695" s="25" t="inlineStr">
        <is>
          <t>A Purpose Statement</t>
        </is>
      </c>
      <c r="G695" s="19" t="n"/>
      <c r="H695" s="20" t="n"/>
      <c r="I695" s="20" t="n"/>
      <c r="J695" s="19" t="n"/>
      <c r="K695" s="21" t="n"/>
      <c r="L695" s="22">
        <f>IF(OR(J695="",K695=""),"",J695*K695)</f>
        <v/>
      </c>
      <c r="M695" s="19" t="n"/>
      <c r="N695" s="20" t="n"/>
      <c r="O695" s="20" t="n"/>
    </row>
    <row r="696">
      <c r="A696" s="16" t="n">
        <v>693</v>
      </c>
      <c r="B696" s="16" t="inlineStr">
        <is>
          <t>1.6.10.7.2</t>
        </is>
      </c>
      <c r="C696" s="18" t="inlineStr">
        <is>
          <t>Part 1 – General &amp; Programme</t>
        </is>
      </c>
      <c r="D696" s="18" t="inlineStr">
        <is>
          <t>1.6 SYSTEMS DEVELOPMENT, INTEGRATION AND TESTING</t>
        </is>
      </c>
      <c r="E696" s="18" t="inlineStr">
        <is>
          <t>1.6.10 TESTING AND ACCEPTANCE PROGRAM</t>
        </is>
      </c>
      <c r="F696" s="18" t="inlineStr">
        <is>
          <t>Statement of Scope</t>
        </is>
      </c>
      <c r="G696" s="19" t="n"/>
      <c r="H696" s="20" t="n"/>
      <c r="I696" s="20" t="n"/>
      <c r="J696" s="19" t="n"/>
      <c r="K696" s="21" t="n"/>
      <c r="L696" s="22">
        <f>IF(OR(J696="",K696=""),"",J696*K696)</f>
        <v/>
      </c>
      <c r="M696" s="19" t="n"/>
      <c r="N696" s="20" t="n"/>
      <c r="O696" s="20" t="n"/>
    </row>
    <row r="697">
      <c r="A697" s="23" t="n">
        <v>694</v>
      </c>
      <c r="B697" s="23" t="inlineStr">
        <is>
          <t>1.6.10.7.3</t>
        </is>
      </c>
      <c r="C697" s="25" t="inlineStr">
        <is>
          <t>Part 1 – General &amp; Programme</t>
        </is>
      </c>
      <c r="D697" s="25" t="inlineStr">
        <is>
          <t>1.6 SYSTEMS DEVELOPMENT, INTEGRATION AND TESTING</t>
        </is>
      </c>
      <c r="E697" s="25" t="inlineStr">
        <is>
          <t>1.6.10 TESTING AND ACCEPTANCE PROGRAM</t>
        </is>
      </c>
      <c r="F697" s="25" t="inlineStr">
        <is>
          <t>Location(s) where the test will be performed</t>
        </is>
      </c>
      <c r="G697" s="19" t="n"/>
      <c r="H697" s="20" t="n"/>
      <c r="I697" s="20" t="n"/>
      <c r="J697" s="19" t="n"/>
      <c r="K697" s="21" t="n"/>
      <c r="L697" s="22">
        <f>IF(OR(J697="",K697=""),"",J697*K697)</f>
        <v/>
      </c>
      <c r="M697" s="19" t="n"/>
      <c r="N697" s="20" t="n"/>
      <c r="O697" s="20" t="n"/>
    </row>
    <row r="698">
      <c r="A698" s="16" t="n">
        <v>695</v>
      </c>
      <c r="B698" s="16" t="inlineStr">
        <is>
          <t>1.6.10.7.4</t>
        </is>
      </c>
      <c r="C698" s="18" t="inlineStr">
        <is>
          <t>Part 1 – General &amp; Programme</t>
        </is>
      </c>
      <c r="D698" s="18" t="inlineStr">
        <is>
          <t>1.6 SYSTEMS DEVELOPMENT, INTEGRATION AND TESTING</t>
        </is>
      </c>
      <c r="E698" s="18" t="inlineStr">
        <is>
          <t>1.6.10 TESTING AND ACCEPTANCE PROGRAM</t>
        </is>
      </c>
      <c r="F698" s="18" t="inlineStr">
        <is>
          <t>Schedule of Activities</t>
        </is>
      </c>
      <c r="G698" s="19" t="n"/>
      <c r="H698" s="20" t="n"/>
      <c r="I698" s="20" t="n"/>
      <c r="J698" s="19" t="n"/>
      <c r="K698" s="21" t="n"/>
      <c r="L698" s="22">
        <f>IF(OR(J698="",K698=""),"",J698*K698)</f>
        <v/>
      </c>
      <c r="M698" s="19" t="n"/>
      <c r="N698" s="20" t="n"/>
      <c r="O698" s="20" t="n"/>
    </row>
    <row r="699">
      <c r="A699" s="23" t="n">
        <v>696</v>
      </c>
      <c r="B699" s="23" t="inlineStr">
        <is>
          <t>1.6.10.7.5</t>
        </is>
      </c>
      <c r="C699" s="25" t="inlineStr">
        <is>
          <t>Part 1 – General &amp; Programme</t>
        </is>
      </c>
      <c r="D699" s="25" t="inlineStr">
        <is>
          <t>1.6 SYSTEMS DEVELOPMENT, INTEGRATION AND TESTING</t>
        </is>
      </c>
      <c r="E699" s="25" t="inlineStr">
        <is>
          <t>1.6.10 TESTING AND ACCEPTANCE PROGRAM</t>
        </is>
      </c>
      <c r="F699" s="25" t="inlineStr">
        <is>
          <t>Safety and Security statements (as appropriate)</t>
        </is>
      </c>
      <c r="G699" s="19" t="n"/>
      <c r="H699" s="20" t="n"/>
      <c r="I699" s="20" t="n"/>
      <c r="J699" s="19" t="n"/>
      <c r="K699" s="21" t="n"/>
      <c r="L699" s="22">
        <f>IF(OR(J699="",K699=""),"",J699*K699)</f>
        <v/>
      </c>
      <c r="M699" s="19" t="n"/>
      <c r="N699" s="20" t="n"/>
      <c r="O699" s="20" t="n"/>
    </row>
    <row r="700">
      <c r="A700" s="16" t="n">
        <v>697</v>
      </c>
      <c r="B700" s="16" t="inlineStr">
        <is>
          <t>1.6.10.7.6</t>
        </is>
      </c>
      <c r="C700" s="18" t="inlineStr">
        <is>
          <t>Part 1 – General &amp; Programme</t>
        </is>
      </c>
      <c r="D700" s="18" t="inlineStr">
        <is>
          <t>1.6 SYSTEMS DEVELOPMENT, INTEGRATION AND TESTING</t>
        </is>
      </c>
      <c r="E700" s="18" t="inlineStr">
        <is>
          <t>1.6.10 TESTING AND ACCEPTANCE PROGRAM</t>
        </is>
      </c>
      <c r="F700" s="18" t="inlineStr">
        <is>
          <t>Roles and responsibilities</t>
        </is>
      </c>
      <c r="G700" s="19" t="n"/>
      <c r="H700" s="20" t="n"/>
      <c r="I700" s="20" t="n"/>
      <c r="J700" s="19" t="n"/>
      <c r="K700" s="21" t="n"/>
      <c r="L700" s="22">
        <f>IF(OR(J700="",K700=""),"",J700*K700)</f>
        <v/>
      </c>
      <c r="M700" s="19" t="n"/>
      <c r="N700" s="20" t="n"/>
      <c r="O700" s="20" t="n"/>
    </row>
    <row r="701">
      <c r="A701" s="23" t="n">
        <v>698</v>
      </c>
      <c r="B701" s="23" t="inlineStr">
        <is>
          <t>1.6.10.7.7</t>
        </is>
      </c>
      <c r="C701" s="25" t="inlineStr">
        <is>
          <t>Part 1 – General &amp; Programme</t>
        </is>
      </c>
      <c r="D701" s="25" t="inlineStr">
        <is>
          <t>1.6 SYSTEMS DEVELOPMENT, INTEGRATION AND TESTING</t>
        </is>
      </c>
      <c r="E701" s="25" t="inlineStr">
        <is>
          <t>1.6.10 TESTING AND ACCEPTANCE PROGRAM</t>
        </is>
      </c>
      <c r="F701" s="25" t="inlineStr">
        <is>
          <t>Acceptance Checklist</t>
        </is>
      </c>
      <c r="G701" s="19" t="n"/>
      <c r="H701" s="20" t="n"/>
      <c r="I701" s="20" t="n"/>
      <c r="J701" s="19" t="n"/>
      <c r="K701" s="21" t="n"/>
      <c r="L701" s="22">
        <f>IF(OR(J701="",K701=""),"",J701*K701)</f>
        <v/>
      </c>
      <c r="M701" s="19" t="n"/>
      <c r="N701" s="20" t="n"/>
      <c r="O701" s="20" t="n"/>
    </row>
    <row r="702">
      <c r="A702" s="16" t="n">
        <v>699</v>
      </c>
      <c r="B702" s="16" t="inlineStr">
        <is>
          <t>1.6.10.7.8</t>
        </is>
      </c>
      <c r="C702" s="18" t="inlineStr">
        <is>
          <t>Part 1 – General &amp; Programme</t>
        </is>
      </c>
      <c r="D702" s="18" t="inlineStr">
        <is>
          <t>1.6 SYSTEMS DEVELOPMENT, INTEGRATION AND TESTING</t>
        </is>
      </c>
      <c r="E702" s="18" t="inlineStr">
        <is>
          <t>1.6.10 TESTING AND ACCEPTANCE PROGRAM</t>
        </is>
      </c>
      <c r="F702" s="18" t="inlineStr">
        <is>
          <t>Test Procedures, Scripts and Test Cases</t>
        </is>
      </c>
      <c r="G702" s="19" t="n"/>
      <c r="H702" s="20" t="n"/>
      <c r="I702" s="20" t="n"/>
      <c r="J702" s="19" t="n"/>
      <c r="K702" s="21" t="n"/>
      <c r="L702" s="22">
        <f>IF(OR(J702="",K702=""),"",J702*K702)</f>
        <v/>
      </c>
      <c r="M702" s="19" t="n"/>
      <c r="N702" s="20" t="n"/>
      <c r="O702" s="20" t="n"/>
    </row>
    <row r="703">
      <c r="A703" s="23" t="n">
        <v>700</v>
      </c>
      <c r="B703" s="23" t="inlineStr">
        <is>
          <t>1.6.10.7.9</t>
        </is>
      </c>
      <c r="C703" s="25" t="inlineStr">
        <is>
          <t>Part 1 – General &amp; Programme</t>
        </is>
      </c>
      <c r="D703" s="25" t="inlineStr">
        <is>
          <t>1.6 SYSTEMS DEVELOPMENT, INTEGRATION AND TESTING</t>
        </is>
      </c>
      <c r="E703" s="25" t="inlineStr">
        <is>
          <t>1.6.10 TESTING AND ACCEPTANCE PROGRAM</t>
        </is>
      </c>
      <c r="F703" s="25" t="inlineStr">
        <is>
          <t>Identify measurement and control procedures, test instruments, and supporting equipment required to support tests</t>
        </is>
      </c>
      <c r="G703" s="19" t="n"/>
      <c r="H703" s="20" t="n"/>
      <c r="I703" s="20" t="n"/>
      <c r="J703" s="19" t="n"/>
      <c r="K703" s="21" t="n"/>
      <c r="L703" s="22">
        <f>IF(OR(J703="",K703=""),"",J703*K703)</f>
        <v/>
      </c>
      <c r="M703" s="19" t="n"/>
      <c r="N703" s="20" t="n"/>
      <c r="O703" s="20" t="n"/>
    </row>
    <row r="704">
      <c r="A704" s="16" t="n">
        <v>701</v>
      </c>
      <c r="B704" s="16" t="inlineStr">
        <is>
          <t>1.6.10.7.10</t>
        </is>
      </c>
      <c r="C704" s="18" t="inlineStr">
        <is>
          <t>Part 1 – General &amp; Programme</t>
        </is>
      </c>
      <c r="D704" s="18" t="inlineStr">
        <is>
          <t>1.6 SYSTEMS DEVELOPMENT, INTEGRATION AND TESTING</t>
        </is>
      </c>
      <c r="E704" s="18" t="inlineStr">
        <is>
          <t>1.6.10 TESTING AND ACCEPTANCE PROGRAM</t>
        </is>
      </c>
      <c r="F704" s="18" t="inlineStr">
        <is>
          <t>Retest Procedures containing a statement of what actions will be taken in the case of failure or need for retesting</t>
        </is>
      </c>
      <c r="G704" s="19" t="n"/>
      <c r="H704" s="20" t="n"/>
      <c r="I704" s="20" t="n"/>
      <c r="J704" s="19" t="n"/>
      <c r="K704" s="21" t="n"/>
      <c r="L704" s="22">
        <f>IF(OR(J704="",K704=""),"",J704*K704)</f>
        <v/>
      </c>
      <c r="M704" s="19" t="n"/>
      <c r="N704" s="20" t="n"/>
      <c r="O704" s="20" t="n"/>
    </row>
    <row r="705">
      <c r="A705" s="23" t="n">
        <v>702</v>
      </c>
      <c r="B705" s="23" t="inlineStr">
        <is>
          <t>1.6.10.7.11</t>
        </is>
      </c>
      <c r="C705" s="25" t="inlineStr">
        <is>
          <t>Part 1 – General &amp; Programme</t>
        </is>
      </c>
      <c r="D705" s="25" t="inlineStr">
        <is>
          <t>1.6 SYSTEMS DEVELOPMENT, INTEGRATION AND TESTING</t>
        </is>
      </c>
      <c r="E705" s="25" t="inlineStr">
        <is>
          <t>1.6.10 TESTING AND ACCEPTANCE PROGRAM</t>
        </is>
      </c>
      <c r="F705" s="25" t="inlineStr">
        <is>
          <t>Documentation</t>
        </is>
      </c>
      <c r="G705" s="19" t="n"/>
      <c r="H705" s="20" t="n"/>
      <c r="I705" s="20" t="n"/>
      <c r="J705" s="19" t="n"/>
      <c r="K705" s="21" t="n"/>
      <c r="L705" s="22">
        <f>IF(OR(J705="",K705=""),"",J705*K705)</f>
        <v/>
      </c>
      <c r="M705" s="19" t="n"/>
      <c r="N705" s="20" t="n"/>
      <c r="O705" s="20" t="n"/>
    </row>
    <row r="706">
      <c r="A706" s="16" t="n">
        <v>703</v>
      </c>
      <c r="B706" s="16" t="inlineStr">
        <is>
          <t>1.6.10.7.12</t>
        </is>
      </c>
      <c r="C706" s="18" t="inlineStr">
        <is>
          <t>Part 1 – General &amp; Programme</t>
        </is>
      </c>
      <c r="D706" s="18" t="inlineStr">
        <is>
          <t>1.6 SYSTEMS DEVELOPMENT, INTEGRATION AND TESTING</t>
        </is>
      </c>
      <c r="E706" s="18" t="inlineStr">
        <is>
          <t>1.6.10 TESTING AND ACCEPTANCE PROGRAM</t>
        </is>
      </c>
      <c r="F706" s="18" t="inlineStr">
        <is>
          <t>Standards</t>
        </is>
      </c>
      <c r="G706" s="19" t="n"/>
      <c r="H706" s="20" t="n"/>
      <c r="I706" s="20" t="n"/>
      <c r="J706" s="19" t="n"/>
      <c r="K706" s="21" t="n"/>
      <c r="L706" s="22">
        <f>IF(OR(J706="",K706=""),"",J706*K706)</f>
        <v/>
      </c>
      <c r="M706" s="19" t="n"/>
      <c r="N706" s="20" t="n"/>
      <c r="O706" s="20" t="n"/>
    </row>
    <row r="707">
      <c r="A707" s="23" t="n">
        <v>704</v>
      </c>
      <c r="B707" s="23" t="inlineStr">
        <is>
          <t>1.6.10.7.13</t>
        </is>
      </c>
      <c r="C707" s="25" t="inlineStr">
        <is>
          <t>Part 1 – General &amp; Programme</t>
        </is>
      </c>
      <c r="D707" s="25" t="inlineStr">
        <is>
          <t>1.6 SYSTEMS DEVELOPMENT, INTEGRATION AND TESTING</t>
        </is>
      </c>
      <c r="E707" s="25" t="inlineStr">
        <is>
          <t>1.6.10 TESTING AND ACCEPTANCE PROGRAM</t>
        </is>
      </c>
      <c r="F707" s="25" t="inlineStr">
        <is>
          <t>Compliance Certificates</t>
        </is>
      </c>
      <c r="G707" s="19" t="n"/>
      <c r="H707" s="20" t="n"/>
      <c r="I707" s="20" t="n"/>
      <c r="J707" s="19" t="n"/>
      <c r="K707" s="21" t="n"/>
      <c r="L707" s="22">
        <f>IF(OR(J707="",K707=""),"",J707*K707)</f>
        <v/>
      </c>
      <c r="M707" s="19" t="n"/>
      <c r="N707" s="20" t="n"/>
      <c r="O707" s="20" t="n"/>
    </row>
    <row r="708">
      <c r="A708" s="16" t="n">
        <v>705</v>
      </c>
      <c r="B708" s="16" t="inlineStr">
        <is>
          <t>1.6.10.7.14</t>
        </is>
      </c>
      <c r="C708" s="18" t="inlineStr">
        <is>
          <t>Part 1 – General &amp; Programme</t>
        </is>
      </c>
      <c r="D708" s="18" t="inlineStr">
        <is>
          <t>1.6 SYSTEMS DEVELOPMENT, INTEGRATION AND TESTING</t>
        </is>
      </c>
      <c r="E708" s="18" t="inlineStr">
        <is>
          <t>1.6.10 TESTING AND ACCEPTANCE PROGRAM</t>
        </is>
      </c>
      <c r="F708" s="18" t="inlineStr">
        <is>
          <t>Test results and reports format(s)</t>
        </is>
      </c>
      <c r="G708" s="19" t="n"/>
      <c r="H708" s="20" t="n"/>
      <c r="I708" s="20" t="n"/>
      <c r="J708" s="19" t="n"/>
      <c r="K708" s="21" t="n"/>
      <c r="L708" s="22">
        <f>IF(OR(J708="",K708=""),"",J708*K708)</f>
        <v/>
      </c>
      <c r="M708" s="19" t="n"/>
      <c r="N708" s="20" t="n"/>
      <c r="O708" s="20" t="n"/>
    </row>
    <row r="709">
      <c r="A709" s="23" t="n">
        <v>706</v>
      </c>
      <c r="B709" s="24" t="inlineStr">
        <is>
          <t>1.6.10.8</t>
        </is>
      </c>
      <c r="C709" s="25" t="inlineStr">
        <is>
          <t>Part 1 – General &amp; Programme</t>
        </is>
      </c>
      <c r="D709" s="25" t="inlineStr">
        <is>
          <t>1.6 SYSTEMS DEVELOPMENT, INTEGRATION AND TESTING</t>
        </is>
      </c>
      <c r="E709" s="25" t="inlineStr">
        <is>
          <t>1.6.10 TESTING AND ACCEPTANCE PROGRAM</t>
        </is>
      </c>
      <c r="F709" s="25" t="inlineStr">
        <is>
          <t>Provide how the test results will be interpreted and compared with performance requirements within RFP</t>
        </is>
      </c>
      <c r="G709" s="19" t="n"/>
      <c r="H709" s="20" t="n"/>
      <c r="I709" s="20" t="n"/>
      <c r="J709" s="19" t="n"/>
      <c r="K709" s="21" t="n"/>
      <c r="L709" s="22">
        <f>IF(OR(J709="",K709=""),"",J709*K709)</f>
        <v/>
      </c>
      <c r="M709" s="19" t="n"/>
      <c r="N709" s="20" t="n"/>
      <c r="O709" s="20" t="n"/>
    </row>
    <row r="710">
      <c r="A710" s="16" t="n">
        <v>707</v>
      </c>
      <c r="B710" s="17" t="inlineStr">
        <is>
          <t>1.6.10.9</t>
        </is>
      </c>
      <c r="C710" s="18" t="inlineStr">
        <is>
          <t>Part 1 – General &amp; Programme</t>
        </is>
      </c>
      <c r="D710" s="18" t="inlineStr">
        <is>
          <t>1.6 SYSTEMS DEVELOPMENT, INTEGRATION AND TESTING</t>
        </is>
      </c>
      <c r="E710" s="18" t="inlineStr">
        <is>
          <t>1.6.10 TESTING AND ACCEPTANCE PROGRAM</t>
        </is>
      </c>
      <c r="F710" s="18" t="inlineStr">
        <is>
          <t>The CONTRACTOR shall develop a reporting process that categorizes problems, faults and issues that arise during acceptance testing in a priority order depending on the severity of the anomaly and lists the steps necessary to be taken before further testing can be conducted (Irregularity Reports).</t>
        </is>
      </c>
      <c r="G710" s="19" t="n"/>
      <c r="H710" s="20" t="n"/>
      <c r="I710" s="20" t="n"/>
      <c r="J710" s="19" t="n"/>
      <c r="K710" s="21" t="n"/>
      <c r="L710" s="22">
        <f>IF(OR(J710="",K710=""),"",J710*K710)</f>
        <v/>
      </c>
      <c r="M710" s="19" t="n"/>
      <c r="N710" s="20" t="n"/>
      <c r="O710" s="20" t="n"/>
    </row>
    <row r="711">
      <c r="A711" s="23" t="n">
        <v>708</v>
      </c>
      <c r="B711" s="24" t="inlineStr">
        <is>
          <t>1.6.10.10</t>
        </is>
      </c>
      <c r="C711" s="25" t="inlineStr">
        <is>
          <t>Part 1 – General &amp; Programme</t>
        </is>
      </c>
      <c r="D711" s="25" t="inlineStr">
        <is>
          <t>1.6 SYSTEMS DEVELOPMENT, INTEGRATION AND TESTING</t>
        </is>
      </c>
      <c r="E711" s="25" t="inlineStr">
        <is>
          <t>1.6.10 TESTING AND ACCEPTANCE PROGRAM</t>
        </is>
      </c>
      <c r="F711" s="25" t="inlineStr">
        <is>
          <t>Acceptance criteria based on the quantity and nature of the Irregularity Reports shall be developed and agreed between the CONTRACTOR and the MOI.</t>
        </is>
      </c>
      <c r="G711" s="19" t="n"/>
      <c r="H711" s="20" t="n"/>
      <c r="I711" s="20" t="n"/>
      <c r="J711" s="19" t="n"/>
      <c r="K711" s="21" t="n"/>
      <c r="L711" s="22">
        <f>IF(OR(J711="",K711=""),"",J711*K711)</f>
        <v/>
      </c>
      <c r="M711" s="19" t="n"/>
      <c r="N711" s="20" t="n"/>
      <c r="O711" s="20" t="n"/>
    </row>
    <row r="712">
      <c r="A712" s="16" t="n">
        <v>709</v>
      </c>
      <c r="B712" s="17" t="inlineStr">
        <is>
          <t>1.6.10.11</t>
        </is>
      </c>
      <c r="C712" s="18" t="inlineStr">
        <is>
          <t>Part 1 – General &amp; Programme</t>
        </is>
      </c>
      <c r="D712" s="18" t="inlineStr">
        <is>
          <t>1.6 SYSTEMS DEVELOPMENT, INTEGRATION AND TESTING</t>
        </is>
      </c>
      <c r="E712" s="18" t="inlineStr">
        <is>
          <t>1.6.10 TESTING AND ACCEPTANCE PROGRAM</t>
        </is>
      </c>
      <c r="F712" s="18" t="inlineStr">
        <is>
          <t>Where an acceptance test fails, the CONTRACTOR shall assess the impact of the failures, propose a resolution plan to be agreed with the MOI and then implement the fixes to the irregularities that need fixing prior to the next release.</t>
        </is>
      </c>
      <c r="G712" s="19" t="n"/>
      <c r="H712" s="20" t="n"/>
      <c r="I712" s="20" t="n"/>
      <c r="J712" s="19" t="n"/>
      <c r="K712" s="21" t="n"/>
      <c r="L712" s="22">
        <f>IF(OR(J712="",K712=""),"",J712*K712)</f>
        <v/>
      </c>
      <c r="M712" s="19" t="n"/>
      <c r="N712" s="20" t="n"/>
      <c r="O712" s="20" t="n"/>
    </row>
    <row r="713">
      <c r="A713" s="23" t="n">
        <v>710</v>
      </c>
      <c r="B713" s="24" t="inlineStr">
        <is>
          <t>1.6.10.12</t>
        </is>
      </c>
      <c r="C713" s="25" t="inlineStr">
        <is>
          <t>Part 1 – General &amp; Programme</t>
        </is>
      </c>
      <c r="D713" s="25" t="inlineStr">
        <is>
          <t>1.6 SYSTEMS DEVELOPMENT, INTEGRATION AND TESTING</t>
        </is>
      </c>
      <c r="E713" s="25" t="inlineStr">
        <is>
          <t>1.6.10 TESTING AND ACCEPTANCE PROGRAM</t>
        </is>
      </c>
      <c r="F713" s="25" t="inlineStr">
        <is>
          <t>Further to the CONTRACTOR implementing fixes to any irregularities that need fixing in relation to a system that previously failed, the CONTRACTOR shall be obliged to perform the tests agreed with the MOI in the resolution plan.</t>
        </is>
      </c>
      <c r="G713" s="19" t="n"/>
      <c r="H713" s="20" t="n"/>
      <c r="I713" s="20" t="n"/>
      <c r="J713" s="19" t="n"/>
      <c r="K713" s="21" t="n"/>
      <c r="L713" s="22">
        <f>IF(OR(J713="",K713=""),"",J713*K713)</f>
        <v/>
      </c>
      <c r="M713" s="19" t="n"/>
      <c r="N713" s="20" t="n"/>
      <c r="O713" s="20" t="n"/>
    </row>
    <row r="714">
      <c r="A714" s="16" t="n">
        <v>711</v>
      </c>
      <c r="B714" s="17" t="inlineStr">
        <is>
          <t>1.7.1.1</t>
        </is>
      </c>
      <c r="C714" s="18" t="inlineStr">
        <is>
          <t>Part 1 – General &amp; Programme</t>
        </is>
      </c>
      <c r="D714" s="18" t="inlineStr">
        <is>
          <t>1.7 TRAINING</t>
        </is>
      </c>
      <c r="E714" s="18" t="inlineStr">
        <is>
          <t>1.7.1 TRAINING REQUIREMENT OVERVIEW</t>
        </is>
      </c>
      <c r="F714" s="18" t="inlineStr">
        <is>
          <t>The CONTRACTOR shall implement all requirements in this section with the understanding that:</t>
        </is>
      </c>
      <c r="G714" s="19" t="n"/>
      <c r="H714" s="20" t="n"/>
      <c r="I714" s="20" t="n"/>
      <c r="J714" s="19" t="n"/>
      <c r="K714" s="21" t="n"/>
      <c r="L714" s="22">
        <f>IF(OR(J714="",K714=""),"",J714*K714)</f>
        <v/>
      </c>
      <c r="M714" s="19" t="n"/>
      <c r="N714" s="20" t="n"/>
      <c r="O714" s="20" t="n"/>
    </row>
    <row r="715">
      <c r="A715" s="23" t="n">
        <v>712</v>
      </c>
      <c r="B715" s="23" t="inlineStr">
        <is>
          <t>1.7.1.1.1</t>
        </is>
      </c>
      <c r="C715" s="25" t="inlineStr">
        <is>
          <t>Part 1 – General &amp; Programme</t>
        </is>
      </c>
      <c r="D715" s="25" t="inlineStr">
        <is>
          <t>1.7 TRAINING</t>
        </is>
      </c>
      <c r="E715" s="25" t="inlineStr">
        <is>
          <t>1.7.1 TRAINING REQUIREMENT OVERVIEW</t>
        </is>
      </c>
      <c r="F715" s="25" t="inlineStr">
        <is>
          <t>Unless otherwise explicitly stated, the phrase “OSS911 center” refers to OSS911 centers in each of the provinces that are included in the scope of this contract.</t>
        </is>
      </c>
      <c r="G715" s="19" t="n"/>
      <c r="H715" s="20" t="n"/>
      <c r="I715" s="20" t="n"/>
      <c r="J715" s="19" t="n"/>
      <c r="K715" s="21" t="n"/>
      <c r="L715" s="22">
        <f>IF(OR(J715="",K715=""),"",J715*K715)</f>
        <v/>
      </c>
      <c r="M715" s="19" t="n"/>
      <c r="N715" s="20" t="n"/>
      <c r="O715" s="20" t="n"/>
    </row>
    <row r="716">
      <c r="A716" s="16" t="n">
        <v>713</v>
      </c>
      <c r="B716" s="16" t="inlineStr">
        <is>
          <t>1.7.1.1.2</t>
        </is>
      </c>
      <c r="C716" s="18" t="inlineStr">
        <is>
          <t>Part 1 – General &amp; Programme</t>
        </is>
      </c>
      <c r="D716" s="18" t="inlineStr">
        <is>
          <t>1.7 TRAINING</t>
        </is>
      </c>
      <c r="E716" s="18" t="inlineStr">
        <is>
          <t>1.7.1 TRAINING REQUIREMENT OVERVIEW</t>
        </is>
      </c>
      <c r="F716" s="18" t="inlineStr">
        <is>
          <t>Unless otherwise explicitly stated, the phrases “OSS911 solution” or “OSS911 systems” or “OSS911 subsystems” refer to all the OSS911 systems being delivered by the CONTRACTOR as part of this contract.</t>
        </is>
      </c>
      <c r="G716" s="19" t="n"/>
      <c r="H716" s="20" t="n"/>
      <c r="I716" s="20" t="n"/>
      <c r="J716" s="19" t="n"/>
      <c r="K716" s="21" t="n"/>
      <c r="L716" s="22">
        <f>IF(OR(J716="",K716=""),"",J716*K716)</f>
        <v/>
      </c>
      <c r="M716" s="19" t="n"/>
      <c r="N716" s="20" t="n"/>
      <c r="O716" s="20" t="n"/>
    </row>
    <row r="717">
      <c r="A717" s="23" t="n">
        <v>714</v>
      </c>
      <c r="B717" s="23" t="inlineStr">
        <is>
          <t>1.7.1.1.3</t>
        </is>
      </c>
      <c r="C717" s="25" t="inlineStr">
        <is>
          <t>Part 1 – General &amp; Programme</t>
        </is>
      </c>
      <c r="D717" s="25" t="inlineStr">
        <is>
          <t>1.7 TRAINING</t>
        </is>
      </c>
      <c r="E717" s="25" t="inlineStr">
        <is>
          <t>1.7.1 TRAINING REQUIREMENT OVERVIEW</t>
        </is>
      </c>
      <c r="F717" s="25" t="inlineStr">
        <is>
          <t>Unless otherwise explicitly stated, the word “data” in this document includes all types of data including voice, text, video and SMS.</t>
        </is>
      </c>
      <c r="G717" s="19" t="n"/>
      <c r="H717" s="20" t="n"/>
      <c r="I717" s="20" t="n"/>
      <c r="J717" s="19" t="n"/>
      <c r="K717" s="21" t="n"/>
      <c r="L717" s="22">
        <f>IF(OR(J717="",K717=""),"",J717*K717)</f>
        <v/>
      </c>
      <c r="M717" s="19" t="n"/>
      <c r="N717" s="20" t="n"/>
      <c r="O717" s="20" t="n"/>
    </row>
    <row r="718">
      <c r="A718" s="16" t="n">
        <v>715</v>
      </c>
      <c r="B718" s="17" t="inlineStr">
        <is>
          <t>1.7.1.2</t>
        </is>
      </c>
      <c r="C718" s="18" t="inlineStr">
        <is>
          <t>Part 1 – General &amp; Programme</t>
        </is>
      </c>
      <c r="D718" s="18" t="inlineStr">
        <is>
          <t>1.7 TRAINING</t>
        </is>
      </c>
      <c r="E718" s="18" t="inlineStr">
        <is>
          <t>1.7.1 TRAINING REQUIREMENT OVERVIEW</t>
        </is>
      </c>
      <c r="F718" s="18" t="inlineStr">
        <is>
          <t>The CONTRACTOR shall deliver all the requirements of this section that are fully compliant to the concept of operations requirements stated in this RFP.</t>
        </is>
      </c>
      <c r="G718" s="19" t="n"/>
      <c r="H718" s="20" t="n"/>
      <c r="I718" s="20" t="n"/>
      <c r="J718" s="19" t="n"/>
      <c r="K718" s="21" t="n"/>
      <c r="L718" s="22">
        <f>IF(OR(J718="",K718=""),"",J718*K718)</f>
        <v/>
      </c>
      <c r="M718" s="19" t="n"/>
      <c r="N718" s="20" t="n"/>
      <c r="O718" s="20" t="n"/>
    </row>
    <row r="719">
      <c r="A719" s="23" t="n">
        <v>716</v>
      </c>
      <c r="B719" s="24" t="inlineStr">
        <is>
          <t>1.7.1.3</t>
        </is>
      </c>
      <c r="C719" s="25" t="inlineStr">
        <is>
          <t>Part 1 – General &amp; Programme</t>
        </is>
      </c>
      <c r="D719" s="25" t="inlineStr">
        <is>
          <t>1.7 TRAINING</t>
        </is>
      </c>
      <c r="E719" s="25" t="inlineStr">
        <is>
          <t>1.7.1 TRAINING REQUIREMENT OVERVIEW</t>
        </is>
      </c>
      <c r="F719" s="25" t="inlineStr">
        <is>
          <t>The CONTRACTOR shall, as a minimum, shall deliver training for all roles listed in Appendix -07 (operational roles).</t>
        </is>
      </c>
      <c r="G719" s="19" t="n"/>
      <c r="H719" s="20" t="n"/>
      <c r="I719" s="20" t="n"/>
      <c r="J719" s="19" t="n"/>
      <c r="K719" s="21" t="n"/>
      <c r="L719" s="22">
        <f>IF(OR(J719="",K719=""),"",J719*K719)</f>
        <v/>
      </c>
      <c r="M719" s="19" t="n"/>
      <c r="N719" s="20" t="n"/>
      <c r="O719" s="20" t="n"/>
    </row>
    <row r="720">
      <c r="A720" s="16" t="n">
        <v>717</v>
      </c>
      <c r="B720" s="17" t="inlineStr">
        <is>
          <t>1.7.1.4</t>
        </is>
      </c>
      <c r="C720" s="18" t="inlineStr">
        <is>
          <t>Part 1 – General &amp; Programme</t>
        </is>
      </c>
      <c r="D720" s="18" t="inlineStr">
        <is>
          <t>1.7 TRAINING</t>
        </is>
      </c>
      <c r="E720" s="18" t="inlineStr">
        <is>
          <t>1.7.1 TRAINING REQUIREMENT OVERVIEW</t>
        </is>
      </c>
      <c r="F720" s="18" t="inlineStr">
        <is>
          <t>Through the training cycle, the CONTRACTOR shall follow the ISD /SAT model (Instructional System Design/System Approach to Training). All planning /design/Delivery endeavors, deliverables, methodologies, reports and findings, evaluations and assessments shall be done in compliance with the ISD/SAT.</t>
        </is>
      </c>
      <c r="G720" s="19" t="n"/>
      <c r="H720" s="20" t="n"/>
      <c r="I720" s="20" t="n"/>
      <c r="J720" s="19" t="n"/>
      <c r="K720" s="21" t="n"/>
      <c r="L720" s="22">
        <f>IF(OR(J720="",K720=""),"",J720*K720)</f>
        <v/>
      </c>
      <c r="M720" s="19" t="n"/>
      <c r="N720" s="20" t="n"/>
      <c r="O720" s="20" t="n"/>
    </row>
    <row r="721">
      <c r="A721" s="23" t="n">
        <v>718</v>
      </c>
      <c r="B721" s="24" t="inlineStr">
        <is>
          <t>1.7.1.5</t>
        </is>
      </c>
      <c r="C721" s="25" t="inlineStr">
        <is>
          <t>Part 1 – General &amp; Programme</t>
        </is>
      </c>
      <c r="D721" s="25" t="inlineStr">
        <is>
          <t>1.7 TRAINING</t>
        </is>
      </c>
      <c r="E721" s="25" t="inlineStr">
        <is>
          <t>1.7.1 TRAINING REQUIREMENT OVERVIEW</t>
        </is>
      </c>
      <c r="F721" s="25" t="inlineStr">
        <is>
          <t>The CONTRACTOR shall size their training solutions and do the training delivery for each province as per the related Appendix#5.</t>
        </is>
      </c>
      <c r="G721" s="19" t="n"/>
      <c r="H721" s="20" t="n"/>
      <c r="I721" s="20" t="n"/>
      <c r="J721" s="19" t="n"/>
      <c r="K721" s="21" t="n"/>
      <c r="L721" s="22">
        <f>IF(OR(J721="",K721=""),"",J721*K721)</f>
        <v/>
      </c>
      <c r="M721" s="19" t="n"/>
      <c r="N721" s="20" t="n"/>
      <c r="O721" s="20" t="n"/>
    </row>
    <row r="722">
      <c r="A722" s="16" t="n">
        <v>719</v>
      </c>
      <c r="B722" s="17" t="inlineStr">
        <is>
          <t>1.7.1.6</t>
        </is>
      </c>
      <c r="C722" s="18" t="inlineStr">
        <is>
          <t>Part 1 – General &amp; Programme</t>
        </is>
      </c>
      <c r="D722" s="18" t="inlineStr">
        <is>
          <t>1.7 TRAINING</t>
        </is>
      </c>
      <c r="E722" s="18" t="inlineStr">
        <is>
          <t>1.7.1 TRAINING REQUIREMENT OVERVIEW</t>
        </is>
      </c>
      <c r="F722" s="18" t="inlineStr">
        <is>
          <t>The CONTRACTOR shall deliver knowledge transfer and workshops to the MOI – the location, schedule and duration of these will be decided in agreement with the MOI. The BIDDER shall submit the proposed knowledge transfer plan including the above details, as part of their proposals.</t>
        </is>
      </c>
      <c r="G722" s="19" t="n"/>
      <c r="H722" s="20" t="n"/>
      <c r="I722" s="20" t="n"/>
      <c r="J722" s="19" t="n"/>
      <c r="K722" s="21" t="n"/>
      <c r="L722" s="22">
        <f>IF(OR(J722="",K722=""),"",J722*K722)</f>
        <v/>
      </c>
      <c r="M722" s="19" t="n"/>
      <c r="N722" s="20" t="n"/>
      <c r="O722" s="20" t="n"/>
    </row>
    <row r="723">
      <c r="A723" s="23" t="n">
        <v>720</v>
      </c>
      <c r="B723" s="24" t="inlineStr">
        <is>
          <t>1.7.1.7</t>
        </is>
      </c>
      <c r="C723" s="25" t="inlineStr">
        <is>
          <t>Part 1 – General &amp; Programme</t>
        </is>
      </c>
      <c r="D723" s="25" t="inlineStr">
        <is>
          <t>1.7 TRAINING</t>
        </is>
      </c>
      <c r="E723" s="25" t="inlineStr">
        <is>
          <t>1.7.1 TRAINING REQUIREMENT OVERVIEW</t>
        </is>
      </c>
      <c r="F723" s="25" t="inlineStr">
        <is>
          <t>All training materials should be provided in Arabic language and in English if deemed require by the contractor. The training delivery language for all trainings should be Arabic or with an Arabic interpreter – at no additional costs to the ministry.</t>
        </is>
      </c>
      <c r="G723" s="19" t="n"/>
      <c r="H723" s="20" t="n"/>
      <c r="I723" s="20" t="n"/>
      <c r="J723" s="19" t="n"/>
      <c r="K723" s="21" t="n"/>
      <c r="L723" s="22">
        <f>IF(OR(J723="",K723=""),"",J723*K723)</f>
        <v/>
      </c>
      <c r="M723" s="19" t="n"/>
      <c r="N723" s="20" t="n"/>
      <c r="O723" s="20" t="n"/>
    </row>
    <row r="724">
      <c r="A724" s="16" t="n">
        <v>721</v>
      </c>
      <c r="B724" s="17" t="inlineStr">
        <is>
          <t>1.7.2.1</t>
        </is>
      </c>
      <c r="C724" s="18" t="inlineStr">
        <is>
          <t>Part 1 – General &amp; Programme</t>
        </is>
      </c>
      <c r="D724" s="18" t="inlineStr">
        <is>
          <t>1.7 TRAINING</t>
        </is>
      </c>
      <c r="E724" s="18" t="inlineStr">
        <is>
          <t>1.7.2 TRAINING DOCUMENTATION</t>
        </is>
      </c>
      <c r="F724" s="18" t="inlineStr">
        <is>
          <t>The CONTRACTOR deliverables shall include the following:</t>
        </is>
      </c>
      <c r="G724" s="19" t="n"/>
      <c r="H724" s="20" t="n"/>
      <c r="I724" s="20" t="n"/>
      <c r="J724" s="19" t="n"/>
      <c r="K724" s="21" t="n"/>
      <c r="L724" s="22">
        <f>IF(OR(J724="",K724=""),"",J724*K724)</f>
        <v/>
      </c>
      <c r="M724" s="19" t="n"/>
      <c r="N724" s="20" t="n"/>
      <c r="O724" s="20" t="n"/>
    </row>
    <row r="725">
      <c r="A725" s="23" t="n">
        <v>722</v>
      </c>
      <c r="B725" s="23" t="inlineStr">
        <is>
          <t>1.7.2.1.1</t>
        </is>
      </c>
      <c r="C725" s="25" t="inlineStr">
        <is>
          <t>Part 1 – General &amp; Programme</t>
        </is>
      </c>
      <c r="D725" s="25" t="inlineStr">
        <is>
          <t>1.7 TRAINING</t>
        </is>
      </c>
      <c r="E725" s="25" t="inlineStr">
        <is>
          <t>1.7.2 TRAINING DOCUMENTATION</t>
        </is>
      </c>
      <c r="F725" s="25" t="inlineStr">
        <is>
          <t>Course Training Plans (CTP).</t>
        </is>
      </c>
      <c r="G725" s="19" t="n"/>
      <c r="H725" s="20" t="n"/>
      <c r="I725" s="20" t="n"/>
      <c r="J725" s="19" t="n"/>
      <c r="K725" s="21" t="n"/>
      <c r="L725" s="22">
        <f>IF(OR(J725="",K725=""),"",J725*K725)</f>
        <v/>
      </c>
      <c r="M725" s="19" t="n"/>
      <c r="N725" s="20" t="n"/>
      <c r="O725" s="20" t="n"/>
    </row>
    <row r="726">
      <c r="A726" s="16" t="n">
        <v>723</v>
      </c>
      <c r="B726" s="16" t="inlineStr">
        <is>
          <t>1.7.2.1.2</t>
        </is>
      </c>
      <c r="C726" s="18" t="inlineStr">
        <is>
          <t>Part 1 – General &amp; Programme</t>
        </is>
      </c>
      <c r="D726" s="18" t="inlineStr">
        <is>
          <t>1.7 TRAINING</t>
        </is>
      </c>
      <c r="E726" s="18" t="inlineStr">
        <is>
          <t>1.7.2 TRAINING DOCUMENTATION</t>
        </is>
      </c>
      <c r="F726" s="18" t="inlineStr">
        <is>
          <t>Plan of Instruction (POI).</t>
        </is>
      </c>
      <c r="G726" s="19" t="n"/>
      <c r="H726" s="20" t="n"/>
      <c r="I726" s="20" t="n"/>
      <c r="J726" s="19" t="n"/>
      <c r="K726" s="21" t="n"/>
      <c r="L726" s="22">
        <f>IF(OR(J726="",K726=""),"",J726*K726)</f>
        <v/>
      </c>
      <c r="M726" s="19" t="n"/>
      <c r="N726" s="20" t="n"/>
      <c r="O726" s="20" t="n"/>
    </row>
    <row r="727">
      <c r="A727" s="23" t="n">
        <v>724</v>
      </c>
      <c r="B727" s="23" t="inlineStr">
        <is>
          <t>1.7.2.1.3</t>
        </is>
      </c>
      <c r="C727" s="25" t="inlineStr">
        <is>
          <t>Part 1 – General &amp; Programme</t>
        </is>
      </c>
      <c r="D727" s="25" t="inlineStr">
        <is>
          <t>1.7 TRAINING</t>
        </is>
      </c>
      <c r="E727" s="25" t="inlineStr">
        <is>
          <t>1.7.2 TRAINING DOCUMENTATION</t>
        </is>
      </c>
      <c r="F727" s="25" t="inlineStr">
        <is>
          <t>Training needs analysis (TNA).</t>
        </is>
      </c>
      <c r="G727" s="19" t="n"/>
      <c r="H727" s="20" t="n"/>
      <c r="I727" s="20" t="n"/>
      <c r="J727" s="19" t="n"/>
      <c r="K727" s="21" t="n"/>
      <c r="L727" s="22">
        <f>IF(OR(J727="",K727=""),"",J727*K727)</f>
        <v/>
      </c>
      <c r="M727" s="19" t="n"/>
      <c r="N727" s="20" t="n"/>
      <c r="O727" s="20" t="n"/>
    </row>
    <row r="728">
      <c r="A728" s="16" t="n">
        <v>725</v>
      </c>
      <c r="B728" s="16" t="inlineStr">
        <is>
          <t>1.7.2.1.4</t>
        </is>
      </c>
      <c r="C728" s="18" t="inlineStr">
        <is>
          <t>Part 1 – General &amp; Programme</t>
        </is>
      </c>
      <c r="D728" s="18" t="inlineStr">
        <is>
          <t>1.7 TRAINING</t>
        </is>
      </c>
      <c r="E728" s="18" t="inlineStr">
        <is>
          <t>1.7.2 TRAINING DOCUMENTATION</t>
        </is>
      </c>
      <c r="F728" s="18" t="inlineStr">
        <is>
          <t>The content and supporting material for each training.</t>
        </is>
      </c>
      <c r="G728" s="19" t="n"/>
      <c r="H728" s="20" t="n"/>
      <c r="I728" s="20" t="n"/>
      <c r="J728" s="19" t="n"/>
      <c r="K728" s="21" t="n"/>
      <c r="L728" s="22">
        <f>IF(OR(J728="",K728=""),"",J728*K728)</f>
        <v/>
      </c>
      <c r="M728" s="19" t="n"/>
      <c r="N728" s="20" t="n"/>
      <c r="O728" s="20" t="n"/>
    </row>
    <row r="729">
      <c r="A729" s="23" t="n">
        <v>726</v>
      </c>
      <c r="B729" s="23" t="inlineStr">
        <is>
          <t>1.7.2.1.5</t>
        </is>
      </c>
      <c r="C729" s="25" t="inlineStr">
        <is>
          <t>Part 1 – General &amp; Programme</t>
        </is>
      </c>
      <c r="D729" s="25" t="inlineStr">
        <is>
          <t>1.7 TRAINING</t>
        </is>
      </c>
      <c r="E729" s="25" t="inlineStr">
        <is>
          <t>1.7.2 TRAINING DOCUMENTATION</t>
        </is>
      </c>
      <c r="F729" s="25" t="inlineStr">
        <is>
          <t>Training attendee information.</t>
        </is>
      </c>
      <c r="G729" s="19" t="n"/>
      <c r="H729" s="20" t="n"/>
      <c r="I729" s="20" t="n"/>
      <c r="J729" s="19" t="n"/>
      <c r="K729" s="21" t="n"/>
      <c r="L729" s="22">
        <f>IF(OR(J729="",K729=""),"",J729*K729)</f>
        <v/>
      </c>
      <c r="M729" s="19" t="n"/>
      <c r="N729" s="20" t="n"/>
      <c r="O729" s="20" t="n"/>
    </row>
    <row r="730">
      <c r="A730" s="16" t="n">
        <v>727</v>
      </c>
      <c r="B730" s="16" t="inlineStr">
        <is>
          <t>1.7.2.1.6</t>
        </is>
      </c>
      <c r="C730" s="18" t="inlineStr">
        <is>
          <t>Part 1 – General &amp; Programme</t>
        </is>
      </c>
      <c r="D730" s="18" t="inlineStr">
        <is>
          <t>1.7 TRAINING</t>
        </is>
      </c>
      <c r="E730" s="18" t="inlineStr">
        <is>
          <t>1.7.2 TRAINING DOCUMENTATION</t>
        </is>
      </c>
      <c r="F730" s="18" t="inlineStr">
        <is>
          <t>Relevant information on all recipients of that training- attendance, and pre-training and post-training assessment.</t>
        </is>
      </c>
      <c r="G730" s="19" t="n"/>
      <c r="H730" s="20" t="n"/>
      <c r="I730" s="20" t="n"/>
      <c r="J730" s="19" t="n"/>
      <c r="K730" s="21" t="n"/>
      <c r="L730" s="22">
        <f>IF(OR(J730="",K730=""),"",J730*K730)</f>
        <v/>
      </c>
      <c r="M730" s="19" t="n"/>
      <c r="N730" s="20" t="n"/>
      <c r="O730" s="20" t="n"/>
    </row>
    <row r="731">
      <c r="A731" s="23" t="n">
        <v>728</v>
      </c>
      <c r="B731" s="24" t="inlineStr">
        <is>
          <t>1.7.2.2</t>
        </is>
      </c>
      <c r="C731" s="25" t="inlineStr">
        <is>
          <t>Part 1 – General &amp; Programme</t>
        </is>
      </c>
      <c r="D731" s="25" t="inlineStr">
        <is>
          <t>1.7 TRAINING</t>
        </is>
      </c>
      <c r="E731" s="25" t="inlineStr">
        <is>
          <t>1.7.2 TRAINING DOCUMENTATION</t>
        </is>
      </c>
      <c r="F731" s="25" t="inlineStr">
        <is>
          <t>The CONTRACTOR shall systematically provide electronic and hard copies of all written training, course material and course instructions. Plan of Instructions (POI) shall include:</t>
        </is>
      </c>
      <c r="G731" s="19" t="n"/>
      <c r="H731" s="20" t="n"/>
      <c r="I731" s="20" t="n"/>
      <c r="J731" s="19" t="n"/>
      <c r="K731" s="21" t="n"/>
      <c r="L731" s="22">
        <f>IF(OR(J731="",K731=""),"",J731*K731)</f>
        <v/>
      </c>
      <c r="M731" s="19" t="n"/>
      <c r="N731" s="20" t="n"/>
      <c r="O731" s="20" t="n"/>
    </row>
    <row r="732">
      <c r="A732" s="16" t="n">
        <v>729</v>
      </c>
      <c r="B732" s="16" t="inlineStr">
        <is>
          <t>1.7.2.2.1</t>
        </is>
      </c>
      <c r="C732" s="18" t="inlineStr">
        <is>
          <t>Part 1 – General &amp; Programme</t>
        </is>
      </c>
      <c r="D732" s="18" t="inlineStr">
        <is>
          <t>1.7 TRAINING</t>
        </is>
      </c>
      <c r="E732" s="18" t="inlineStr">
        <is>
          <t>1.7.2 TRAINING DOCUMENTATION</t>
        </is>
      </c>
      <c r="F732" s="18" t="inlineStr">
        <is>
          <t>Course objectives, written in accordance with Bloom’s taxonomy</t>
        </is>
      </c>
      <c r="G732" s="19" t="n"/>
      <c r="H732" s="20" t="n"/>
      <c r="I732" s="20" t="n"/>
      <c r="J732" s="19" t="n"/>
      <c r="K732" s="21" t="n"/>
      <c r="L732" s="22">
        <f>IF(OR(J732="",K732=""),"",J732*K732)</f>
        <v/>
      </c>
      <c r="M732" s="19" t="n"/>
      <c r="N732" s="20" t="n"/>
      <c r="O732" s="20" t="n"/>
    </row>
    <row r="733">
      <c r="A733" s="23" t="n">
        <v>730</v>
      </c>
      <c r="B733" s="23" t="inlineStr">
        <is>
          <t>1.7.2.2.2</t>
        </is>
      </c>
      <c r="C733" s="25" t="inlineStr">
        <is>
          <t>Part 1 – General &amp; Programme</t>
        </is>
      </c>
      <c r="D733" s="25" t="inlineStr">
        <is>
          <t>1.7 TRAINING</t>
        </is>
      </c>
      <c r="E733" s="25" t="inlineStr">
        <is>
          <t>1.7.2 TRAINING DOCUMENTATION</t>
        </is>
      </c>
      <c r="F733" s="25" t="inlineStr">
        <is>
          <t>Course target groups</t>
        </is>
      </c>
      <c r="G733" s="19" t="n"/>
      <c r="H733" s="20" t="n"/>
      <c r="I733" s="20" t="n"/>
      <c r="J733" s="19" t="n"/>
      <c r="K733" s="21" t="n"/>
      <c r="L733" s="22">
        <f>IF(OR(J733="",K733=""),"",J733*K733)</f>
        <v/>
      </c>
      <c r="M733" s="19" t="n"/>
      <c r="N733" s="20" t="n"/>
      <c r="O733" s="20" t="n"/>
    </row>
    <row r="734">
      <c r="A734" s="16" t="n">
        <v>731</v>
      </c>
      <c r="B734" s="16" t="inlineStr">
        <is>
          <t>1.7.2.2.3</t>
        </is>
      </c>
      <c r="C734" s="18" t="inlineStr">
        <is>
          <t>Part 1 – General &amp; Programme</t>
        </is>
      </c>
      <c r="D734" s="18" t="inlineStr">
        <is>
          <t>1.7 TRAINING</t>
        </is>
      </c>
      <c r="E734" s="18" t="inlineStr">
        <is>
          <t>1.7.2 TRAINING DOCUMENTATION</t>
        </is>
      </c>
      <c r="F734" s="18" t="inlineStr">
        <is>
          <t>Course prerequisites and other dependencies</t>
        </is>
      </c>
      <c r="G734" s="19" t="n"/>
      <c r="H734" s="20" t="n"/>
      <c r="I734" s="20" t="n"/>
      <c r="J734" s="19" t="n"/>
      <c r="K734" s="21" t="n"/>
      <c r="L734" s="22">
        <f>IF(OR(J734="",K734=""),"",J734*K734)</f>
        <v/>
      </c>
      <c r="M734" s="19" t="n"/>
      <c r="N734" s="20" t="n"/>
      <c r="O734" s="20" t="n"/>
    </row>
    <row r="735">
      <c r="A735" s="23" t="n">
        <v>732</v>
      </c>
      <c r="B735" s="23" t="inlineStr">
        <is>
          <t>1.7.2.2.4</t>
        </is>
      </c>
      <c r="C735" s="25" t="inlineStr">
        <is>
          <t>Part 1 – General &amp; Programme</t>
        </is>
      </c>
      <c r="D735" s="25" t="inlineStr">
        <is>
          <t>1.7 TRAINING</t>
        </is>
      </c>
      <c r="E735" s="25" t="inlineStr">
        <is>
          <t>1.7.2 TRAINING DOCUMENTATION</t>
        </is>
      </c>
      <c r="F735" s="25" t="inlineStr">
        <is>
          <t>Course duration and delivery method</t>
        </is>
      </c>
      <c r="G735" s="19" t="n"/>
      <c r="H735" s="20" t="n"/>
      <c r="I735" s="20" t="n"/>
      <c r="J735" s="19" t="n"/>
      <c r="K735" s="21" t="n"/>
      <c r="L735" s="22">
        <f>IF(OR(J735="",K735=""),"",J735*K735)</f>
        <v/>
      </c>
      <c r="M735" s="19" t="n"/>
      <c r="N735" s="20" t="n"/>
      <c r="O735" s="20" t="n"/>
    </row>
    <row r="736">
      <c r="A736" s="16" t="n">
        <v>733</v>
      </c>
      <c r="B736" s="16" t="inlineStr">
        <is>
          <t>1.7.2.2.5</t>
        </is>
      </c>
      <c r="C736" s="18" t="inlineStr">
        <is>
          <t>Part 1 – General &amp; Programme</t>
        </is>
      </c>
      <c r="D736" s="18" t="inlineStr">
        <is>
          <t>1.7 TRAINING</t>
        </is>
      </c>
      <c r="E736" s="18" t="inlineStr">
        <is>
          <t>1.7.2 TRAINING DOCUMENTATION</t>
        </is>
      </c>
      <c r="F736" s="18" t="inlineStr">
        <is>
          <t>Specific lab/experimental environment descriptions (if relevant)</t>
        </is>
      </c>
      <c r="G736" s="19" t="n"/>
      <c r="H736" s="20" t="n"/>
      <c r="I736" s="20" t="n"/>
      <c r="J736" s="19" t="n"/>
      <c r="K736" s="21" t="n"/>
      <c r="L736" s="22">
        <f>IF(OR(J736="",K736=""),"",J736*K736)</f>
        <v/>
      </c>
      <c r="M736" s="19" t="n"/>
      <c r="N736" s="20" t="n"/>
      <c r="O736" s="20" t="n"/>
    </row>
    <row r="737">
      <c r="A737" s="23" t="n">
        <v>734</v>
      </c>
      <c r="B737" s="23" t="inlineStr">
        <is>
          <t>1.7.2.2.6</t>
        </is>
      </c>
      <c r="C737" s="25" t="inlineStr">
        <is>
          <t>Part 1 – General &amp; Programme</t>
        </is>
      </c>
      <c r="D737" s="25" t="inlineStr">
        <is>
          <t>1.7 TRAINING</t>
        </is>
      </c>
      <c r="E737" s="25" t="inlineStr">
        <is>
          <t>1.7.2 TRAINING DOCUMENTATION</t>
        </is>
      </c>
      <c r="F737" s="25" t="inlineStr">
        <is>
          <t>Requirements for demonstrating trainee proficiency with the subject matter in each course</t>
        </is>
      </c>
      <c r="G737" s="19" t="n"/>
      <c r="H737" s="20" t="n"/>
      <c r="I737" s="20" t="n"/>
      <c r="J737" s="19" t="n"/>
      <c r="K737" s="21" t="n"/>
      <c r="L737" s="22">
        <f>IF(OR(J737="",K737=""),"",J737*K737)</f>
        <v/>
      </c>
      <c r="M737" s="19" t="n"/>
      <c r="N737" s="20" t="n"/>
      <c r="O737" s="20" t="n"/>
    </row>
    <row r="738">
      <c r="A738" s="16" t="n">
        <v>735</v>
      </c>
      <c r="B738" s="17" t="inlineStr">
        <is>
          <t>1.7.2.3</t>
        </is>
      </c>
      <c r="C738" s="18" t="inlineStr">
        <is>
          <t>Part 1 – General &amp; Programme</t>
        </is>
      </c>
      <c r="D738" s="18" t="inlineStr">
        <is>
          <t>1.7 TRAINING</t>
        </is>
      </c>
      <c r="E738" s="18" t="inlineStr">
        <is>
          <t>1.7.2 TRAINING DOCUMENTATION</t>
        </is>
      </c>
      <c r="F738" s="18" t="inlineStr">
        <is>
          <t>The CONTRACTOR shall provide a complete package of training modules comprising of a plan of instruction (POI):</t>
        </is>
      </c>
      <c r="G738" s="19" t="n"/>
      <c r="H738" s="20" t="n"/>
      <c r="I738" s="20" t="n"/>
      <c r="J738" s="19" t="n"/>
      <c r="K738" s="21" t="n"/>
      <c r="L738" s="22">
        <f>IF(OR(J738="",K738=""),"",J738*K738)</f>
        <v/>
      </c>
      <c r="M738" s="19" t="n"/>
      <c r="N738" s="20" t="n"/>
      <c r="O738" s="20" t="n"/>
    </row>
    <row r="739">
      <c r="A739" s="23" t="n">
        <v>736</v>
      </c>
      <c r="B739" s="23" t="inlineStr">
        <is>
          <t>1.7.2.3.1</t>
        </is>
      </c>
      <c r="C739" s="25" t="inlineStr">
        <is>
          <t>Part 1 – General &amp; Programme</t>
        </is>
      </c>
      <c r="D739" s="25" t="inlineStr">
        <is>
          <t>1.7 TRAINING</t>
        </is>
      </c>
      <c r="E739" s="25" t="inlineStr">
        <is>
          <t>1.7.2 TRAINING DOCUMENTATION</t>
        </is>
      </c>
      <c r="F739" s="25" t="inlineStr">
        <is>
          <t>Tailored training modules for each subject</t>
        </is>
      </c>
      <c r="G739" s="19" t="n"/>
      <c r="H739" s="20" t="n"/>
      <c r="I739" s="20" t="n"/>
      <c r="J739" s="19" t="n"/>
      <c r="K739" s="21" t="n"/>
      <c r="L739" s="22">
        <f>IF(OR(J739="",K739=""),"",J739*K739)</f>
        <v/>
      </c>
      <c r="M739" s="19" t="n"/>
      <c r="N739" s="20" t="n"/>
      <c r="O739" s="20" t="n"/>
    </row>
    <row r="740">
      <c r="A740" s="16" t="n">
        <v>737</v>
      </c>
      <c r="B740" s="16" t="inlineStr">
        <is>
          <t>1.7.2.3.2</t>
        </is>
      </c>
      <c r="C740" s="18" t="inlineStr">
        <is>
          <t>Part 1 – General &amp; Programme</t>
        </is>
      </c>
      <c r="D740" s="18" t="inlineStr">
        <is>
          <t>1.7 TRAINING</t>
        </is>
      </c>
      <c r="E740" s="18" t="inlineStr">
        <is>
          <t>1.7.2 TRAINING DOCUMENTATION</t>
        </is>
      </c>
      <c r="F740" s="18" t="inlineStr">
        <is>
          <t>Location of all training modules</t>
        </is>
      </c>
      <c r="G740" s="19" t="n"/>
      <c r="H740" s="20" t="n"/>
      <c r="I740" s="20" t="n"/>
      <c r="J740" s="19" t="n"/>
      <c r="K740" s="21" t="n"/>
      <c r="L740" s="22">
        <f>IF(OR(J740="",K740=""),"",J740*K740)</f>
        <v/>
      </c>
      <c r="M740" s="19" t="n"/>
      <c r="N740" s="20" t="n"/>
      <c r="O740" s="20" t="n"/>
    </row>
    <row r="741">
      <c r="A741" s="23" t="n">
        <v>738</v>
      </c>
      <c r="B741" s="23" t="inlineStr">
        <is>
          <t>1.7.2.3.3</t>
        </is>
      </c>
      <c r="C741" s="25" t="inlineStr">
        <is>
          <t>Part 1 – General &amp; Programme</t>
        </is>
      </c>
      <c r="D741" s="25" t="inlineStr">
        <is>
          <t>1.7 TRAINING</t>
        </is>
      </c>
      <c r="E741" s="25" t="inlineStr">
        <is>
          <t>1.7.2 TRAINING DOCUMENTATION</t>
        </is>
      </c>
      <c r="F741" s="25" t="inlineStr">
        <is>
          <t>Training schedules, including lesson plans and time allocated to each lesson</t>
        </is>
      </c>
      <c r="G741" s="19" t="n"/>
      <c r="H741" s="20" t="n"/>
      <c r="I741" s="20" t="n"/>
      <c r="J741" s="19" t="n"/>
      <c r="K741" s="21" t="n"/>
      <c r="L741" s="22">
        <f>IF(OR(J741="",K741=""),"",J741*K741)</f>
        <v/>
      </c>
      <c r="M741" s="19" t="n"/>
      <c r="N741" s="20" t="n"/>
      <c r="O741" s="20" t="n"/>
    </row>
    <row r="742">
      <c r="A742" s="16" t="n">
        <v>739</v>
      </c>
      <c r="B742" s="16" t="inlineStr">
        <is>
          <t>1.7.2.3.4</t>
        </is>
      </c>
      <c r="C742" s="18" t="inlineStr">
        <is>
          <t>Part 1 – General &amp; Programme</t>
        </is>
      </c>
      <c r="D742" s="18" t="inlineStr">
        <is>
          <t>1.7 TRAINING</t>
        </is>
      </c>
      <c r="E742" s="18" t="inlineStr">
        <is>
          <t>1.7.2 TRAINING DOCUMENTATION</t>
        </is>
      </c>
      <c r="F742" s="18" t="inlineStr">
        <is>
          <t>Skills matrices</t>
        </is>
      </c>
      <c r="G742" s="19" t="n"/>
      <c r="H742" s="20" t="n"/>
      <c r="I742" s="20" t="n"/>
      <c r="J742" s="19" t="n"/>
      <c r="K742" s="21" t="n"/>
      <c r="L742" s="22">
        <f>IF(OR(J742="",K742=""),"",J742*K742)</f>
        <v/>
      </c>
      <c r="M742" s="19" t="n"/>
      <c r="N742" s="20" t="n"/>
      <c r="O742" s="20" t="n"/>
    </row>
    <row r="743">
      <c r="A743" s="23" t="n">
        <v>740</v>
      </c>
      <c r="B743" s="23" t="inlineStr">
        <is>
          <t>1.7.2.3.5</t>
        </is>
      </c>
      <c r="C743" s="25" t="inlineStr">
        <is>
          <t>Part 1 – General &amp; Programme</t>
        </is>
      </c>
      <c r="D743" s="25" t="inlineStr">
        <is>
          <t>1.7 TRAINING</t>
        </is>
      </c>
      <c r="E743" s="25" t="inlineStr">
        <is>
          <t>1.7.2 TRAINING DOCUMENTATION</t>
        </is>
      </c>
      <c r="F743" s="25" t="inlineStr">
        <is>
          <t>Post training assessment</t>
        </is>
      </c>
      <c r="G743" s="19" t="n"/>
      <c r="H743" s="20" t="n"/>
      <c r="I743" s="20" t="n"/>
      <c r="J743" s="19" t="n"/>
      <c r="K743" s="21" t="n"/>
      <c r="L743" s="22">
        <f>IF(OR(J743="",K743=""),"",J743*K743)</f>
        <v/>
      </c>
      <c r="M743" s="19" t="n"/>
      <c r="N743" s="20" t="n"/>
      <c r="O743" s="20" t="n"/>
    </row>
    <row r="744">
      <c r="A744" s="16" t="n">
        <v>741</v>
      </c>
      <c r="B744" s="17" t="inlineStr">
        <is>
          <t>1.7.2.4</t>
        </is>
      </c>
      <c r="C744" s="18" t="inlineStr">
        <is>
          <t>Part 1 – General &amp; Programme</t>
        </is>
      </c>
      <c r="D744" s="18" t="inlineStr">
        <is>
          <t>1.7 TRAINING</t>
        </is>
      </c>
      <c r="E744" s="18" t="inlineStr">
        <is>
          <t>1.7.2 TRAINING DOCUMENTATION</t>
        </is>
      </c>
      <c r="F744" s="18" t="inlineStr">
        <is>
          <t>The BIDDER shall note and confirm that the MOI shall hold and retain the ownership and intellectual protocol for all training material, course content and data forming the contents of all training delivered by the CONTRACTOR for the training requirements in this RFP.</t>
        </is>
      </c>
      <c r="G744" s="19" t="n"/>
      <c r="H744" s="20" t="n"/>
      <c r="I744" s="20" t="n"/>
      <c r="J744" s="19" t="n"/>
      <c r="K744" s="21" t="n"/>
      <c r="L744" s="22">
        <f>IF(OR(J744="",K744=""),"",J744*K744)</f>
        <v/>
      </c>
      <c r="M744" s="19" t="n"/>
      <c r="N744" s="20" t="n"/>
      <c r="O744" s="20" t="n"/>
    </row>
    <row r="745">
      <c r="A745" s="23" t="n">
        <v>742</v>
      </c>
      <c r="B745" s="24" t="inlineStr">
        <is>
          <t>1.7.2.5</t>
        </is>
      </c>
      <c r="C745" s="25" t="inlineStr">
        <is>
          <t>Part 1 – General &amp; Programme</t>
        </is>
      </c>
      <c r="D745" s="25" t="inlineStr">
        <is>
          <t>1.7 TRAINING</t>
        </is>
      </c>
      <c r="E745" s="25" t="inlineStr">
        <is>
          <t>1.7.2 TRAINING DOCUMENTATION</t>
        </is>
      </c>
      <c r="F745" s="25" t="inlineStr">
        <is>
          <t>The CONTRACTOR shall deliver all of the above documentation in editable electronic format.</t>
        </is>
      </c>
      <c r="G745" s="19" t="n"/>
      <c r="H745" s="20" t="n"/>
      <c r="I745" s="20" t="n"/>
      <c r="J745" s="19" t="n"/>
      <c r="K745" s="21" t="n"/>
      <c r="L745" s="22">
        <f>IF(OR(J745="",K745=""),"",J745*K745)</f>
        <v/>
      </c>
      <c r="M745" s="19" t="n"/>
      <c r="N745" s="20" t="n"/>
      <c r="O745" s="20" t="n"/>
    </row>
    <row r="746">
      <c r="A746" s="16" t="n">
        <v>743</v>
      </c>
      <c r="B746" s="17" t="inlineStr">
        <is>
          <t>1.7.3.1</t>
        </is>
      </c>
      <c r="C746" s="18" t="inlineStr">
        <is>
          <t>Part 1 – General &amp; Programme</t>
        </is>
      </c>
      <c r="D746" s="18" t="inlineStr">
        <is>
          <t>1.7 TRAINING</t>
        </is>
      </c>
      <c r="E746" s="18" t="inlineStr">
        <is>
          <t>1.7.3 TRAINING NEEDS ANALYSIS (TNA)</t>
        </is>
      </c>
      <c r="F746" s="18" t="inlineStr">
        <is>
          <t>The CONTRACTOR shall conduct Training Needs Analysis (TNA) for each role and function required to be trained.</t>
        </is>
      </c>
      <c r="G746" s="19" t="n"/>
      <c r="H746" s="20" t="n"/>
      <c r="I746" s="20" t="n"/>
      <c r="J746" s="19" t="n"/>
      <c r="K746" s="21" t="n"/>
      <c r="L746" s="22">
        <f>IF(OR(J746="",K746=""),"",J746*K746)</f>
        <v/>
      </c>
      <c r="M746" s="19" t="n"/>
      <c r="N746" s="20" t="n"/>
      <c r="O746" s="20" t="n"/>
    </row>
    <row r="747">
      <c r="A747" s="23" t="n">
        <v>744</v>
      </c>
      <c r="B747" s="24" t="inlineStr">
        <is>
          <t>1.7.3.2</t>
        </is>
      </c>
      <c r="C747" s="25" t="inlineStr">
        <is>
          <t>Part 1 – General &amp; Programme</t>
        </is>
      </c>
      <c r="D747" s="25" t="inlineStr">
        <is>
          <t>1.7 TRAINING</t>
        </is>
      </c>
      <c r="E747" s="25" t="inlineStr">
        <is>
          <t>1.7.3 TRAINING NEEDS ANALYSIS (TNA)</t>
        </is>
      </c>
      <c r="F747" s="25" t="inlineStr">
        <is>
          <t>The CONTRACTOR shall provide to the MOI a plan for the conduct of the TNA showing all phases, activities and resources to be assigned, as well as gates and deliverables.</t>
        </is>
      </c>
      <c r="G747" s="19" t="n"/>
      <c r="H747" s="20" t="n"/>
      <c r="I747" s="20" t="n"/>
      <c r="J747" s="19" t="n"/>
      <c r="K747" s="21" t="n"/>
      <c r="L747" s="22">
        <f>IF(OR(J747="",K747=""),"",J747*K747)</f>
        <v/>
      </c>
      <c r="M747" s="19" t="n"/>
      <c r="N747" s="20" t="n"/>
      <c r="O747" s="20" t="n"/>
    </row>
    <row r="748">
      <c r="A748" s="16" t="n">
        <v>745</v>
      </c>
      <c r="B748" s="17" t="inlineStr">
        <is>
          <t>1.7.3.3</t>
        </is>
      </c>
      <c r="C748" s="18" t="inlineStr">
        <is>
          <t>Part 1 – General &amp; Programme</t>
        </is>
      </c>
      <c r="D748" s="18" t="inlineStr">
        <is>
          <t>1.7 TRAINING</t>
        </is>
      </c>
      <c r="E748" s="18" t="inlineStr">
        <is>
          <t>1.7.3 TRAINING NEEDS ANALYSIS (TNA)</t>
        </is>
      </c>
      <c r="F748" s="18" t="inlineStr">
        <is>
          <t>The CONTRACTOR shall propose assessment methodologies to be used during the TNA which shall need to be approved by the MOI prior to the commencement of any TNA.</t>
        </is>
      </c>
      <c r="G748" s="19" t="n"/>
      <c r="H748" s="20" t="n"/>
      <c r="I748" s="20" t="n"/>
      <c r="J748" s="19" t="n"/>
      <c r="K748" s="21" t="n"/>
      <c r="L748" s="22">
        <f>IF(OR(J748="",K748=""),"",J748*K748)</f>
        <v/>
      </c>
      <c r="M748" s="19" t="n"/>
      <c r="N748" s="20" t="n"/>
      <c r="O748" s="20" t="n"/>
    </row>
    <row r="749">
      <c r="A749" s="23" t="n">
        <v>746</v>
      </c>
      <c r="B749" s="24" t="inlineStr">
        <is>
          <t>1.7.3.4</t>
        </is>
      </c>
      <c r="C749" s="25" t="inlineStr">
        <is>
          <t>Part 1 – General &amp; Programme</t>
        </is>
      </c>
      <c r="D749" s="25" t="inlineStr">
        <is>
          <t>1.7 TRAINING</t>
        </is>
      </c>
      <c r="E749" s="25" t="inlineStr">
        <is>
          <t>1.7.3 TRAINING NEEDS ANALYSIS (TNA)</t>
        </is>
      </c>
      <c r="F749" s="25" t="inlineStr">
        <is>
          <t>Following the TNA, the CONTRACTOR shall submit a TNA report to the MOI containing.</t>
        </is>
      </c>
      <c r="G749" s="19" t="n"/>
      <c r="H749" s="20" t="n"/>
      <c r="I749" s="20" t="n"/>
      <c r="J749" s="19" t="n"/>
      <c r="K749" s="21" t="n"/>
      <c r="L749" s="22">
        <f>IF(OR(J749="",K749=""),"",J749*K749)</f>
        <v/>
      </c>
      <c r="M749" s="19" t="n"/>
      <c r="N749" s="20" t="n"/>
      <c r="O749" s="20" t="n"/>
    </row>
    <row r="750">
      <c r="A750" s="16" t="n">
        <v>747</v>
      </c>
      <c r="B750" s="16" t="inlineStr">
        <is>
          <t>1.7.3.4.1</t>
        </is>
      </c>
      <c r="C750" s="18" t="inlineStr">
        <is>
          <t>Part 1 – General &amp; Programme</t>
        </is>
      </c>
      <c r="D750" s="18" t="inlineStr">
        <is>
          <t>1.7 TRAINING</t>
        </is>
      </c>
      <c r="E750" s="18" t="inlineStr">
        <is>
          <t>1.7.3 TRAINING NEEDS ANALYSIS (TNA)</t>
        </is>
      </c>
      <c r="F750" s="18" t="inlineStr">
        <is>
          <t>Assessment of current staff knowledge, skills and abilities (KS&amp;As) and experience level.</t>
        </is>
      </c>
      <c r="G750" s="19" t="n"/>
      <c r="H750" s="20" t="n"/>
      <c r="I750" s="20" t="n"/>
      <c r="J750" s="19" t="n"/>
      <c r="K750" s="21" t="n"/>
      <c r="L750" s="22">
        <f>IF(OR(J750="",K750=""),"",J750*K750)</f>
        <v/>
      </c>
      <c r="M750" s="19" t="n"/>
      <c r="N750" s="20" t="n"/>
      <c r="O750" s="20" t="n"/>
    </row>
    <row r="751">
      <c r="A751" s="23" t="n">
        <v>748</v>
      </c>
      <c r="B751" s="23" t="inlineStr">
        <is>
          <t>1.7.3.4.2</t>
        </is>
      </c>
      <c r="C751" s="25" t="inlineStr">
        <is>
          <t>Part 1 – General &amp; Programme</t>
        </is>
      </c>
      <c r="D751" s="25" t="inlineStr">
        <is>
          <t>1.7 TRAINING</t>
        </is>
      </c>
      <c r="E751" s="25" t="inlineStr">
        <is>
          <t>1.7.3 TRAINING NEEDS ANALYSIS (TNA)</t>
        </is>
      </c>
      <c r="F751" s="25" t="inlineStr">
        <is>
          <t>Skills matrices for each role required to support the operations, maintenance and administration of the OSS911 Center (based on job tasks analysis) as the OSS911 Center will operate.</t>
        </is>
      </c>
      <c r="G751" s="19" t="n"/>
      <c r="H751" s="20" t="n"/>
      <c r="I751" s="20" t="n"/>
      <c r="J751" s="19" t="n"/>
      <c r="K751" s="21" t="n"/>
      <c r="L751" s="22">
        <f>IF(OR(J751="",K751=""),"",J751*K751)</f>
        <v/>
      </c>
      <c r="M751" s="19" t="n"/>
      <c r="N751" s="20" t="n"/>
      <c r="O751" s="20" t="n"/>
    </row>
    <row r="752">
      <c r="A752" s="16" t="n">
        <v>749</v>
      </c>
      <c r="B752" s="16" t="inlineStr">
        <is>
          <t>1.7.3.4.3</t>
        </is>
      </c>
      <c r="C752" s="18" t="inlineStr">
        <is>
          <t>Part 1 – General &amp; Programme</t>
        </is>
      </c>
      <c r="D752" s="18" t="inlineStr">
        <is>
          <t>1.7 TRAINING</t>
        </is>
      </c>
      <c r="E752" s="18" t="inlineStr">
        <is>
          <t>1.7.3 TRAINING NEEDS ANALYSIS (TNA)</t>
        </is>
      </c>
      <c r="F752" s="18" t="inlineStr">
        <is>
          <t>Skills gap analysis for the identified number of positions.</t>
        </is>
      </c>
      <c r="G752" s="19" t="n"/>
      <c r="H752" s="20" t="n"/>
      <c r="I752" s="20" t="n"/>
      <c r="J752" s="19" t="n"/>
      <c r="K752" s="21" t="n"/>
      <c r="L752" s="22">
        <f>IF(OR(J752="",K752=""),"",J752*K752)</f>
        <v/>
      </c>
      <c r="M752" s="19" t="n"/>
      <c r="N752" s="20" t="n"/>
      <c r="O752" s="20" t="n"/>
    </row>
    <row r="753">
      <c r="A753" s="23" t="n">
        <v>750</v>
      </c>
      <c r="B753" s="24" t="inlineStr">
        <is>
          <t>1.7.4.1</t>
        </is>
      </c>
      <c r="C753" s="25" t="inlineStr">
        <is>
          <t>Part 1 – General &amp; Programme</t>
        </is>
      </c>
      <c r="D753" s="25" t="inlineStr">
        <is>
          <t>1.7 TRAINING</t>
        </is>
      </c>
      <c r="E753" s="25" t="inlineStr">
        <is>
          <t>1.7.4 ON THE JOB TRAINING</t>
        </is>
      </c>
      <c r="F753" s="25" t="inlineStr">
        <is>
          <t>The CONTRACTOR shall deliver regular On the Job Training (OJT) in a structured method for all roles for any features/functions/updates/fixes for all OSS911 solutions.</t>
        </is>
      </c>
      <c r="G753" s="19" t="n"/>
      <c r="H753" s="20" t="n"/>
      <c r="I753" s="20" t="n"/>
      <c r="J753" s="19" t="n"/>
      <c r="K753" s="21" t="n"/>
      <c r="L753" s="22">
        <f>IF(OR(J753="",K753=""),"",J753*K753)</f>
        <v/>
      </c>
      <c r="M753" s="19" t="n"/>
      <c r="N753" s="20" t="n"/>
      <c r="O753" s="20" t="n"/>
    </row>
    <row r="754">
      <c r="A754" s="16" t="n">
        <v>751</v>
      </c>
      <c r="B754" s="17" t="inlineStr">
        <is>
          <t>1.7.4.2</t>
        </is>
      </c>
      <c r="C754" s="18" t="inlineStr">
        <is>
          <t>Part 1 – General &amp; Programme</t>
        </is>
      </c>
      <c r="D754" s="18" t="inlineStr">
        <is>
          <t>1.7 TRAINING</t>
        </is>
      </c>
      <c r="E754" s="18" t="inlineStr">
        <is>
          <t>1.7.4 ON THE JOB TRAINING</t>
        </is>
      </c>
      <c r="F754" s="18" t="inlineStr">
        <is>
          <t>The CONTRACTOR shall deliver an OJT plan shall that includes verification and validation (V&amp;V) of the gained Knowledge, Skills and Abilities.</t>
        </is>
      </c>
      <c r="G754" s="19" t="n"/>
      <c r="H754" s="20" t="n"/>
      <c r="I754" s="20" t="n"/>
      <c r="J754" s="19" t="n"/>
      <c r="K754" s="21" t="n"/>
      <c r="L754" s="22">
        <f>IF(OR(J754="",K754=""),"",J754*K754)</f>
        <v/>
      </c>
      <c r="M754" s="19" t="n"/>
      <c r="N754" s="20" t="n"/>
      <c r="O754" s="20" t="n"/>
    </row>
    <row r="755">
      <c r="A755" s="23" t="n">
        <v>752</v>
      </c>
      <c r="B755" s="24" t="inlineStr">
        <is>
          <t>1.7.4.3</t>
        </is>
      </c>
      <c r="C755" s="25" t="inlineStr">
        <is>
          <t>Part 1 – General &amp; Programme</t>
        </is>
      </c>
      <c r="D755" s="25" t="inlineStr">
        <is>
          <t>1.7 TRAINING</t>
        </is>
      </c>
      <c r="E755" s="25" t="inlineStr">
        <is>
          <t>1.7.4 ON THE JOB TRAINING</t>
        </is>
      </c>
      <c r="F755" s="25" t="inlineStr">
        <is>
          <t>At the end of the training, the CONTRACTOR shall either:</t>
        </is>
      </c>
      <c r="G755" s="19" t="n"/>
      <c r="H755" s="20" t="n"/>
      <c r="I755" s="20" t="n"/>
      <c r="J755" s="19" t="n"/>
      <c r="K755" s="21" t="n"/>
      <c r="L755" s="22">
        <f>IF(OR(J755="",K755=""),"",J755*K755)</f>
        <v/>
      </c>
      <c r="M755" s="19" t="n"/>
      <c r="N755" s="20" t="n"/>
      <c r="O755" s="20" t="n"/>
    </row>
    <row r="756">
      <c r="A756" s="16" t="n">
        <v>753</v>
      </c>
      <c r="B756" s="16" t="inlineStr">
        <is>
          <t>1.7.4.3.1</t>
        </is>
      </c>
      <c r="C756" s="18" t="inlineStr">
        <is>
          <t>Part 1 – General &amp; Programme</t>
        </is>
      </c>
      <c r="D756" s="18" t="inlineStr">
        <is>
          <t>1.7 TRAINING</t>
        </is>
      </c>
      <c r="E756" s="18" t="inlineStr">
        <is>
          <t>1.7.4 ON THE JOB TRAINING</t>
        </is>
      </c>
      <c r="F756" s="18" t="inlineStr">
        <is>
          <t>Provide a certificate confirming that the individual has met the required standard, or</t>
        </is>
      </c>
      <c r="G756" s="19" t="n"/>
      <c r="H756" s="20" t="n"/>
      <c r="I756" s="20" t="n"/>
      <c r="J756" s="19" t="n"/>
      <c r="K756" s="21" t="n"/>
      <c r="L756" s="22">
        <f>IF(OR(J756="",K756=""),"",J756*K756)</f>
        <v/>
      </c>
      <c r="M756" s="19" t="n"/>
      <c r="N756" s="20" t="n"/>
      <c r="O756" s="20" t="n"/>
    </row>
    <row r="757">
      <c r="A757" s="23" t="n">
        <v>754</v>
      </c>
      <c r="B757" s="23" t="inlineStr">
        <is>
          <t>1.7.4.3.2</t>
        </is>
      </c>
      <c r="C757" s="25" t="inlineStr">
        <is>
          <t>Part 1 – General &amp; Programme</t>
        </is>
      </c>
      <c r="D757" s="25" t="inlineStr">
        <is>
          <t>1.7 TRAINING</t>
        </is>
      </c>
      <c r="E757" s="25" t="inlineStr">
        <is>
          <t>1.7.4 ON THE JOB TRAINING</t>
        </is>
      </c>
      <c r="F757" s="25" t="inlineStr">
        <is>
          <t>State why the individual failed to meet the required standard. In such cases the statement shall include a performance analysis indicating possible reasons of the failure and state whether the individual would be suitable for any other role within the OSS911 Center.</t>
        </is>
      </c>
      <c r="G757" s="19" t="n"/>
      <c r="H757" s="20" t="n"/>
      <c r="I757" s="20" t="n"/>
      <c r="J757" s="19" t="n"/>
      <c r="K757" s="21" t="n"/>
      <c r="L757" s="22">
        <f>IF(OR(J757="",K757=""),"",J757*K757)</f>
        <v/>
      </c>
      <c r="M757" s="19" t="n"/>
      <c r="N757" s="20" t="n"/>
      <c r="O757" s="20" t="n"/>
    </row>
    <row r="758">
      <c r="A758" s="16" t="n">
        <v>755</v>
      </c>
      <c r="B758" s="17" t="inlineStr">
        <is>
          <t>1.7.5.1</t>
        </is>
      </c>
      <c r="C758" s="18" t="inlineStr">
        <is>
          <t>Part 1 – General &amp; Programme</t>
        </is>
      </c>
      <c r="D758" s="18" t="inlineStr">
        <is>
          <t>1.7 TRAINING</t>
        </is>
      </c>
      <c r="E758" s="18" t="inlineStr">
        <is>
          <t>1.7.5 TRAINING PLANS</t>
        </is>
      </c>
      <c r="F758" s="18" t="inlineStr">
        <is>
          <t>As part of their proposals, the BIDDER shall include Course Training Plans (CTP) that demonstrate the BIDDER methodology, approach and schedule.</t>
        </is>
      </c>
      <c r="G758" s="19" t="n"/>
      <c r="H758" s="20" t="n"/>
      <c r="I758" s="20" t="n"/>
      <c r="J758" s="19" t="n"/>
      <c r="K758" s="21" t="n"/>
      <c r="L758" s="22">
        <f>IF(OR(J758="",K758=""),"",J758*K758)</f>
        <v/>
      </c>
      <c r="M758" s="19" t="n"/>
      <c r="N758" s="20" t="n"/>
      <c r="O758" s="20" t="n"/>
    </row>
    <row r="759">
      <c r="A759" s="23" t="n">
        <v>756</v>
      </c>
      <c r="B759" s="24" t="inlineStr">
        <is>
          <t>1.7.5.2</t>
        </is>
      </c>
      <c r="C759" s="25" t="inlineStr">
        <is>
          <t>Part 1 – General &amp; Programme</t>
        </is>
      </c>
      <c r="D759" s="25" t="inlineStr">
        <is>
          <t>1.7 TRAINING</t>
        </is>
      </c>
      <c r="E759" s="25" t="inlineStr">
        <is>
          <t>1.7.5 TRAINING PLANS</t>
        </is>
      </c>
      <c r="F759" s="25" t="inlineStr">
        <is>
          <t>The CONTRACTOR shall revise the CTP in consultation with the MOI as part of the TNA.</t>
        </is>
      </c>
      <c r="G759" s="19" t="n"/>
      <c r="H759" s="20" t="n"/>
      <c r="I759" s="20" t="n"/>
      <c r="J759" s="19" t="n"/>
      <c r="K759" s="21" t="n"/>
      <c r="L759" s="22">
        <f>IF(OR(J759="",K759=""),"",J759*K759)</f>
        <v/>
      </c>
      <c r="M759" s="19" t="n"/>
      <c r="N759" s="20" t="n"/>
      <c r="O759" s="20" t="n"/>
    </row>
    <row r="760">
      <c r="A760" s="16" t="n">
        <v>757</v>
      </c>
      <c r="B760" s="17" t="inlineStr">
        <is>
          <t>1.7.5.3</t>
        </is>
      </c>
      <c r="C760" s="18" t="inlineStr">
        <is>
          <t>Part 1 – General &amp; Programme</t>
        </is>
      </c>
      <c r="D760" s="18" t="inlineStr">
        <is>
          <t>1.7 TRAINING</t>
        </is>
      </c>
      <c r="E760" s="18" t="inlineStr">
        <is>
          <t>1.7.5 TRAINING PLANS</t>
        </is>
      </c>
      <c r="F760" s="18" t="inlineStr">
        <is>
          <t>The CONTRACTOR shall provide CTP for all OSS911 Center roles based upon the results and findings from the TNAs.</t>
        </is>
      </c>
      <c r="G760" s="19" t="n"/>
      <c r="H760" s="20" t="n"/>
      <c r="I760" s="20" t="n"/>
      <c r="J760" s="19" t="n"/>
      <c r="K760" s="21" t="n"/>
      <c r="L760" s="22">
        <f>IF(OR(J760="",K760=""),"",J760*K760)</f>
        <v/>
      </c>
      <c r="M760" s="19" t="n"/>
      <c r="N760" s="20" t="n"/>
      <c r="O760" s="20" t="n"/>
    </row>
    <row r="761">
      <c r="A761" s="23" t="n">
        <v>758</v>
      </c>
      <c r="B761" s="24" t="inlineStr">
        <is>
          <t>1.7.5.4</t>
        </is>
      </c>
      <c r="C761" s="25" t="inlineStr">
        <is>
          <t>Part 1 – General &amp; Programme</t>
        </is>
      </c>
      <c r="D761" s="25" t="inlineStr">
        <is>
          <t>1.7 TRAINING</t>
        </is>
      </c>
      <c r="E761" s="25" t="inlineStr">
        <is>
          <t>1.7.5 TRAINING PLANS</t>
        </is>
      </c>
      <c r="F761" s="25" t="inlineStr">
        <is>
          <t>Training plans shall address at least the following groupings:</t>
        </is>
      </c>
      <c r="G761" s="19" t="n"/>
      <c r="H761" s="20" t="n"/>
      <c r="I761" s="20" t="n"/>
      <c r="J761" s="19" t="n"/>
      <c r="K761" s="21" t="n"/>
      <c r="L761" s="22">
        <f>IF(OR(J761="",K761=""),"",J761*K761)</f>
        <v/>
      </c>
      <c r="M761" s="19" t="n"/>
      <c r="N761" s="20" t="n"/>
      <c r="O761" s="20" t="n"/>
    </row>
    <row r="762">
      <c r="A762" s="16" t="n">
        <v>759</v>
      </c>
      <c r="B762" s="16" t="inlineStr">
        <is>
          <t>1.7.5.4.1</t>
        </is>
      </c>
      <c r="C762" s="18" t="inlineStr">
        <is>
          <t>Part 1 – General &amp; Programme</t>
        </is>
      </c>
      <c r="D762" s="18" t="inlineStr">
        <is>
          <t>1.7 TRAINING</t>
        </is>
      </c>
      <c r="E762" s="18" t="inlineStr">
        <is>
          <t>1.7.5 TRAINING PLANS</t>
        </is>
      </c>
      <c r="F762" s="18" t="inlineStr">
        <is>
          <t>OSS911 systems Training for all OSS911 systems for all roles.</t>
        </is>
      </c>
      <c r="G762" s="19" t="n"/>
      <c r="H762" s="20" t="n"/>
      <c r="I762" s="20" t="n"/>
      <c r="J762" s="19" t="n"/>
      <c r="K762" s="21" t="n"/>
      <c r="L762" s="22">
        <f>IF(OR(J762="",K762=""),"",J762*K762)</f>
        <v/>
      </c>
      <c r="M762" s="19" t="n"/>
      <c r="N762" s="20" t="n"/>
      <c r="O762" s="20" t="n"/>
    </row>
    <row r="763">
      <c r="A763" s="23" t="n">
        <v>760</v>
      </c>
      <c r="B763" s="23" t="inlineStr">
        <is>
          <t>1.7.5.4.2</t>
        </is>
      </c>
      <c r="C763" s="25" t="inlineStr">
        <is>
          <t>Part 1 – General &amp; Programme</t>
        </is>
      </c>
      <c r="D763" s="25" t="inlineStr">
        <is>
          <t>1.7 TRAINING</t>
        </is>
      </c>
      <c r="E763" s="25" t="inlineStr">
        <is>
          <t>1.7.5 TRAINING PLANS</t>
        </is>
      </c>
      <c r="F763" s="25" t="inlineStr">
        <is>
          <t>Administration and Technical training</t>
        </is>
      </c>
      <c r="G763" s="19" t="n"/>
      <c r="H763" s="20" t="n"/>
      <c r="I763" s="20" t="n"/>
      <c r="J763" s="19" t="n"/>
      <c r="K763" s="21" t="n"/>
      <c r="L763" s="22">
        <f>IF(OR(J763="",K763=""),"",J763*K763)</f>
        <v/>
      </c>
      <c r="M763" s="19" t="n"/>
      <c r="N763" s="20" t="n"/>
      <c r="O763" s="20" t="n"/>
    </row>
    <row r="764">
      <c r="A764" s="16" t="n">
        <v>761</v>
      </c>
      <c r="B764" s="17" t="inlineStr">
        <is>
          <t>1.7.5.5</t>
        </is>
      </c>
      <c r="C764" s="18" t="inlineStr">
        <is>
          <t>Part 1 – General &amp; Programme</t>
        </is>
      </c>
      <c r="D764" s="18" t="inlineStr">
        <is>
          <t>1.7 TRAINING</t>
        </is>
      </c>
      <c r="E764" s="18" t="inlineStr">
        <is>
          <t>1.7.5 TRAINING PLANS</t>
        </is>
      </c>
      <c r="F764" s="18" t="inlineStr">
        <is>
          <t>The CONTRACTOR shall develop and deliver a comprehensive Master Training Plan and supporting documentation (e.g.: curricula, individual development plans) that addresses the full scope of Project training needs.</t>
        </is>
      </c>
      <c r="G764" s="19" t="n"/>
      <c r="H764" s="20" t="n"/>
      <c r="I764" s="20" t="n"/>
      <c r="J764" s="19" t="n"/>
      <c r="K764" s="21" t="n"/>
      <c r="L764" s="22">
        <f>IF(OR(J764="",K764=""),"",J764*K764)</f>
        <v/>
      </c>
      <c r="M764" s="19" t="n"/>
      <c r="N764" s="20" t="n"/>
      <c r="O764" s="20" t="n"/>
    </row>
    <row r="765">
      <c r="A765" s="23" t="n">
        <v>762</v>
      </c>
      <c r="B765" s="24" t="inlineStr">
        <is>
          <t>1.7.6.1</t>
        </is>
      </c>
      <c r="C765" s="25" t="inlineStr">
        <is>
          <t>Part 1 – General &amp; Programme</t>
        </is>
      </c>
      <c r="D765" s="25" t="inlineStr">
        <is>
          <t>1.7 TRAINING</t>
        </is>
      </c>
      <c r="E765" s="25" t="inlineStr">
        <is>
          <t>1.7.6 TRAINING ASSESSMENT AND FOLLOW UP</t>
        </is>
      </c>
      <c r="F765" s="25" t="inlineStr">
        <is>
          <t>The CONTRACTOR shall conduct a pre-training assessment for each training course and/or batch that helps the evaluation of the initial impact and effectiveness of the Training Program on the skills, knowledge, and abilities of Training Program participants.</t>
        </is>
      </c>
      <c r="G765" s="19" t="n"/>
      <c r="H765" s="20" t="n"/>
      <c r="I765" s="20" t="n"/>
      <c r="J765" s="19" t="n"/>
      <c r="K765" s="21" t="n"/>
      <c r="L765" s="22">
        <f>IF(OR(J765="",K765=""),"",J765*K765)</f>
        <v/>
      </c>
      <c r="M765" s="19" t="n"/>
      <c r="N765" s="20" t="n"/>
      <c r="O765" s="20" t="n"/>
    </row>
    <row r="766">
      <c r="A766" s="16" t="n">
        <v>763</v>
      </c>
      <c r="B766" s="17" t="inlineStr">
        <is>
          <t>1.7.6.2</t>
        </is>
      </c>
      <c r="C766" s="18" t="inlineStr">
        <is>
          <t>Part 1 – General &amp; Programme</t>
        </is>
      </c>
      <c r="D766" s="18" t="inlineStr">
        <is>
          <t>1.7 TRAINING</t>
        </is>
      </c>
      <c r="E766" s="18" t="inlineStr">
        <is>
          <t>1.7.6 TRAINING ASSESSMENT AND FOLLOW UP</t>
        </is>
      </c>
      <c r="F766" s="18" t="inlineStr">
        <is>
          <t>The CONTRACTOR shall use the pre-training assessment results:</t>
        </is>
      </c>
      <c r="G766" s="19" t="n"/>
      <c r="H766" s="20" t="n"/>
      <c r="I766" s="20" t="n"/>
      <c r="J766" s="19" t="n"/>
      <c r="K766" s="21" t="n"/>
      <c r="L766" s="22">
        <f>IF(OR(J766="",K766=""),"",J766*K766)</f>
        <v/>
      </c>
      <c r="M766" s="19" t="n"/>
      <c r="N766" s="20" t="n"/>
      <c r="O766" s="20" t="n"/>
    </row>
    <row r="767">
      <c r="A767" s="23" t="n">
        <v>764</v>
      </c>
      <c r="B767" s="23" t="inlineStr">
        <is>
          <t>1.7.6.2.1</t>
        </is>
      </c>
      <c r="C767" s="25" t="inlineStr">
        <is>
          <t>Part 1 – General &amp; Programme</t>
        </is>
      </c>
      <c r="D767" s="25" t="inlineStr">
        <is>
          <t>1.7 TRAINING</t>
        </is>
      </c>
      <c r="E767" s="25" t="inlineStr">
        <is>
          <t>1.7.6 TRAINING ASSESSMENT AND FOLLOW UP</t>
        </is>
      </c>
      <c r="F767" s="25" t="inlineStr">
        <is>
          <t>To develop the training needs of each individual</t>
        </is>
      </c>
      <c r="G767" s="19" t="n"/>
      <c r="H767" s="20" t="n"/>
      <c r="I767" s="20" t="n"/>
      <c r="J767" s="19" t="n"/>
      <c r="K767" s="21" t="n"/>
      <c r="L767" s="22">
        <f>IF(OR(J767="",K767=""),"",J767*K767)</f>
        <v/>
      </c>
      <c r="M767" s="19" t="n"/>
      <c r="N767" s="20" t="n"/>
      <c r="O767" s="20" t="n"/>
    </row>
    <row r="768">
      <c r="A768" s="16" t="n">
        <v>765</v>
      </c>
      <c r="B768" s="16" t="inlineStr">
        <is>
          <t>1.7.6.2.2</t>
        </is>
      </c>
      <c r="C768" s="18" t="inlineStr">
        <is>
          <t>Part 1 – General &amp; Programme</t>
        </is>
      </c>
      <c r="D768" s="18" t="inlineStr">
        <is>
          <t>1.7 TRAINING</t>
        </is>
      </c>
      <c r="E768" s="18" t="inlineStr">
        <is>
          <t>1.7.6 TRAINING ASSESSMENT AND FOLLOW UP</t>
        </is>
      </c>
      <c r="F768" s="18" t="inlineStr">
        <is>
          <t>To provide baseline data for use in later training course evaluations</t>
        </is>
      </c>
      <c r="G768" s="19" t="n"/>
      <c r="H768" s="20" t="n"/>
      <c r="I768" s="20" t="n"/>
      <c r="J768" s="19" t="n"/>
      <c r="K768" s="21" t="n"/>
      <c r="L768" s="22">
        <f>IF(OR(J768="",K768=""),"",J768*K768)</f>
        <v/>
      </c>
      <c r="M768" s="19" t="n"/>
      <c r="N768" s="20" t="n"/>
      <c r="O768" s="20" t="n"/>
    </row>
    <row r="769">
      <c r="A769" s="23" t="n">
        <v>766</v>
      </c>
      <c r="B769" s="24" t="inlineStr">
        <is>
          <t>1.7.6.3</t>
        </is>
      </c>
      <c r="C769" s="25" t="inlineStr">
        <is>
          <t>Part 1 – General &amp; Programme</t>
        </is>
      </c>
      <c r="D769" s="25" t="inlineStr">
        <is>
          <t>1.7 TRAINING</t>
        </is>
      </c>
      <c r="E769" s="25" t="inlineStr">
        <is>
          <t>1.7.6 TRAINING ASSESSMENT AND FOLLOW UP</t>
        </is>
      </c>
      <c r="F769" s="25" t="inlineStr">
        <is>
          <t>Upon completion of a training course and/or batch, the CONTRACTOR shall provide the MOI with a post-training assessment report that documents the training activities and student pass/failure results, within seven days of the completion of the training course and/or batch.</t>
        </is>
      </c>
      <c r="G769" s="19" t="n"/>
      <c r="H769" s="20" t="n"/>
      <c r="I769" s="20" t="n"/>
      <c r="J769" s="19" t="n"/>
      <c r="K769" s="21" t="n"/>
      <c r="L769" s="22">
        <f>IF(OR(J769="",K769=""),"",J769*K769)</f>
        <v/>
      </c>
      <c r="M769" s="19" t="n"/>
      <c r="N769" s="20" t="n"/>
      <c r="O769" s="20" t="n"/>
    </row>
    <row r="770">
      <c r="A770" s="16" t="n">
        <v>767</v>
      </c>
      <c r="B770" s="17" t="inlineStr">
        <is>
          <t>1.7.6.4</t>
        </is>
      </c>
      <c r="C770" s="18" t="inlineStr">
        <is>
          <t>Part 1 – General &amp; Programme</t>
        </is>
      </c>
      <c r="D770" s="18" t="inlineStr">
        <is>
          <t>1.7 TRAINING</t>
        </is>
      </c>
      <c r="E770" s="18" t="inlineStr">
        <is>
          <t>1.7.6 TRAINING ASSESSMENT AND FOLLOW UP</t>
        </is>
      </c>
      <c r="F770" s="18" t="inlineStr">
        <is>
          <t>The post-training assessment report shall include an executive summary, the methodology used, summaries of the course delivered, the names and total numbers of personnel trained, pre and post training scores, a written narrative of training activities including any significant activities, discoveries, and issues encountered during the practical training exercises.</t>
        </is>
      </c>
      <c r="G770" s="19" t="n"/>
      <c r="H770" s="20" t="n"/>
      <c r="I770" s="20" t="n"/>
      <c r="J770" s="19" t="n"/>
      <c r="K770" s="21" t="n"/>
      <c r="L770" s="22">
        <f>IF(OR(J770="",K770=""),"",J770*K770)</f>
        <v/>
      </c>
      <c r="M770" s="19" t="n"/>
      <c r="N770" s="20" t="n"/>
      <c r="O770" s="20" t="n"/>
    </row>
    <row r="771">
      <c r="A771" s="23" t="n">
        <v>768</v>
      </c>
      <c r="B771" s="24" t="inlineStr">
        <is>
          <t>1.7.6.5</t>
        </is>
      </c>
      <c r="C771" s="25" t="inlineStr">
        <is>
          <t>Part 1 – General &amp; Programme</t>
        </is>
      </c>
      <c r="D771" s="25" t="inlineStr">
        <is>
          <t>1.7 TRAINING</t>
        </is>
      </c>
      <c r="E771" s="25" t="inlineStr">
        <is>
          <t>1.7.6 TRAINING ASSESSMENT AND FOLLOW UP</t>
        </is>
      </c>
      <c r="F771" s="25" t="inlineStr">
        <is>
          <t>In addition, the post-training assessment report shall include conclusions and a list of recommendations of on-going activities and/or additional training.</t>
        </is>
      </c>
      <c r="G771" s="19" t="n"/>
      <c r="H771" s="20" t="n"/>
      <c r="I771" s="20" t="n"/>
      <c r="J771" s="19" t="n"/>
      <c r="K771" s="21" t="n"/>
      <c r="L771" s="22">
        <f>IF(OR(J771="",K771=""),"",J771*K771)</f>
        <v/>
      </c>
      <c r="M771" s="19" t="n"/>
      <c r="N771" s="20" t="n"/>
      <c r="O771" s="20" t="n"/>
    </row>
    <row r="772">
      <c r="A772" s="16" t="n">
        <v>769</v>
      </c>
      <c r="B772" s="17" t="inlineStr">
        <is>
          <t>1.7.7.1</t>
        </is>
      </c>
      <c r="C772" s="18" t="inlineStr">
        <is>
          <t>Part 1 – General &amp; Programme</t>
        </is>
      </c>
      <c r="D772" s="18" t="inlineStr">
        <is>
          <t>1.7 TRAINING</t>
        </is>
      </c>
      <c r="E772" s="18" t="inlineStr">
        <is>
          <t>1.7.7 THE CONTRACTOR TRAINING MANAGEMENT TEAM</t>
        </is>
      </c>
      <c r="F772" s="18" t="inlineStr">
        <is>
          <t>The CONTRACTOR shall supply a training specialist who will be fully responsible for the overall training processes and who shall meet the qualification and experience requirements as outlined in the Arabic section of this RFP.</t>
        </is>
      </c>
      <c r="G772" s="19" t="n"/>
      <c r="H772" s="20" t="n"/>
      <c r="I772" s="20" t="n"/>
      <c r="J772" s="19" t="n"/>
      <c r="K772" s="21" t="n"/>
      <c r="L772" s="22">
        <f>IF(OR(J772="",K772=""),"",J772*K772)</f>
        <v/>
      </c>
      <c r="M772" s="19" t="n"/>
      <c r="N772" s="20" t="n"/>
      <c r="O772" s="20" t="n"/>
    </row>
    <row r="773">
      <c r="A773" s="23" t="n">
        <v>770</v>
      </c>
      <c r="B773" s="24" t="inlineStr">
        <is>
          <t>1.7.8.1</t>
        </is>
      </c>
      <c r="C773" s="25" t="inlineStr">
        <is>
          <t>Part 1 – General &amp; Programme</t>
        </is>
      </c>
      <c r="D773" s="25" t="inlineStr">
        <is>
          <t>1.7 TRAINING</t>
        </is>
      </c>
      <c r="E773" s="25" t="inlineStr">
        <is>
          <t>1.7.8 THE CONTRACTOR TRAINERS</t>
        </is>
      </c>
      <c r="F773" s="25" t="inlineStr">
        <is>
          <t>The contractor shall provide a list of their proposed trainers to the MOI along with details of their training qualifications and experience.</t>
        </is>
      </c>
      <c r="G773" s="19" t="n"/>
      <c r="H773" s="20" t="n"/>
      <c r="I773" s="20" t="n"/>
      <c r="J773" s="19" t="n"/>
      <c r="K773" s="21" t="n"/>
      <c r="L773" s="22">
        <f>IF(OR(J773="",K773=""),"",J773*K773)</f>
        <v/>
      </c>
      <c r="M773" s="19" t="n"/>
      <c r="N773" s="20" t="n"/>
      <c r="O773" s="20" t="n"/>
    </row>
    <row r="774">
      <c r="A774" s="16" t="n">
        <v>771</v>
      </c>
      <c r="B774" s="17" t="inlineStr">
        <is>
          <t>1.7.8.2</t>
        </is>
      </c>
      <c r="C774" s="18" t="inlineStr">
        <is>
          <t>Part 1 – General &amp; Programme</t>
        </is>
      </c>
      <c r="D774" s="18" t="inlineStr">
        <is>
          <t>1.7 TRAINING</t>
        </is>
      </c>
      <c r="E774" s="18" t="inlineStr">
        <is>
          <t>1.7.8 THE CONTRACTOR TRAINERS</t>
        </is>
      </c>
      <c r="F774" s="18" t="inlineStr">
        <is>
          <t>The MOI reserves the right to reject any resources deemed to have unsuitable qualifications or relevant prior experience.</t>
        </is>
      </c>
      <c r="G774" s="19" t="n"/>
      <c r="H774" s="20" t="n"/>
      <c r="I774" s="20" t="n"/>
      <c r="J774" s="19" t="n"/>
      <c r="K774" s="21" t="n"/>
      <c r="L774" s="22">
        <f>IF(OR(J774="",K774=""),"",J774*K774)</f>
        <v/>
      </c>
      <c r="M774" s="19" t="n"/>
      <c r="N774" s="20" t="n"/>
      <c r="O774" s="20" t="n"/>
    </row>
    <row r="775">
      <c r="A775" s="23" t="n">
        <v>772</v>
      </c>
      <c r="B775" s="24" t="inlineStr">
        <is>
          <t>1.7.8.3</t>
        </is>
      </c>
      <c r="C775" s="25" t="inlineStr">
        <is>
          <t>Part 1 – General &amp; Programme</t>
        </is>
      </c>
      <c r="D775" s="25" t="inlineStr">
        <is>
          <t>1.7 TRAINING</t>
        </is>
      </c>
      <c r="E775" s="25" t="inlineStr">
        <is>
          <t>1.7.8 THE CONTRACTOR TRAINERS</t>
        </is>
      </c>
      <c r="F775" s="25" t="inlineStr">
        <is>
          <t>Only suitably certified trainers shall be used to develop and deliver training courses. The certification must be provided by the technology vendor.</t>
        </is>
      </c>
      <c r="G775" s="19" t="n"/>
      <c r="H775" s="20" t="n"/>
      <c r="I775" s="20" t="n"/>
      <c r="J775" s="19" t="n"/>
      <c r="K775" s="21" t="n"/>
      <c r="L775" s="22">
        <f>IF(OR(J775="",K775=""),"",J775*K775)</f>
        <v/>
      </c>
      <c r="M775" s="19" t="n"/>
      <c r="N775" s="20" t="n"/>
      <c r="O775" s="20" t="n"/>
    </row>
    <row r="776">
      <c r="A776" s="16" t="n">
        <v>773</v>
      </c>
      <c r="B776" s="17" t="inlineStr">
        <is>
          <t>1.7.9.1</t>
        </is>
      </c>
      <c r="C776" s="18" t="inlineStr">
        <is>
          <t>Part 1 – General &amp; Programme</t>
        </is>
      </c>
      <c r="D776" s="18" t="inlineStr">
        <is>
          <t>1.7 TRAINING</t>
        </is>
      </c>
      <c r="E776" s="18" t="inlineStr">
        <is>
          <t>1.7.9 THE MOI OSS911 TRAINERS</t>
        </is>
      </c>
      <c r="F776" s="18" t="inlineStr">
        <is>
          <t>The CONTRACTOR shall train MOI-identified personnel as trainers, as part of the Train-the-Trainers deliverable for the subjects and courses to be agreed with the MOI.</t>
        </is>
      </c>
      <c r="G776" s="19" t="n"/>
      <c r="H776" s="20" t="n"/>
      <c r="I776" s="20" t="n"/>
      <c r="J776" s="19" t="n"/>
      <c r="K776" s="21" t="n"/>
      <c r="L776" s="22">
        <f>IF(OR(J776="",K776=""),"",J776*K776)</f>
        <v/>
      </c>
      <c r="M776" s="19" t="n"/>
      <c r="N776" s="20" t="n"/>
      <c r="O776" s="20" t="n"/>
    </row>
    <row r="777">
      <c r="A777" s="23" t="n">
        <v>774</v>
      </c>
      <c r="B777" s="24" t="inlineStr">
        <is>
          <t>1.7.9.2</t>
        </is>
      </c>
      <c r="C777" s="25" t="inlineStr">
        <is>
          <t>Part 1 – General &amp; Programme</t>
        </is>
      </c>
      <c r="D777" s="25" t="inlineStr">
        <is>
          <t>1.7 TRAINING</t>
        </is>
      </c>
      <c r="E777" s="25" t="inlineStr">
        <is>
          <t>1.7.9 THE MOI OSS911 TRAINERS</t>
        </is>
      </c>
      <c r="F777" s="25" t="inlineStr">
        <is>
          <t>The CONTRACTOR shall provide a Methods of Instruction (MoIT) for all the MOI OSS911 Trainers to allow the MOI trainers to fully understand the training methodology and the training/teaching material.</t>
        </is>
      </c>
      <c r="G777" s="19" t="n"/>
      <c r="H777" s="20" t="n"/>
      <c r="I777" s="20" t="n"/>
      <c r="J777" s="19" t="n"/>
      <c r="K777" s="21" t="n"/>
      <c r="L777" s="22">
        <f>IF(OR(J777="",K777=""),"",J777*K777)</f>
        <v/>
      </c>
      <c r="M777" s="19" t="n"/>
      <c r="N777" s="20" t="n"/>
      <c r="O777" s="20" t="n"/>
    </row>
    <row r="778">
      <c r="A778" s="16" t="n">
        <v>775</v>
      </c>
      <c r="B778" s="17" t="inlineStr">
        <is>
          <t>1.7.10.1</t>
        </is>
      </c>
      <c r="C778" s="18" t="inlineStr">
        <is>
          <t>Part 1 – General &amp; Programme</t>
        </is>
      </c>
      <c r="D778" s="18" t="inlineStr">
        <is>
          <t>1.7 TRAINING</t>
        </is>
      </c>
      <c r="E778" s="18" t="inlineStr">
        <is>
          <t>1.7.10 TRAINING FACILITIES</t>
        </is>
      </c>
      <c r="F778" s="18" t="inlineStr">
        <is>
          <t>The CONTRACTOR shall equip the training rooms in the OSS911 center with OSS911 solutions with full project features.</t>
        </is>
      </c>
      <c r="G778" s="19" t="n"/>
      <c r="H778" s="20" t="n"/>
      <c r="I778" s="20" t="n"/>
      <c r="J778" s="19" t="n"/>
      <c r="K778" s="21" t="n"/>
      <c r="L778" s="22">
        <f>IF(OR(J778="",K778=""),"",J778*K778)</f>
        <v/>
      </c>
      <c r="M778" s="19" t="n"/>
      <c r="N778" s="20" t="n"/>
      <c r="O778" s="20" t="n"/>
    </row>
    <row r="779">
      <c r="A779" s="23" t="n">
        <v>776</v>
      </c>
      <c r="B779" s="24" t="inlineStr">
        <is>
          <t>1.7.10.2</t>
        </is>
      </c>
      <c r="C779" s="25" t="inlineStr">
        <is>
          <t>Part 1 – General &amp; Programme</t>
        </is>
      </c>
      <c r="D779" s="25" t="inlineStr">
        <is>
          <t>1.7 TRAINING</t>
        </is>
      </c>
      <c r="E779" s="25" t="inlineStr">
        <is>
          <t>1.7.10 TRAINING FACILITIES</t>
        </is>
      </c>
      <c r="F779" s="25" t="inlineStr">
        <is>
          <t>THE CONTRACTOR shall provide a complete dedicated centralized training network and platform for OSS911 solutions that shall be installed in the OSS911 Center, and that is isolated from any of the OSS911 production network and platform.</t>
        </is>
      </c>
      <c r="G779" s="19" t="n"/>
      <c r="H779" s="20" t="n"/>
      <c r="I779" s="20" t="n"/>
      <c r="J779" s="19" t="n"/>
      <c r="K779" s="21" t="n"/>
      <c r="L779" s="22">
        <f>IF(OR(J779="",K779=""),"",J779*K779)</f>
        <v/>
      </c>
      <c r="M779" s="19" t="n"/>
      <c r="N779" s="20" t="n"/>
      <c r="O779" s="20" t="n"/>
    </row>
    <row r="780">
      <c r="A780" s="16" t="n">
        <v>777</v>
      </c>
      <c r="B780" s="17" t="inlineStr">
        <is>
          <t>1.7.10.3</t>
        </is>
      </c>
      <c r="C780" s="18" t="inlineStr">
        <is>
          <t>Part 1 – General &amp; Programme</t>
        </is>
      </c>
      <c r="D780" s="18" t="inlineStr">
        <is>
          <t>1.7 TRAINING</t>
        </is>
      </c>
      <c r="E780" s="18" t="inlineStr">
        <is>
          <t>1.7.10 TRAINING FACILITIES</t>
        </is>
      </c>
      <c r="F780" s="18" t="inlineStr">
        <is>
          <t>At all times during the contract, the CONTRACTOR shall ensure that the training environment is up to date with the releases, patches and updated versions of all software that is at that time running in the live/production environment.</t>
        </is>
      </c>
      <c r="G780" s="19" t="n"/>
      <c r="H780" s="20" t="n"/>
      <c r="I780" s="20" t="n"/>
      <c r="J780" s="19" t="n"/>
      <c r="K780" s="21" t="n"/>
      <c r="L780" s="22">
        <f>IF(OR(J780="",K780=""),"",J780*K780)</f>
        <v/>
      </c>
      <c r="M780" s="19" t="n"/>
      <c r="N780" s="20" t="n"/>
      <c r="O780" s="20" t="n"/>
    </row>
    <row r="781">
      <c r="A781" s="23" t="n">
        <v>778</v>
      </c>
      <c r="B781" s="24" t="inlineStr">
        <is>
          <t>1.7.10.4</t>
        </is>
      </c>
      <c r="C781" s="25" t="inlineStr">
        <is>
          <t>Part 1 – General &amp; Programme</t>
        </is>
      </c>
      <c r="D781" s="25" t="inlineStr">
        <is>
          <t>1.7 TRAINING</t>
        </is>
      </c>
      <c r="E781" s="25" t="inlineStr">
        <is>
          <t>1.7.10 TRAINING FACILITIES</t>
        </is>
      </c>
      <c r="F781" s="25" t="inlineStr">
        <is>
          <t>The CONTRACTOR shall ensure that the training platform shall utilize only non-live incident data and shall have no access to any live operational system used in the OSS911 center.</t>
        </is>
      </c>
      <c r="G781" s="19" t="n"/>
      <c r="H781" s="20" t="n"/>
      <c r="I781" s="20" t="n"/>
      <c r="J781" s="19" t="n"/>
      <c r="K781" s="21" t="n"/>
      <c r="L781" s="22">
        <f>IF(OR(J781="",K781=""),"",J781*K781)</f>
        <v/>
      </c>
      <c r="M781" s="19" t="n"/>
      <c r="N781" s="20" t="n"/>
      <c r="O781" s="20" t="n"/>
    </row>
    <row r="782">
      <c r="A782" s="16" t="n">
        <v>779</v>
      </c>
      <c r="B782" s="17" t="inlineStr">
        <is>
          <t>1.7.10.5</t>
        </is>
      </c>
      <c r="C782" s="18" t="inlineStr">
        <is>
          <t>Part 1 – General &amp; Programme</t>
        </is>
      </c>
      <c r="D782" s="18" t="inlineStr">
        <is>
          <t>1.7 TRAINING</t>
        </is>
      </c>
      <c r="E782" s="18" t="inlineStr">
        <is>
          <t>1.7.10 TRAINING FACILITIES</t>
        </is>
      </c>
      <c r="F782" s="18" t="inlineStr">
        <is>
          <t>The CONTRACTOR shall be responsible for all costs associated with training, including any to be carried locally and outside the country. These costs shall include but not be limited to such things as:</t>
        </is>
      </c>
      <c r="G782" s="19" t="n"/>
      <c r="H782" s="20" t="n"/>
      <c r="I782" s="20" t="n"/>
      <c r="J782" s="19" t="n"/>
      <c r="K782" s="21" t="n"/>
      <c r="L782" s="22">
        <f>IF(OR(J782="",K782=""),"",J782*K782)</f>
        <v/>
      </c>
      <c r="M782" s="19" t="n"/>
      <c r="N782" s="20" t="n"/>
      <c r="O782" s="20" t="n"/>
    </row>
    <row r="783">
      <c r="A783" s="23" t="n">
        <v>780</v>
      </c>
      <c r="B783" s="23" t="inlineStr">
        <is>
          <t>1.7.10.5.1</t>
        </is>
      </c>
      <c r="C783" s="25" t="inlineStr">
        <is>
          <t>Part 1 – General &amp; Programme</t>
        </is>
      </c>
      <c r="D783" s="25" t="inlineStr">
        <is>
          <t>1.7 TRAINING</t>
        </is>
      </c>
      <c r="E783" s="25" t="inlineStr">
        <is>
          <t>1.7.10 TRAINING FACILITIES</t>
        </is>
      </c>
      <c r="F783" s="25" t="inlineStr">
        <is>
          <t>For training within the OSS911 center: All materials required to conduct the training – reference material and books, paper, pens, pencils, whiteboard in each training room, smart projector in each training room, refreshments and meals for all, etc. Such training will use the building audio system. The CONTRACTOR is responsible for any &amp; all works required to install the equipment supplied by them.</t>
        </is>
      </c>
      <c r="G783" s="19" t="n"/>
      <c r="H783" s="20" t="n"/>
      <c r="I783" s="20" t="n"/>
      <c r="J783" s="19" t="n"/>
      <c r="K783" s="21" t="n"/>
      <c r="L783" s="22">
        <f>IF(OR(J783="",K783=""),"",J783*K783)</f>
        <v/>
      </c>
      <c r="M783" s="19" t="n"/>
      <c r="N783" s="20" t="n"/>
      <c r="O783" s="20" t="n"/>
    </row>
    <row r="784">
      <c r="A784" s="16" t="n">
        <v>781</v>
      </c>
      <c r="B784" s="16" t="inlineStr">
        <is>
          <t>1.7.10.5.2</t>
        </is>
      </c>
      <c r="C784" s="18" t="inlineStr">
        <is>
          <t>Part 1 – General &amp; Programme</t>
        </is>
      </c>
      <c r="D784" s="18" t="inlineStr">
        <is>
          <t>1.7 TRAINING</t>
        </is>
      </c>
      <c r="E784" s="18" t="inlineStr">
        <is>
          <t>1.7.10 TRAINING FACILITIES</t>
        </is>
      </c>
      <c r="F784" s="18" t="inlineStr">
        <is>
          <t>For training at any other site, local or abroad: All materials required to conduct the training – reference material and books, paper, pens, pencils, whiteboards, smart projectors, monitors, lecterns, table’s chairs, audio systems, refreshments and meals, etc.</t>
        </is>
      </c>
      <c r="G784" s="19" t="n"/>
      <c r="H784" s="20" t="n"/>
      <c r="I784" s="20" t="n"/>
      <c r="J784" s="19" t="n"/>
      <c r="K784" s="21" t="n"/>
      <c r="L784" s="22">
        <f>IF(OR(J784="",K784=""),"",J784*K784)</f>
        <v/>
      </c>
      <c r="M784" s="19" t="n"/>
      <c r="N784" s="20" t="n"/>
      <c r="O784" s="20" t="n"/>
    </row>
    <row r="785">
      <c r="A785" s="23" t="n">
        <v>782</v>
      </c>
      <c r="B785" s="24" t="inlineStr">
        <is>
          <t>1.7.11.1</t>
        </is>
      </c>
      <c r="C785" s="25" t="inlineStr">
        <is>
          <t>Part 1 – General &amp; Programme</t>
        </is>
      </c>
      <c r="D785" s="25" t="inlineStr">
        <is>
          <t>1.7 TRAINING</t>
        </is>
      </c>
      <c r="E785" s="25" t="inlineStr">
        <is>
          <t>1.7.11 INDICATIVE SUBJECT AREAS</t>
        </is>
      </c>
      <c r="F785" s="25" t="inlineStr">
        <is>
          <t>In conjunction with the MOI, the CONTRACTOR shall define the subject areas to be included within each training that shall be delivered by the CONTRACTOR.</t>
        </is>
      </c>
      <c r="G785" s="19" t="n"/>
      <c r="H785" s="20" t="n"/>
      <c r="I785" s="20" t="n"/>
      <c r="J785" s="19" t="n"/>
      <c r="K785" s="21" t="n"/>
      <c r="L785" s="22">
        <f>IF(OR(J785="",K785=""),"",J785*K785)</f>
        <v/>
      </c>
      <c r="M785" s="19" t="n"/>
      <c r="N785" s="20" t="n"/>
      <c r="O785" s="20" t="n"/>
    </row>
    <row r="786">
      <c r="A786" s="16" t="n">
        <v>783</v>
      </c>
      <c r="B786" s="17" t="inlineStr">
        <is>
          <t>1.7.11.2</t>
        </is>
      </c>
      <c r="C786" s="18" t="inlineStr">
        <is>
          <t>Part 1 – General &amp; Programme</t>
        </is>
      </c>
      <c r="D786" s="18" t="inlineStr">
        <is>
          <t>1.7 TRAINING</t>
        </is>
      </c>
      <c r="E786" s="18" t="inlineStr">
        <is>
          <t>1.7.11 INDICATIVE SUBJECT AREAS</t>
        </is>
      </c>
      <c r="F786" s="18" t="inlineStr">
        <is>
          <t>The following is a list of subject areas considered appropriate to the roles to be performed within the OSS911 Center. The list shall not be regarded as exhaustive until the design of all the OSS911 systems is completed.</t>
        </is>
      </c>
      <c r="G786" s="19" t="n"/>
      <c r="H786" s="20" t="n"/>
      <c r="I786" s="20" t="n"/>
      <c r="J786" s="19" t="n"/>
      <c r="K786" s="21" t="n"/>
      <c r="L786" s="22">
        <f>IF(OR(J786="",K786=""),"",J786*K786)</f>
        <v/>
      </c>
      <c r="M786" s="19" t="n"/>
      <c r="N786" s="20" t="n"/>
      <c r="O786" s="20" t="n"/>
    </row>
    <row r="787">
      <c r="A787" s="23" t="n">
        <v>784</v>
      </c>
      <c r="B787" s="23" t="inlineStr">
        <is>
          <t>1.7.11.2.1</t>
        </is>
      </c>
      <c r="C787" s="25" t="inlineStr">
        <is>
          <t>Part 1 – General &amp; Programme</t>
        </is>
      </c>
      <c r="D787" s="25" t="inlineStr">
        <is>
          <t>1.7 TRAINING</t>
        </is>
      </c>
      <c r="E787" s="25" t="inlineStr">
        <is>
          <t>1.7.11 INDICATIVE SUBJECT AREAS</t>
        </is>
      </c>
      <c r="F787" s="25" t="inlineStr">
        <is>
          <t>IRMS for all functions and capabilities therein</t>
        </is>
      </c>
      <c r="G787" s="19" t="n"/>
      <c r="H787" s="20" t="n"/>
      <c r="I787" s="20" t="n"/>
      <c r="J787" s="19" t="n"/>
      <c r="K787" s="21" t="n"/>
      <c r="L787" s="22">
        <f>IF(OR(J787="",K787=""),"",J787*K787)</f>
        <v/>
      </c>
      <c r="M787" s="19" t="n"/>
      <c r="N787" s="20" t="n"/>
      <c r="O787" s="20" t="n"/>
    </row>
    <row r="788">
      <c r="A788" s="16" t="n">
        <v>785</v>
      </c>
      <c r="B788" s="16" t="inlineStr">
        <is>
          <t>1.7.11.2.2</t>
        </is>
      </c>
      <c r="C788" s="18" t="inlineStr">
        <is>
          <t>Part 1 – General &amp; Programme</t>
        </is>
      </c>
      <c r="D788" s="18" t="inlineStr">
        <is>
          <t>1.7 TRAINING</t>
        </is>
      </c>
      <c r="E788" s="18" t="inlineStr">
        <is>
          <t>1.7.11 INDICATIVE SUBJECT AREAS</t>
        </is>
      </c>
      <c r="F788" s="18" t="inlineStr">
        <is>
          <t>Common Operational Picture</t>
        </is>
      </c>
      <c r="G788" s="19" t="n"/>
      <c r="H788" s="20" t="n"/>
      <c r="I788" s="20" t="n"/>
      <c r="J788" s="19" t="n"/>
      <c r="K788" s="21" t="n"/>
      <c r="L788" s="22">
        <f>IF(OR(J788="",K788=""),"",J788*K788)</f>
        <v/>
      </c>
      <c r="M788" s="19" t="n"/>
      <c r="N788" s="20" t="n"/>
      <c r="O788" s="20" t="n"/>
    </row>
    <row r="789">
      <c r="A789" s="23" t="n">
        <v>786</v>
      </c>
      <c r="B789" s="23" t="inlineStr">
        <is>
          <t>1.7.11.2.3</t>
        </is>
      </c>
      <c r="C789" s="25" t="inlineStr">
        <is>
          <t>Part 1 – General &amp; Programme</t>
        </is>
      </c>
      <c r="D789" s="25" t="inlineStr">
        <is>
          <t>1.7 TRAINING</t>
        </is>
      </c>
      <c r="E789" s="25" t="inlineStr">
        <is>
          <t>1.7.11 INDICATIVE SUBJECT AREAS</t>
        </is>
      </c>
      <c r="F789" s="25" t="inlineStr">
        <is>
          <t>IP Telephony for all functions and capabilities therein</t>
        </is>
      </c>
      <c r="G789" s="19" t="n"/>
      <c r="H789" s="20" t="n"/>
      <c r="I789" s="20" t="n"/>
      <c r="J789" s="19" t="n"/>
      <c r="K789" s="21" t="n"/>
      <c r="L789" s="22">
        <f>IF(OR(J789="",K789=""),"",J789*K789)</f>
        <v/>
      </c>
      <c r="M789" s="19" t="n"/>
      <c r="N789" s="20" t="n"/>
      <c r="O789" s="20" t="n"/>
    </row>
    <row r="790">
      <c r="A790" s="16" t="n">
        <v>787</v>
      </c>
      <c r="B790" s="16" t="inlineStr">
        <is>
          <t>1.7.11.2.4</t>
        </is>
      </c>
      <c r="C790" s="18" t="inlineStr">
        <is>
          <t>Part 1 – General &amp; Programme</t>
        </is>
      </c>
      <c r="D790" s="18" t="inlineStr">
        <is>
          <t>1.7 TRAINING</t>
        </is>
      </c>
      <c r="E790" s="18" t="inlineStr">
        <is>
          <t>1.7.11 INDICATIVE SUBJECT AREAS</t>
        </is>
      </c>
      <c r="F790" s="18" t="inlineStr">
        <is>
          <t>Integrations</t>
        </is>
      </c>
      <c r="G790" s="19" t="n"/>
      <c r="H790" s="20" t="n"/>
      <c r="I790" s="20" t="n"/>
      <c r="J790" s="19" t="n"/>
      <c r="K790" s="21" t="n"/>
      <c r="L790" s="22">
        <f>IF(OR(J790="",K790=""),"",J790*K790)</f>
        <v/>
      </c>
      <c r="M790" s="19" t="n"/>
      <c r="N790" s="20" t="n"/>
      <c r="O790" s="20" t="n"/>
    </row>
    <row r="791">
      <c r="A791" s="23" t="n">
        <v>788</v>
      </c>
      <c r="B791" s="23" t="inlineStr">
        <is>
          <t>1.7.11.2.5</t>
        </is>
      </c>
      <c r="C791" s="25" t="inlineStr">
        <is>
          <t>Part 1 – General &amp; Programme</t>
        </is>
      </c>
      <c r="D791" s="25" t="inlineStr">
        <is>
          <t>1.7 TRAINING</t>
        </is>
      </c>
      <c r="E791" s="25" t="inlineStr">
        <is>
          <t>1.7.11 INDICATIVE SUBJECT AREAS</t>
        </is>
      </c>
      <c r="F791" s="25" t="inlineStr">
        <is>
          <t>AI capabilities for all solutions</t>
        </is>
      </c>
      <c r="G791" s="19" t="n"/>
      <c r="H791" s="20" t="n"/>
      <c r="I791" s="20" t="n"/>
      <c r="J791" s="19" t="n"/>
      <c r="K791" s="21" t="n"/>
      <c r="L791" s="22">
        <f>IF(OR(J791="",K791=""),"",J791*K791)</f>
        <v/>
      </c>
      <c r="M791" s="19" t="n"/>
      <c r="N791" s="20" t="n"/>
      <c r="O791" s="20" t="n"/>
    </row>
    <row r="792">
      <c r="A792" s="16" t="n">
        <v>789</v>
      </c>
      <c r="B792" s="16" t="inlineStr">
        <is>
          <t>1.7.11.2.6</t>
        </is>
      </c>
      <c r="C792" s="18" t="inlineStr">
        <is>
          <t>Part 1 – General &amp; Programme</t>
        </is>
      </c>
      <c r="D792" s="18" t="inlineStr">
        <is>
          <t>1.7 TRAINING</t>
        </is>
      </c>
      <c r="E792" s="18" t="inlineStr">
        <is>
          <t>1.7.11 INDICATIVE SUBJECT AREAS</t>
        </is>
      </c>
      <c r="F792" s="18" t="inlineStr">
        <is>
          <t>Systems, network and security administration, management, monitoring and troubleshooting</t>
        </is>
      </c>
      <c r="G792" s="19" t="n"/>
      <c r="H792" s="20" t="n"/>
      <c r="I792" s="20" t="n"/>
      <c r="J792" s="19" t="n"/>
      <c r="K792" s="21" t="n"/>
      <c r="L792" s="22">
        <f>IF(OR(J792="",K792=""),"",J792*K792)</f>
        <v/>
      </c>
      <c r="M792" s="19" t="n"/>
      <c r="N792" s="20" t="n"/>
      <c r="O792" s="20" t="n"/>
    </row>
    <row r="793">
      <c r="A793" s="23" t="n">
        <v>790</v>
      </c>
      <c r="B793" s="23" t="inlineStr">
        <is>
          <t>1.7.11.2.7</t>
        </is>
      </c>
      <c r="C793" s="25" t="inlineStr">
        <is>
          <t>Part 1 – General &amp; Programme</t>
        </is>
      </c>
      <c r="D793" s="25" t="inlineStr">
        <is>
          <t>1.7 TRAINING</t>
        </is>
      </c>
      <c r="E793" s="25" t="inlineStr">
        <is>
          <t>1.7.11 INDICATIVE SUBJECT AREAS</t>
        </is>
      </c>
      <c r="F793" s="25" t="inlineStr">
        <is>
          <t>Private cloud and Software Defined Networks (SDN) 2 ( اﻷﻧظﻣﺔ واﻟﺑﻧﯾﺔ اﻟﺗﺣﺗﯾﺔSYSTEMS AND INFRASTRUCTURE)</t>
        </is>
      </c>
      <c r="G793" s="19" t="n"/>
      <c r="H793" s="20" t="n"/>
      <c r="I793" s="20" t="n"/>
      <c r="J793" s="19" t="n"/>
      <c r="K793" s="21" t="n"/>
      <c r="L793" s="22">
        <f>IF(OR(J793="",K793=""),"",J793*K793)</f>
        <v/>
      </c>
      <c r="M793" s="19" t="n"/>
      <c r="N793" s="20" t="n"/>
      <c r="O793" s="20" t="n"/>
    </row>
    <row r="794">
      <c r="A794" s="16" t="n">
        <v>791</v>
      </c>
      <c r="B794" s="17" t="inlineStr">
        <is>
          <t>2.1.1.1</t>
        </is>
      </c>
      <c r="C794" s="18" t="inlineStr">
        <is>
          <t>Part 2 – Technical Systems</t>
        </is>
      </c>
      <c r="D794" s="18" t="inlineStr">
        <is>
          <t>2.1 Geographical Information System (GIS)</t>
        </is>
      </c>
      <c r="E794" s="18" t="inlineStr">
        <is>
          <t>—</t>
        </is>
      </c>
      <c r="F794" s="18" t="inlineStr">
        <is>
          <t>The CONTRACTOR shall implement all requirements in this section with the understanding that:</t>
        </is>
      </c>
      <c r="G794" s="19" t="n"/>
      <c r="H794" s="20" t="n"/>
      <c r="I794" s="20" t="n"/>
      <c r="J794" s="19" t="n"/>
      <c r="K794" s="21" t="n"/>
      <c r="L794" s="22">
        <f>IF(OR(J794="",K794=""),"",J794*K794)</f>
        <v/>
      </c>
      <c r="M794" s="19" t="n"/>
      <c r="N794" s="20" t="n"/>
      <c r="O794" s="20" t="n"/>
    </row>
    <row r="795">
      <c r="A795" s="23" t="n">
        <v>792</v>
      </c>
      <c r="B795" s="23" t="inlineStr">
        <is>
          <t>2.1.1.1.1</t>
        </is>
      </c>
      <c r="C795" s="25" t="inlineStr">
        <is>
          <t>Part 2 – Technical Systems</t>
        </is>
      </c>
      <c r="D795" s="25" t="inlineStr">
        <is>
          <t>2.1 Geographical Information System (GIS)</t>
        </is>
      </c>
      <c r="E795" s="25" t="inlineStr">
        <is>
          <t>—</t>
        </is>
      </c>
      <c r="F795" s="25" t="inlineStr">
        <is>
          <t>Unless otherwise explicitly stated, the phrase “OSS911 center” refers to OSS911 centers in each of the provinces that are included in the scope of this contract.</t>
        </is>
      </c>
      <c r="G795" s="19" t="n"/>
      <c r="H795" s="20" t="n"/>
      <c r="I795" s="20" t="n"/>
      <c r="J795" s="19" t="n"/>
      <c r="K795" s="21" t="n"/>
      <c r="L795" s="22">
        <f>IF(OR(J795="",K795=""),"",J795*K795)</f>
        <v/>
      </c>
      <c r="M795" s="19" t="n"/>
      <c r="N795" s="20" t="n"/>
      <c r="O795" s="20" t="n"/>
    </row>
    <row r="796">
      <c r="A796" s="16" t="n">
        <v>793</v>
      </c>
      <c r="B796" s="16" t="inlineStr">
        <is>
          <t>2.1.1.1.2</t>
        </is>
      </c>
      <c r="C796" s="18" t="inlineStr">
        <is>
          <t>Part 2 – Technical Systems</t>
        </is>
      </c>
      <c r="D796" s="18" t="inlineStr">
        <is>
          <t>2.1 Geographical Information System (GIS)</t>
        </is>
      </c>
      <c r="E796" s="18" t="inlineStr">
        <is>
          <t>—</t>
        </is>
      </c>
      <c r="F796" s="18" t="inlineStr">
        <is>
          <t>Unless otherwise explicitly stated, the phrases “OSS911 solution” or “OSS911 systems” or “OSS911 subsystems” refer to all the OSS911 systems being delivered by the CONTRACTOR as part of this contract.</t>
        </is>
      </c>
      <c r="G796" s="19" t="n"/>
      <c r="H796" s="20" t="n"/>
      <c r="I796" s="20" t="n"/>
      <c r="J796" s="19" t="n"/>
      <c r="K796" s="21" t="n"/>
      <c r="L796" s="22">
        <f>IF(OR(J796="",K796=""),"",J796*K796)</f>
        <v/>
      </c>
      <c r="M796" s="19" t="n"/>
      <c r="N796" s="20" t="n"/>
      <c r="O796" s="20" t="n"/>
    </row>
    <row r="797">
      <c r="A797" s="23" t="n">
        <v>794</v>
      </c>
      <c r="B797" s="23" t="inlineStr">
        <is>
          <t>2.1.1.1.3</t>
        </is>
      </c>
      <c r="C797" s="25" t="inlineStr">
        <is>
          <t>Part 2 – Technical Systems</t>
        </is>
      </c>
      <c r="D797" s="25" t="inlineStr">
        <is>
          <t>2.1 Geographical Information System (GIS)</t>
        </is>
      </c>
      <c r="E797" s="25" t="inlineStr">
        <is>
          <t>—</t>
        </is>
      </c>
      <c r="F797" s="25" t="inlineStr">
        <is>
          <t>Unless otherwise explicitly stated, the word “data” in this document includes all types of data including voice, text, video and SMS.</t>
        </is>
      </c>
      <c r="G797" s="19" t="n"/>
      <c r="H797" s="20" t="n"/>
      <c r="I797" s="20" t="n"/>
      <c r="J797" s="19" t="n"/>
      <c r="K797" s="21" t="n"/>
      <c r="L797" s="22">
        <f>IF(OR(J797="",K797=""),"",J797*K797)</f>
        <v/>
      </c>
      <c r="M797" s="19" t="n"/>
      <c r="N797" s="20" t="n"/>
      <c r="O797" s="20" t="n"/>
    </row>
    <row r="798">
      <c r="A798" s="16" t="n">
        <v>795</v>
      </c>
      <c r="B798" s="17" t="inlineStr">
        <is>
          <t>2.1.1.2</t>
        </is>
      </c>
      <c r="C798" s="18" t="inlineStr">
        <is>
          <t>Part 2 – Technical Systems</t>
        </is>
      </c>
      <c r="D798" s="18" t="inlineStr">
        <is>
          <t>2.1 Geographical Information System (GIS)</t>
        </is>
      </c>
      <c r="E798" s="18" t="inlineStr">
        <is>
          <t>—</t>
        </is>
      </c>
      <c r="F798" s="18" t="inlineStr">
        <is>
          <t>The CONTRACTOR shall deliver a GIS solution covering all the requirements of this section that are fully compliant to the concept of operations requirements stated in this RFP.</t>
        </is>
      </c>
      <c r="G798" s="19" t="n"/>
      <c r="H798" s="20" t="n"/>
      <c r="I798" s="20" t="n"/>
      <c r="J798" s="19" t="n"/>
      <c r="K798" s="21" t="n"/>
      <c r="L798" s="22">
        <f>IF(OR(J798="",K798=""),"",J798*K798)</f>
        <v/>
      </c>
      <c r="M798" s="19" t="n"/>
      <c r="N798" s="20" t="n"/>
      <c r="O798" s="20" t="n"/>
    </row>
    <row r="799">
      <c r="A799" s="23" t="n">
        <v>796</v>
      </c>
      <c r="B799" s="24" t="inlineStr">
        <is>
          <t>2.1.1.3</t>
        </is>
      </c>
      <c r="C799" s="25" t="inlineStr">
        <is>
          <t>Part 2 – Technical Systems</t>
        </is>
      </c>
      <c r="D799" s="25" t="inlineStr">
        <is>
          <t>2.1 Geographical Information System (GIS)</t>
        </is>
      </c>
      <c r="E799" s="25" t="inlineStr">
        <is>
          <t>—</t>
        </is>
      </c>
      <c r="F799" s="25" t="inlineStr">
        <is>
          <t>The CONTRACTOR shall deliver OSS911 solution integration with GIS to deliver smart and AI-powered capabilities for OSS911 use.</t>
        </is>
      </c>
      <c r="G799" s="19" t="n"/>
      <c r="H799" s="20" t="n"/>
      <c r="I799" s="20" t="n"/>
      <c r="J799" s="19" t="n"/>
      <c r="K799" s="21" t="n"/>
      <c r="L799" s="22">
        <f>IF(OR(J799="",K799=""),"",J799*K799)</f>
        <v/>
      </c>
      <c r="M799" s="19" t="n"/>
      <c r="N799" s="20" t="n"/>
      <c r="O799" s="20" t="n"/>
    </row>
    <row r="800">
      <c r="A800" s="16" t="n">
        <v>797</v>
      </c>
      <c r="B800" s="17" t="inlineStr">
        <is>
          <t>2.1.1.4</t>
        </is>
      </c>
      <c r="C800" s="18" t="inlineStr">
        <is>
          <t>Part 2 – Technical Systems</t>
        </is>
      </c>
      <c r="D800" s="18" t="inlineStr">
        <is>
          <t>2.1 Geographical Information System (GIS)</t>
        </is>
      </c>
      <c r="E800" s="18" t="inlineStr">
        <is>
          <t>—</t>
        </is>
      </c>
      <c r="F800" s="18" t="inlineStr">
        <is>
          <t>The CONTRACTOR OSS911 solutions shall be delivered as integrated with the GIS solution for all the requirements in this RFP.</t>
        </is>
      </c>
      <c r="G800" s="19" t="n"/>
      <c r="H800" s="20" t="n"/>
      <c r="I800" s="20" t="n"/>
      <c r="J800" s="19" t="n"/>
      <c r="K800" s="21" t="n"/>
      <c r="L800" s="22">
        <f>IF(OR(J800="",K800=""),"",J800*K800)</f>
        <v/>
      </c>
      <c r="M800" s="19" t="n"/>
      <c r="N800" s="20" t="n"/>
      <c r="O800" s="20" t="n"/>
    </row>
    <row r="801">
      <c r="A801" s="23" t="n">
        <v>798</v>
      </c>
      <c r="B801" s="24" t="inlineStr">
        <is>
          <t>2.1.1.5</t>
        </is>
      </c>
      <c r="C801" s="25" t="inlineStr">
        <is>
          <t>Part 2 – Technical Systems</t>
        </is>
      </c>
      <c r="D801" s="25" t="inlineStr">
        <is>
          <t>2.1 Geographical Information System (GIS)</t>
        </is>
      </c>
      <c r="E801" s="25" t="inlineStr">
        <is>
          <t>—</t>
        </is>
      </c>
      <c r="F801" s="25" t="inlineStr">
        <is>
          <t>Should the MOI require, the CONTRACTOR shall deliver the OSS911 911 solutions as integrated with other GIS platforms to deliver all the requirements in this RFP.</t>
        </is>
      </c>
      <c r="G801" s="19" t="n"/>
      <c r="H801" s="20" t="n"/>
      <c r="I801" s="20" t="n"/>
      <c r="J801" s="19" t="n"/>
      <c r="K801" s="21" t="n"/>
      <c r="L801" s="22">
        <f>IF(OR(J801="",K801=""),"",J801*K801)</f>
        <v/>
      </c>
      <c r="M801" s="19" t="n"/>
      <c r="N801" s="20" t="n"/>
      <c r="O801" s="20" t="n"/>
    </row>
    <row r="802">
      <c r="A802" s="16" t="n">
        <v>799</v>
      </c>
      <c r="B802" s="17" t="inlineStr">
        <is>
          <t>2.1.1.6</t>
        </is>
      </c>
      <c r="C802" s="18" t="inlineStr">
        <is>
          <t>Part 2 – Technical Systems</t>
        </is>
      </c>
      <c r="D802" s="18" t="inlineStr">
        <is>
          <t>2.1 Geographical Information System (GIS)</t>
        </is>
      </c>
      <c r="E802" s="18" t="inlineStr">
        <is>
          <t>—</t>
        </is>
      </c>
      <c r="F802" s="18" t="inlineStr">
        <is>
          <t>For the contract duration, the CONTRACTOR shall be responsible for the processing of the maps, map data, and satellite imageries, and related updates, into the OSS911 solution to be available in the OSS911 systems and solutions.</t>
        </is>
      </c>
      <c r="G802" s="19" t="n"/>
      <c r="H802" s="20" t="n"/>
      <c r="I802" s="20" t="n"/>
      <c r="J802" s="19" t="n"/>
      <c r="K802" s="21" t="n"/>
      <c r="L802" s="22">
        <f>IF(OR(J802="",K802=""),"",J802*K802)</f>
        <v/>
      </c>
      <c r="M802" s="19" t="n"/>
      <c r="N802" s="20" t="n"/>
      <c r="O802" s="20" t="n"/>
    </row>
    <row r="803">
      <c r="A803" s="23" t="n">
        <v>800</v>
      </c>
      <c r="B803" s="24" t="inlineStr">
        <is>
          <t>2.1.1.7</t>
        </is>
      </c>
      <c r="C803" s="25" t="inlineStr">
        <is>
          <t>Part 2 – Technical Systems</t>
        </is>
      </c>
      <c r="D803" s="25" t="inlineStr">
        <is>
          <t>2.1 Geographical Information System (GIS)</t>
        </is>
      </c>
      <c r="E803" s="25" t="inlineStr">
        <is>
          <t>—</t>
        </is>
      </c>
      <c r="F803" s="25" t="inlineStr">
        <is>
          <t>Through the integration with GIS solution maps, map data and imagery, the CONTRACTOR shall provision as a minimum the following spatial data layer and features within the OSS911 systems and solution:</t>
        </is>
      </c>
      <c r="G803" s="19" t="n"/>
      <c r="H803" s="20" t="n"/>
      <c r="I803" s="20" t="n"/>
      <c r="J803" s="19" t="n"/>
      <c r="K803" s="21" t="n"/>
      <c r="L803" s="22">
        <f>IF(OR(J803="",K803=""),"",J803*K803)</f>
        <v/>
      </c>
      <c r="M803" s="19" t="n"/>
      <c r="N803" s="20" t="n"/>
      <c r="O803" s="20" t="n"/>
    </row>
    <row r="804">
      <c r="A804" s="16" t="n">
        <v>801</v>
      </c>
      <c r="B804" s="16" t="inlineStr">
        <is>
          <t>2.1.1.7.1</t>
        </is>
      </c>
      <c r="C804" s="18" t="inlineStr">
        <is>
          <t>Part 2 – Technical Systems</t>
        </is>
      </c>
      <c r="D804" s="18" t="inlineStr">
        <is>
          <t>2.1 Geographical Information System (GIS)</t>
        </is>
      </c>
      <c r="E804" s="18" t="inlineStr">
        <is>
          <t>—</t>
        </is>
      </c>
      <c r="F804" s="18" t="inlineStr">
        <is>
          <t>Roads and Street Layers with: a. Digital navigable Streets Network b. Streets’ centerlines c. Streets names and aliases d. Streets’ classifications e. Rights of way f. Streets’ directions g. Streets’ intersections h. Turns i. Speed j. Bridges k. Overpass l. Underpass m. Ramps n. Roundabouts o. Exits p. Street edges q. Road number r. Road islands s. Highways and Kilometers markers</t>
        </is>
      </c>
      <c r="G804" s="19" t="n"/>
      <c r="H804" s="20" t="n"/>
      <c r="I804" s="20" t="n"/>
      <c r="J804" s="19" t="n"/>
      <c r="K804" s="21" t="n"/>
      <c r="L804" s="22">
        <f>IF(OR(J804="",K804=""),"",J804*K804)</f>
        <v/>
      </c>
      <c r="M804" s="19" t="n"/>
      <c r="N804" s="20" t="n"/>
      <c r="O804" s="20" t="n"/>
    </row>
    <row r="805">
      <c r="A805" s="23" t="n">
        <v>802</v>
      </c>
      <c r="B805" s="23" t="inlineStr">
        <is>
          <t>2.1.1.7.2</t>
        </is>
      </c>
      <c r="C805" s="25" t="inlineStr">
        <is>
          <t>Part 2 – Technical Systems</t>
        </is>
      </c>
      <c r="D805" s="25" t="inlineStr">
        <is>
          <t>2.1 Geographical Information System (GIS)</t>
        </is>
      </c>
      <c r="E805" s="25" t="inlineStr">
        <is>
          <t>—</t>
        </is>
      </c>
      <c r="F805" s="25" t="inlineStr">
        <is>
          <t>Railways and public transport paths and stations</t>
        </is>
      </c>
      <c r="G805" s="19" t="n"/>
      <c r="H805" s="20" t="n"/>
      <c r="I805" s="20" t="n"/>
      <c r="J805" s="19" t="n"/>
      <c r="K805" s="21" t="n"/>
      <c r="L805" s="22">
        <f>IF(OR(J805="",K805=""),"",J805*K805)</f>
        <v/>
      </c>
      <c r="M805" s="19" t="n"/>
      <c r="N805" s="20" t="n"/>
      <c r="O805" s="20" t="n"/>
    </row>
    <row r="806">
      <c r="A806" s="16" t="n">
        <v>803</v>
      </c>
      <c r="B806" s="16" t="inlineStr">
        <is>
          <t>2.1.1.7.3</t>
        </is>
      </c>
      <c r="C806" s="18" t="inlineStr">
        <is>
          <t>Part 2 – Technical Systems</t>
        </is>
      </c>
      <c r="D806" s="18" t="inlineStr">
        <is>
          <t>2.1 Geographical Information System (GIS)</t>
        </is>
      </c>
      <c r="E806" s="18" t="inlineStr">
        <is>
          <t>—</t>
        </is>
      </c>
      <c r="F806" s="18" t="inlineStr">
        <is>
          <t>The administrative boundaries layers and place-names for all: a. Region / province boundaries b. Governorates’ boundaries c. Cities/towns boundaries d. District’s boundaries e. Centers, Villages, Hamlets f. Municipalities boundaries</t>
        </is>
      </c>
      <c r="G806" s="19" t="n"/>
      <c r="H806" s="20" t="n"/>
      <c r="I806" s="20" t="n"/>
      <c r="J806" s="19" t="n"/>
      <c r="K806" s="21" t="n"/>
      <c r="L806" s="22">
        <f>IF(OR(J806="",K806=""),"",J806*K806)</f>
        <v/>
      </c>
      <c r="M806" s="19" t="n"/>
      <c r="N806" s="20" t="n"/>
      <c r="O806" s="20" t="n"/>
    </row>
    <row r="807">
      <c r="A807" s="23" t="n">
        <v>804</v>
      </c>
      <c r="B807" s="23" t="inlineStr">
        <is>
          <t>2.1.1.7.4</t>
        </is>
      </c>
      <c r="C807" s="25" t="inlineStr">
        <is>
          <t>Part 2 – Technical Systems</t>
        </is>
      </c>
      <c r="D807" s="25" t="inlineStr">
        <is>
          <t>2.1 Geographical Information System (GIS)</t>
        </is>
      </c>
      <c r="E807" s="25" t="inlineStr">
        <is>
          <t>—</t>
        </is>
      </c>
      <c r="F807" s="25" t="inlineStr">
        <is>
          <t>All landmarks and categorized points of interests (POIs) including banks, hotels, restaurants, mosques, diplomatic areas, special security areas, parks, schools, malls, hospitals and health services, universities, police stations, civil defense stations, police check points, and natural landmarks etc.</t>
        </is>
      </c>
      <c r="G807" s="19" t="n"/>
      <c r="H807" s="20" t="n"/>
      <c r="I807" s="20" t="n"/>
      <c r="J807" s="19" t="n"/>
      <c r="K807" s="21" t="n"/>
      <c r="L807" s="22">
        <f>IF(OR(J807="",K807=""),"",J807*K807)</f>
        <v/>
      </c>
      <c r="M807" s="19" t="n"/>
      <c r="N807" s="20" t="n"/>
      <c r="O807" s="20" t="n"/>
    </row>
    <row r="808">
      <c r="A808" s="16" t="n">
        <v>805</v>
      </c>
      <c r="B808" s="16" t="inlineStr">
        <is>
          <t>2.1.1.7.5</t>
        </is>
      </c>
      <c r="C808" s="18" t="inlineStr">
        <is>
          <t>Part 2 – Technical Systems</t>
        </is>
      </c>
      <c r="D808" s="18" t="inlineStr">
        <is>
          <t>2.1 Geographical Information System (GIS)</t>
        </is>
      </c>
      <c r="E808" s="18" t="inlineStr">
        <is>
          <t>—</t>
        </is>
      </c>
      <c r="F808" s="18" t="inlineStr">
        <is>
          <t>Saudi Post - SPL National Address points with both traditional and short address.</t>
        </is>
      </c>
      <c r="G808" s="19" t="n"/>
      <c r="H808" s="20" t="n"/>
      <c r="I808" s="20" t="n"/>
      <c r="J808" s="19" t="n"/>
      <c r="K808" s="21" t="n"/>
      <c r="L808" s="22">
        <f>IF(OR(J808="",K808=""),"",J808*K808)</f>
        <v/>
      </c>
      <c r="M808" s="19" t="n"/>
      <c r="N808" s="20" t="n"/>
      <c r="O808" s="20" t="n"/>
    </row>
    <row r="809">
      <c r="A809" s="23" t="n">
        <v>806</v>
      </c>
      <c r="B809" s="23" t="inlineStr">
        <is>
          <t>2.1.1.7.6</t>
        </is>
      </c>
      <c r="C809" s="25" t="inlineStr">
        <is>
          <t>Part 2 – Technical Systems</t>
        </is>
      </c>
      <c r="D809" s="25" t="inlineStr">
        <is>
          <t>2.1 Geographical Information System (GIS)</t>
        </is>
      </c>
      <c r="E809" s="25" t="inlineStr">
        <is>
          <t>—</t>
        </is>
      </c>
      <c r="F809" s="25" t="inlineStr">
        <is>
          <t>Buildings’ footprints with 3D model for the momentous.</t>
        </is>
      </c>
      <c r="G809" s="19" t="n"/>
      <c r="H809" s="20" t="n"/>
      <c r="I809" s="20" t="n"/>
      <c r="J809" s="19" t="n"/>
      <c r="K809" s="21" t="n"/>
      <c r="L809" s="22">
        <f>IF(OR(J809="",K809=""),"",J809*K809)</f>
        <v/>
      </c>
      <c r="M809" s="19" t="n"/>
      <c r="N809" s="20" t="n"/>
      <c r="O809" s="20" t="n"/>
    </row>
    <row r="810">
      <c r="A810" s="16" t="n">
        <v>807</v>
      </c>
      <c r="B810" s="16" t="inlineStr">
        <is>
          <t>2.1.1.7.7</t>
        </is>
      </c>
      <c r="C810" s="18" t="inlineStr">
        <is>
          <t>Part 2 – Technical Systems</t>
        </is>
      </c>
      <c r="D810" s="18" t="inlineStr">
        <is>
          <t>2.1 Geographical Information System (GIS)</t>
        </is>
      </c>
      <c r="E810" s="18" t="inlineStr">
        <is>
          <t>—</t>
        </is>
      </c>
      <c r="F810" s="18" t="inlineStr">
        <is>
          <t>Land parcel boundaries with land use.</t>
        </is>
      </c>
      <c r="G810" s="19" t="n"/>
      <c r="H810" s="20" t="n"/>
      <c r="I810" s="20" t="n"/>
      <c r="J810" s="19" t="n"/>
      <c r="K810" s="21" t="n"/>
      <c r="L810" s="22">
        <f>IF(OR(J810="",K810=""),"",J810*K810)</f>
        <v/>
      </c>
      <c r="M810" s="19" t="n"/>
      <c r="N810" s="20" t="n"/>
      <c r="O810" s="20" t="n"/>
    </row>
    <row r="811">
      <c r="A811" s="23" t="n">
        <v>808</v>
      </c>
      <c r="B811" s="23" t="inlineStr">
        <is>
          <t>2.1.1.7.8</t>
        </is>
      </c>
      <c r="C811" s="25" t="inlineStr">
        <is>
          <t>Part 2 – Technical Systems</t>
        </is>
      </c>
      <c r="D811" s="25" t="inlineStr">
        <is>
          <t>2.1 Geographical Information System (GIS)</t>
        </is>
      </c>
      <c r="E811" s="25" t="inlineStr">
        <is>
          <t>—</t>
        </is>
      </c>
      <c r="F811" s="25" t="inlineStr">
        <is>
          <t>Water-bodies layer including waterways.</t>
        </is>
      </c>
      <c r="G811" s="19" t="n"/>
      <c r="H811" s="20" t="n"/>
      <c r="I811" s="20" t="n"/>
      <c r="J811" s="19" t="n"/>
      <c r="K811" s="21" t="n"/>
      <c r="L811" s="22">
        <f>IF(OR(J811="",K811=""),"",J811*K811)</f>
        <v/>
      </c>
      <c r="M811" s="19" t="n"/>
      <c r="N811" s="20" t="n"/>
      <c r="O811" s="20" t="n"/>
    </row>
    <row r="812">
      <c r="A812" s="16" t="n">
        <v>809</v>
      </c>
      <c r="B812" s="16" t="inlineStr">
        <is>
          <t>2.1.1.7.9</t>
        </is>
      </c>
      <c r="C812" s="18" t="inlineStr">
        <is>
          <t>Part 2 – Technical Systems</t>
        </is>
      </c>
      <c r="D812" s="18" t="inlineStr">
        <is>
          <t>2.1 Geographical Information System (GIS)</t>
        </is>
      </c>
      <c r="E812" s="18" t="inlineStr">
        <is>
          <t>—</t>
        </is>
      </c>
      <c r="F812" s="18" t="inlineStr">
        <is>
          <t>Other layers and data that may support the 911 center operations and capabilities</t>
        </is>
      </c>
      <c r="G812" s="19" t="n"/>
      <c r="H812" s="20" t="n"/>
      <c r="I812" s="20" t="n"/>
      <c r="J812" s="19" t="n"/>
      <c r="K812" s="21" t="n"/>
      <c r="L812" s="22">
        <f>IF(OR(J812="",K812=""),"",J812*K812)</f>
        <v/>
      </c>
      <c r="M812" s="19" t="n"/>
      <c r="N812" s="20" t="n"/>
      <c r="O812" s="20" t="n"/>
    </row>
    <row r="813">
      <c r="A813" s="23" t="n">
        <v>810</v>
      </c>
      <c r="B813" s="23" t="inlineStr">
        <is>
          <t>2.1.1.7.10</t>
        </is>
      </c>
      <c r="C813" s="25" t="inlineStr">
        <is>
          <t>Part 2 – Technical Systems</t>
        </is>
      </c>
      <c r="D813" s="25" t="inlineStr">
        <is>
          <t>2.1 Geographical Information System (GIS)</t>
        </is>
      </c>
      <c r="E813" s="25" t="inlineStr">
        <is>
          <t>—</t>
        </is>
      </c>
      <c r="F813" s="25" t="inlineStr">
        <is>
          <t>Live Traffic service Online and Offline that includes real-time traffic flow information and incident data.</t>
        </is>
      </c>
      <c r="G813" s="19" t="n"/>
      <c r="H813" s="20" t="n"/>
      <c r="I813" s="20" t="n"/>
      <c r="J813" s="19" t="n"/>
      <c r="K813" s="21" t="n"/>
      <c r="L813" s="22">
        <f>IF(OR(J813="",K813=""),"",J813*K813)</f>
        <v/>
      </c>
      <c r="M813" s="19" t="n"/>
      <c r="N813" s="20" t="n"/>
      <c r="O813" s="20" t="n"/>
    </row>
    <row r="814">
      <c r="A814" s="16" t="n">
        <v>811</v>
      </c>
      <c r="B814" s="16" t="inlineStr">
        <is>
          <t>2.1.1.7.11</t>
        </is>
      </c>
      <c r="C814" s="18" t="inlineStr">
        <is>
          <t>Part 2 – Technical Systems</t>
        </is>
      </c>
      <c r="D814" s="18" t="inlineStr">
        <is>
          <t>2.1 Geographical Information System (GIS)</t>
        </is>
      </c>
      <c r="E814" s="18" t="inlineStr">
        <is>
          <t>—</t>
        </is>
      </c>
      <c r="F814" s="18" t="inlineStr">
        <is>
          <t>This live traffic information shall include, but not limited to, traffic speeds and flow, travel times, color coded traffic flow conditions, and congestion alerts (where available) - all of which will be integrated by the CONTRACTOR to be viewable in the Common Operational Picture on the OSS911 systems.</t>
        </is>
      </c>
      <c r="G814" s="19" t="n"/>
      <c r="H814" s="20" t="n"/>
      <c r="I814" s="20" t="n"/>
      <c r="J814" s="19" t="n"/>
      <c r="K814" s="21" t="n"/>
      <c r="L814" s="22">
        <f>IF(OR(J814="",K814=""),"",J814*K814)</f>
        <v/>
      </c>
      <c r="M814" s="19" t="n"/>
      <c r="N814" s="20" t="n"/>
      <c r="O814" s="20" t="n"/>
    </row>
    <row r="815">
      <c r="A815" s="23" t="n">
        <v>812</v>
      </c>
      <c r="B815" s="23" t="inlineStr">
        <is>
          <t>2.1.1.7.12</t>
        </is>
      </c>
      <c r="C815" s="25" t="inlineStr">
        <is>
          <t>Part 2 – Technical Systems</t>
        </is>
      </c>
      <c r="D815" s="25" t="inlineStr">
        <is>
          <t>2.1 Geographical Information System (GIS)</t>
        </is>
      </c>
      <c r="E815" s="25" t="inlineStr">
        <is>
          <t>—</t>
        </is>
      </c>
      <c r="F815" s="25" t="inlineStr">
        <is>
          <t>This Traffic information shall be integrated and represented in the OSS911 systems with color coded traffic flow conditions (Roads, where traffic flows freely, shall be marked in green, roads where congestion is moderate shall be in orange, while those that are congested shall be shown in red).</t>
        </is>
      </c>
      <c r="G815" s="19" t="n"/>
      <c r="H815" s="20" t="n"/>
      <c r="I815" s="20" t="n"/>
      <c r="J815" s="19" t="n"/>
      <c r="K815" s="21" t="n"/>
      <c r="L815" s="22">
        <f>IF(OR(J815="",K815=""),"",J815*K815)</f>
        <v/>
      </c>
      <c r="M815" s="19" t="n"/>
      <c r="N815" s="20" t="n"/>
      <c r="O815" s="20" t="n"/>
    </row>
    <row r="816">
      <c r="A816" s="16" t="n">
        <v>813</v>
      </c>
      <c r="B816" s="16" t="inlineStr">
        <is>
          <t>2.1.1.7.13</t>
        </is>
      </c>
      <c r="C816" s="18" t="inlineStr">
        <is>
          <t>Part 2 – Technical Systems</t>
        </is>
      </c>
      <c r="D816" s="18" t="inlineStr">
        <is>
          <t>2.1 Geographical Information System (GIS)</t>
        </is>
      </c>
      <c r="E816" s="18" t="inlineStr">
        <is>
          <t>—</t>
        </is>
      </c>
      <c r="F816" s="18" t="inlineStr">
        <is>
          <t>This Traffic service shall have the capability to support unlimited number of transactions to support 911 operations.</t>
        </is>
      </c>
      <c r="G816" s="19" t="n"/>
      <c r="H816" s="20" t="n"/>
      <c r="I816" s="20" t="n"/>
      <c r="J816" s="19" t="n"/>
      <c r="K816" s="21" t="n"/>
      <c r="L816" s="22">
        <f>IF(OR(J816="",K816=""),"",J816*K816)</f>
        <v/>
      </c>
      <c r="M816" s="19" t="n"/>
      <c r="N816" s="20" t="n"/>
      <c r="O816" s="20" t="n"/>
    </row>
    <row r="817">
      <c r="A817" s="23" t="n">
        <v>814</v>
      </c>
      <c r="B817" s="24" t="inlineStr">
        <is>
          <t>2.1.1.8</t>
        </is>
      </c>
      <c r="C817" s="25" t="inlineStr">
        <is>
          <t>Part 2 – Technical Systems</t>
        </is>
      </c>
      <c r="D817" s="25" t="inlineStr">
        <is>
          <t>2.1 Geographical Information System (GIS)</t>
        </is>
      </c>
      <c r="E817" s="25" t="inlineStr">
        <is>
          <t>—</t>
        </is>
      </c>
      <c r="F817" s="25" t="inlineStr">
        <is>
          <t>The CONTRACTOR shall integrate and provide all geospatial data described above (including the traffic service) into all OSS911 systems.</t>
        </is>
      </c>
      <c r="G817" s="19" t="n"/>
      <c r="H817" s="20" t="n"/>
      <c r="I817" s="20" t="n"/>
      <c r="J817" s="19" t="n"/>
      <c r="K817" s="21" t="n"/>
      <c r="L817" s="22">
        <f>IF(OR(J817="",K817=""),"",J817*K817)</f>
        <v/>
      </c>
      <c r="M817" s="19" t="n"/>
      <c r="N817" s="20" t="n"/>
      <c r="O817" s="20" t="n"/>
    </row>
    <row r="818">
      <c r="A818" s="16" t="n">
        <v>815</v>
      </c>
      <c r="B818" s="17" t="inlineStr">
        <is>
          <t>2.1.1.9</t>
        </is>
      </c>
      <c r="C818" s="18" t="inlineStr">
        <is>
          <t>Part 2 – Technical Systems</t>
        </is>
      </c>
      <c r="D818" s="18" t="inlineStr">
        <is>
          <t>2.1 Geographical Information System (GIS)</t>
        </is>
      </c>
      <c r="E818" s="18" t="inlineStr">
        <is>
          <t>—</t>
        </is>
      </c>
      <c r="F818" s="18" t="inlineStr">
        <is>
          <t>The CONTRACTOR shall ensure that all the geospatial data layers listed above are spatially related, hierarchically linked, and have the full location-centric details.</t>
        </is>
      </c>
      <c r="G818" s="19" t="n"/>
      <c r="H818" s="20" t="n"/>
      <c r="I818" s="20" t="n"/>
      <c r="J818" s="19" t="n"/>
      <c r="K818" s="21" t="n"/>
      <c r="L818" s="22">
        <f>IF(OR(J818="",K818=""),"",J818*K818)</f>
        <v/>
      </c>
      <c r="M818" s="19" t="n"/>
      <c r="N818" s="20" t="n"/>
      <c r="O818" s="20" t="n"/>
    </row>
    <row r="819">
      <c r="A819" s="23" t="n">
        <v>816</v>
      </c>
      <c r="B819" s="24" t="inlineStr">
        <is>
          <t>2.1.1.10</t>
        </is>
      </c>
      <c r="C819" s="25" t="inlineStr">
        <is>
          <t>Part 2 – Technical Systems</t>
        </is>
      </c>
      <c r="D819" s="25" t="inlineStr">
        <is>
          <t>2.1 Geographical Information System (GIS)</t>
        </is>
      </c>
      <c r="E819" s="25" t="inlineStr">
        <is>
          <t>—</t>
        </is>
      </c>
      <c r="F819" s="25" t="inlineStr">
        <is>
          <t>The CONTRACTOR shall apply all the standard topology rules and geometric network.</t>
        </is>
      </c>
      <c r="G819" s="19" t="n"/>
      <c r="H819" s="20" t="n"/>
      <c r="I819" s="20" t="n"/>
      <c r="J819" s="19" t="n"/>
      <c r="K819" s="21" t="n"/>
      <c r="L819" s="22">
        <f>IF(OR(J819="",K819=""),"",J819*K819)</f>
        <v/>
      </c>
      <c r="M819" s="19" t="n"/>
      <c r="N819" s="20" t="n"/>
      <c r="O819" s="20" t="n"/>
    </row>
    <row r="820">
      <c r="A820" s="16" t="n">
        <v>817</v>
      </c>
      <c r="B820" s="17" t="inlineStr">
        <is>
          <t>2.1.1.11</t>
        </is>
      </c>
      <c r="C820" s="18" t="inlineStr">
        <is>
          <t>Part 2 – Technical Systems</t>
        </is>
      </c>
      <c r="D820" s="18" t="inlineStr">
        <is>
          <t>2.1 Geographical Information System (GIS)</t>
        </is>
      </c>
      <c r="E820" s="18" t="inlineStr">
        <is>
          <t>—</t>
        </is>
      </c>
      <c r="F820" s="18" t="inlineStr">
        <is>
          <t>The CONTRACTOR shall supply all data in Arabic language along with additional attributes in English language, where available.</t>
        </is>
      </c>
      <c r="G820" s="19" t="n"/>
      <c r="H820" s="20" t="n"/>
      <c r="I820" s="20" t="n"/>
      <c r="J820" s="19" t="n"/>
      <c r="K820" s="21" t="n"/>
      <c r="L820" s="22">
        <f>IF(OR(J820="",K820=""),"",J820*K820)</f>
        <v/>
      </c>
      <c r="M820" s="19" t="n"/>
      <c r="N820" s="20" t="n"/>
      <c r="O820" s="20" t="n"/>
    </row>
    <row r="821">
      <c r="A821" s="23" t="n">
        <v>818</v>
      </c>
      <c r="B821" s="24" t="inlineStr">
        <is>
          <t>2.1.1.12</t>
        </is>
      </c>
      <c r="C821" s="25" t="inlineStr">
        <is>
          <t>Part 2 – Technical Systems</t>
        </is>
      </c>
      <c r="D821" s="25" t="inlineStr">
        <is>
          <t>2.1 Geographical Information System (GIS)</t>
        </is>
      </c>
      <c r="E821" s="25" t="inlineStr">
        <is>
          <t>—</t>
        </is>
      </c>
      <c r="F821" s="25" t="inlineStr">
        <is>
          <t>The CONTRACTOR shall:</t>
        </is>
      </c>
      <c r="G821" s="19" t="n"/>
      <c r="H821" s="20" t="n"/>
      <c r="I821" s="20" t="n"/>
      <c r="J821" s="19" t="n"/>
      <c r="K821" s="21" t="n"/>
      <c r="L821" s="22">
        <f>IF(OR(J821="",K821=""),"",J821*K821)</f>
        <v/>
      </c>
      <c r="M821" s="19" t="n"/>
      <c r="N821" s="20" t="n"/>
      <c r="O821" s="20" t="n"/>
    </row>
    <row r="822">
      <c r="A822" s="16" t="n">
        <v>819</v>
      </c>
      <c r="B822" s="16" t="inlineStr">
        <is>
          <t>2.1.1.12.1</t>
        </is>
      </c>
      <c r="C822" s="18" t="inlineStr">
        <is>
          <t>Part 2 – Technical Systems</t>
        </is>
      </c>
      <c r="D822" s="18" t="inlineStr">
        <is>
          <t>2.1 Geographical Information System (GIS)</t>
        </is>
      </c>
      <c r="E822" s="18" t="inlineStr">
        <is>
          <t>—</t>
        </is>
      </c>
      <c r="F822" s="18" t="inlineStr">
        <is>
          <t>Analyze and process the raw data provided by MOI in any formats.</t>
        </is>
      </c>
      <c r="G822" s="19" t="n"/>
      <c r="H822" s="20" t="n"/>
      <c r="I822" s="20" t="n"/>
      <c r="J822" s="19" t="n"/>
      <c r="K822" s="21" t="n"/>
      <c r="L822" s="22">
        <f>IF(OR(J822="",K822=""),"",J822*K822)</f>
        <v/>
      </c>
      <c r="M822" s="19" t="n"/>
      <c r="N822" s="20" t="n"/>
      <c r="O822" s="20" t="n"/>
    </row>
    <row r="823">
      <c r="A823" s="23" t="n">
        <v>820</v>
      </c>
      <c r="B823" s="23" t="inlineStr">
        <is>
          <t>2.1.1.12.2</t>
        </is>
      </c>
      <c r="C823" s="25" t="inlineStr">
        <is>
          <t>Part 2 – Technical Systems</t>
        </is>
      </c>
      <c r="D823" s="25" t="inlineStr">
        <is>
          <t>2.1 Geographical Information System (GIS)</t>
        </is>
      </c>
      <c r="E823" s="25" t="inlineStr">
        <is>
          <t>—</t>
        </is>
      </c>
      <c r="F823" s="25" t="inlineStr">
        <is>
          <t>Compile the processed data to have an integrated data source in the OSS911 systems.</t>
        </is>
      </c>
      <c r="G823" s="19" t="n"/>
      <c r="H823" s="20" t="n"/>
      <c r="I823" s="20" t="n"/>
      <c r="J823" s="19" t="n"/>
      <c r="K823" s="21" t="n"/>
      <c r="L823" s="22">
        <f>IF(OR(J823="",K823=""),"",J823*K823)</f>
        <v/>
      </c>
      <c r="M823" s="19" t="n"/>
      <c r="N823" s="20" t="n"/>
      <c r="O823" s="20" t="n"/>
    </row>
    <row r="824">
      <c r="A824" s="16" t="n">
        <v>821</v>
      </c>
      <c r="B824" s="16" t="inlineStr">
        <is>
          <t>2.1.1.12.3</t>
        </is>
      </c>
      <c r="C824" s="18" t="inlineStr">
        <is>
          <t>Part 2 – Technical Systems</t>
        </is>
      </c>
      <c r="D824" s="18" t="inlineStr">
        <is>
          <t>2.1 Geographical Information System (GIS)</t>
        </is>
      </c>
      <c r="E824" s="18" t="inlineStr">
        <is>
          <t>—</t>
        </is>
      </c>
      <c r="F824" s="18" t="inlineStr">
        <is>
          <t>Ensure that the maps representations including labels and annotations shall be in Arabic language.</t>
        </is>
      </c>
      <c r="G824" s="19" t="n"/>
      <c r="H824" s="20" t="n"/>
      <c r="I824" s="20" t="n"/>
      <c r="J824" s="19" t="n"/>
      <c r="K824" s="21" t="n"/>
      <c r="L824" s="22">
        <f>IF(OR(J824="",K824=""),"",J824*K824)</f>
        <v/>
      </c>
      <c r="M824" s="19" t="n"/>
      <c r="N824" s="20" t="n"/>
      <c r="O824" s="20" t="n"/>
    </row>
    <row r="825">
      <c r="A825" s="23" t="n">
        <v>822</v>
      </c>
      <c r="B825" s="23" t="inlineStr">
        <is>
          <t>2.1.1.12.4</t>
        </is>
      </c>
      <c r="C825" s="25" t="inlineStr">
        <is>
          <t>Part 2 – Technical Systems</t>
        </is>
      </c>
      <c r="D825" s="25" t="inlineStr">
        <is>
          <t>2.1 Geographical Information System (GIS)</t>
        </is>
      </c>
      <c r="E825" s="25" t="inlineStr">
        <is>
          <t>—</t>
        </is>
      </c>
      <c r="F825" s="25" t="inlineStr">
        <is>
          <t>Provide a detailed data analysis report for each dataset provided by MOI.</t>
        </is>
      </c>
      <c r="G825" s="19" t="n"/>
      <c r="H825" s="20" t="n"/>
      <c r="I825" s="20" t="n"/>
      <c r="J825" s="19" t="n"/>
      <c r="K825" s="21" t="n"/>
      <c r="L825" s="22">
        <f>IF(OR(J825="",K825=""),"",J825*K825)</f>
        <v/>
      </c>
      <c r="M825" s="19" t="n"/>
      <c r="N825" s="20" t="n"/>
      <c r="O825" s="20" t="n"/>
    </row>
    <row r="826">
      <c r="A826" s="16" t="n">
        <v>823</v>
      </c>
      <c r="B826" s="16" t="inlineStr">
        <is>
          <t>2.1.1.12.5</t>
        </is>
      </c>
      <c r="C826" s="18" t="inlineStr">
        <is>
          <t>Part 2 – Technical Systems</t>
        </is>
      </c>
      <c r="D826" s="18" t="inlineStr">
        <is>
          <t>2.1 Geographical Information System (GIS)</t>
        </is>
      </c>
      <c r="E826" s="18" t="inlineStr">
        <is>
          <t>—</t>
        </is>
      </c>
      <c r="F826" s="18" t="inlineStr">
        <is>
          <t>Ensure that the boundaries of the operational layers shall cover the entire target province without gaps or overlaps between the different polygons. Boundaries of the operational layers shall be programmed by the CONTRACTOR in the system ONLY after validation by MOI - dispatch for events will be based on MOI- validated data only. Further to this, if gaps exist in the operational areas, then these need to be resolved by the CONTRACTOR with the help of MOI through workshop with the concerned agencies. The CONTRACTOR shall be responsible for programming the updates and fixes of the boundaries of the operational layers within the system at no additional cost to the MOI.</t>
        </is>
      </c>
      <c r="G826" s="19" t="n"/>
      <c r="H826" s="20" t="n"/>
      <c r="I826" s="20" t="n"/>
      <c r="J826" s="19" t="n"/>
      <c r="K826" s="21" t="n"/>
      <c r="L826" s="22">
        <f>IF(OR(J826="",K826=""),"",J826*K826)</f>
        <v/>
      </c>
      <c r="M826" s="19" t="n"/>
      <c r="N826" s="20" t="n"/>
      <c r="O826" s="20" t="n"/>
    </row>
    <row r="827">
      <c r="A827" s="23" t="n">
        <v>824</v>
      </c>
      <c r="B827" s="23" t="inlineStr">
        <is>
          <t>2.1.1.12.6</t>
        </is>
      </c>
      <c r="C827" s="25" t="inlineStr">
        <is>
          <t>Part 2 – Technical Systems</t>
        </is>
      </c>
      <c r="D827" s="25" t="inlineStr">
        <is>
          <t>2.1 Geographical Information System (GIS)</t>
        </is>
      </c>
      <c r="E827" s="25" t="inlineStr">
        <is>
          <t>—</t>
        </is>
      </c>
      <c r="F827" s="25" t="inlineStr">
        <is>
          <t>Provide and ensure optimal map performance on all OSS911 systems and shall apply the best practices that affect the performance including (optimizing spatial data, optimizing layers and roasters, optimizing maps …etc.).</t>
        </is>
      </c>
      <c r="G827" s="19" t="n"/>
      <c r="H827" s="20" t="n"/>
      <c r="I827" s="20" t="n"/>
      <c r="J827" s="19" t="n"/>
      <c r="K827" s="21" t="n"/>
      <c r="L827" s="22">
        <f>IF(OR(J827="",K827=""),"",J827*K827)</f>
        <v/>
      </c>
      <c r="M827" s="19" t="n"/>
      <c r="N827" s="20" t="n"/>
      <c r="O827" s="20" t="n"/>
    </row>
    <row r="828">
      <c r="A828" s="16" t="n">
        <v>825</v>
      </c>
      <c r="B828" s="16" t="inlineStr">
        <is>
          <t>2.1.1.12.7</t>
        </is>
      </c>
      <c r="C828" s="18" t="inlineStr">
        <is>
          <t>Part 2 – Technical Systems</t>
        </is>
      </c>
      <c r="D828" s="18" t="inlineStr">
        <is>
          <t>2.1 Geographical Information System (GIS)</t>
        </is>
      </c>
      <c r="E828" s="18" t="inlineStr">
        <is>
          <t>—</t>
        </is>
      </c>
      <c r="F828" s="18" t="inlineStr">
        <is>
          <t>Comply with the address system, territory, GCS standards, UTM grid zones and datum of the Kingdom of Saudi Arabia.</t>
        </is>
      </c>
      <c r="G828" s="19" t="n"/>
      <c r="H828" s="20" t="n"/>
      <c r="I828" s="20" t="n"/>
      <c r="J828" s="19" t="n"/>
      <c r="K828" s="21" t="n"/>
      <c r="L828" s="22">
        <f>IF(OR(J828="",K828=""),"",J828*K828)</f>
        <v/>
      </c>
      <c r="M828" s="19" t="n"/>
      <c r="N828" s="20" t="n"/>
      <c r="O828" s="20" t="n"/>
    </row>
    <row r="829">
      <c r="A829" s="23" t="n">
        <v>826</v>
      </c>
      <c r="B829" s="23" t="inlineStr">
        <is>
          <t>2.1.1.12.8</t>
        </is>
      </c>
      <c r="C829" s="25" t="inlineStr">
        <is>
          <t>Part 2 – Technical Systems</t>
        </is>
      </c>
      <c r="D829" s="25" t="inlineStr">
        <is>
          <t>2.1 Geographical Information System (GIS)</t>
        </is>
      </c>
      <c r="E829" s="25" t="inlineStr">
        <is>
          <t>—</t>
        </is>
      </c>
      <c r="F829" s="25" t="inlineStr">
        <is>
          <t>The authorized users shall be able to control maps and layers permissions and access and shall be able to modify the default geographic layers that are displayed at each zoom scale for each group and user.</t>
        </is>
      </c>
      <c r="G829" s="19" t="n"/>
      <c r="H829" s="20" t="n"/>
      <c r="I829" s="20" t="n"/>
      <c r="J829" s="19" t="n"/>
      <c r="K829" s="21" t="n"/>
      <c r="L829" s="22">
        <f>IF(OR(J829="",K829=""),"",J829*K829)</f>
        <v/>
      </c>
      <c r="M829" s="19" t="n"/>
      <c r="N829" s="20" t="n"/>
      <c r="O829" s="20" t="n"/>
    </row>
    <row r="830">
      <c r="A830" s="16" t="n">
        <v>827</v>
      </c>
      <c r="B830" s="17" t="inlineStr">
        <is>
          <t>2.1.1.13</t>
        </is>
      </c>
      <c r="C830" s="18" t="inlineStr">
        <is>
          <t>Part 2 – Technical Systems</t>
        </is>
      </c>
      <c r="D830" s="18" t="inlineStr">
        <is>
          <t>2.1 Geographical Information System (GIS)</t>
        </is>
      </c>
      <c r="E830" s="18" t="inlineStr">
        <is>
          <t>—</t>
        </is>
      </c>
      <c r="F830" s="18" t="inlineStr">
        <is>
          <t>The CONTRACTOR shall implement and provide all OSS911 solutions integrated with Geographical Information Systems to provide smart and AI-powered capabilities with region-wide coverage and which meets all of the requirements detailed within this document.</t>
        </is>
      </c>
      <c r="G830" s="19" t="n"/>
      <c r="H830" s="20" t="n"/>
      <c r="I830" s="20" t="n"/>
      <c r="J830" s="19" t="n"/>
      <c r="K830" s="21" t="n"/>
      <c r="L830" s="22">
        <f>IF(OR(J830="",K830=""),"",J830*K830)</f>
        <v/>
      </c>
      <c r="M830" s="19" t="n"/>
      <c r="N830" s="20" t="n"/>
      <c r="O830" s="20" t="n"/>
    </row>
    <row r="831">
      <c r="A831" s="23" t="n">
        <v>828</v>
      </c>
      <c r="B831" s="24" t="inlineStr">
        <is>
          <t>2.1.1.14</t>
        </is>
      </c>
      <c r="C831" s="25" t="inlineStr">
        <is>
          <t>Part 2 – Technical Systems</t>
        </is>
      </c>
      <c r="D831" s="25" t="inlineStr">
        <is>
          <t>2.1 Geographical Information System (GIS)</t>
        </is>
      </c>
      <c r="E831" s="25" t="inlineStr">
        <is>
          <t>—</t>
        </is>
      </c>
      <c r="F831" s="25" t="inlineStr">
        <is>
          <t>The CONTRACTOR shall deliver an OSS911 solution that shall be able to directly integrate with any sources that MOI may desire to connect to and / or any GIS systems including maps and data and/or any other GIS systems or geospatial data identified by MOI.</t>
        </is>
      </c>
      <c r="G831" s="19" t="n"/>
      <c r="H831" s="20" t="n"/>
      <c r="I831" s="20" t="n"/>
      <c r="J831" s="19" t="n"/>
      <c r="K831" s="21" t="n"/>
      <c r="L831" s="22">
        <f>IF(OR(J831="",K831=""),"",J831*K831)</f>
        <v/>
      </c>
      <c r="M831" s="19" t="n"/>
      <c r="N831" s="20" t="n"/>
      <c r="O831" s="20" t="n"/>
    </row>
    <row r="832">
      <c r="A832" s="16" t="n">
        <v>829</v>
      </c>
      <c r="B832" s="17" t="inlineStr">
        <is>
          <t>2.1.1.15</t>
        </is>
      </c>
      <c r="C832" s="18" t="inlineStr">
        <is>
          <t>Part 2 – Technical Systems</t>
        </is>
      </c>
      <c r="D832" s="18" t="inlineStr">
        <is>
          <t>2.1 Geographical Information System (GIS)</t>
        </is>
      </c>
      <c r="E832" s="18" t="inlineStr">
        <is>
          <t>—</t>
        </is>
      </c>
      <c r="F832" s="18" t="inlineStr">
        <is>
          <t>The CONTRACTOR shall deliver an OSS911 solution that shall be able to integrate with Google maps and APIs.</t>
        </is>
      </c>
      <c r="G832" s="19" t="n"/>
      <c r="H832" s="20" t="n"/>
      <c r="I832" s="20" t="n"/>
      <c r="J832" s="19" t="n"/>
      <c r="K832" s="21" t="n"/>
      <c r="L832" s="22">
        <f>IF(OR(J832="",K832=""),"",J832*K832)</f>
        <v/>
      </c>
      <c r="M832" s="19" t="n"/>
      <c r="N832" s="20" t="n"/>
      <c r="O832" s="20" t="n"/>
    </row>
    <row r="833">
      <c r="A833" s="23" t="n">
        <v>830</v>
      </c>
      <c r="B833" s="24" t="inlineStr">
        <is>
          <t>2.1.1.16</t>
        </is>
      </c>
      <c r="C833" s="25" t="inlineStr">
        <is>
          <t>Part 2 – Technical Systems</t>
        </is>
      </c>
      <c r="D833" s="25" t="inlineStr">
        <is>
          <t>2.1 Geographical Information System (GIS)</t>
        </is>
      </c>
      <c r="E833" s="25" t="inlineStr">
        <is>
          <t>—</t>
        </is>
      </c>
      <c r="F833" s="25" t="inlineStr">
        <is>
          <t>The CONTRACTOR’s approach shall conform to the Open Geospatial Consortium (OGC) international standards and practices.</t>
        </is>
      </c>
      <c r="G833" s="19" t="n"/>
      <c r="H833" s="20" t="n"/>
      <c r="I833" s="20" t="n"/>
      <c r="J833" s="19" t="n"/>
      <c r="K833" s="21" t="n"/>
      <c r="L833" s="22">
        <f>IF(OR(J833="",K833=""),"",J833*K833)</f>
        <v/>
      </c>
      <c r="M833" s="19" t="n"/>
      <c r="N833" s="20" t="n"/>
      <c r="O833" s="20" t="n"/>
    </row>
    <row r="834">
      <c r="A834" s="16" t="n">
        <v>831</v>
      </c>
      <c r="B834" s="17" t="inlineStr">
        <is>
          <t>2.1.1.17</t>
        </is>
      </c>
      <c r="C834" s="18" t="inlineStr">
        <is>
          <t>Part 2 – Technical Systems</t>
        </is>
      </c>
      <c r="D834" s="18" t="inlineStr">
        <is>
          <t>2.1 Geographical Information System (GIS)</t>
        </is>
      </c>
      <c r="E834" s="18" t="inlineStr">
        <is>
          <t>—</t>
        </is>
      </c>
      <c r="F834" s="18" t="inlineStr">
        <is>
          <t>The CONTRACTOR shall implement OSS911 systems and solutions that shall integrate with different types of map services and layers (WebGL/MapGL, WMS, WFS, WMTS, and KML… etc.).</t>
        </is>
      </c>
      <c r="G834" s="19" t="n"/>
      <c r="H834" s="20" t="n"/>
      <c r="I834" s="20" t="n"/>
      <c r="J834" s="19" t="n"/>
      <c r="K834" s="21" t="n"/>
      <c r="L834" s="22">
        <f>IF(OR(J834="",K834=""),"",J834*K834)</f>
        <v/>
      </c>
      <c r="M834" s="19" t="n"/>
      <c r="N834" s="20" t="n"/>
      <c r="O834" s="20" t="n"/>
    </row>
    <row r="835">
      <c r="A835" s="23" t="n">
        <v>832</v>
      </c>
      <c r="B835" s="24" t="inlineStr">
        <is>
          <t>2.1.1.18</t>
        </is>
      </c>
      <c r="C835" s="25" t="inlineStr">
        <is>
          <t>Part 2 – Technical Systems</t>
        </is>
      </c>
      <c r="D835" s="25" t="inlineStr">
        <is>
          <t>2.1 Geographical Information System (GIS)</t>
        </is>
      </c>
      <c r="E835" s="25" t="inlineStr">
        <is>
          <t>—</t>
        </is>
      </c>
      <c r="F835" s="25" t="inlineStr">
        <is>
          <t>The CONTRACTOR shall implement OSS911 systems and solution that shall integrate with different kinds of GIS maps and data including (e.g., Vector Basemaps, Demographic maps, Topographic maps, Ortho- photographic maps, Imagery, panoramic maps, Digital Elevation models, Environmental data, Aeronautical Charts, Transportation, Traffic, etc.).</t>
        </is>
      </c>
      <c r="G835" s="19" t="n"/>
      <c r="H835" s="20" t="n"/>
      <c r="I835" s="20" t="n"/>
      <c r="J835" s="19" t="n"/>
      <c r="K835" s="21" t="n"/>
      <c r="L835" s="22">
        <f>IF(OR(J835="",K835=""),"",J835*K835)</f>
        <v/>
      </c>
      <c r="M835" s="19" t="n"/>
      <c r="N835" s="20" t="n"/>
      <c r="O835" s="20" t="n"/>
    </row>
    <row r="836">
      <c r="A836" s="16" t="n">
        <v>833</v>
      </c>
      <c r="B836" s="17" t="inlineStr">
        <is>
          <t>2.2.1.1</t>
        </is>
      </c>
      <c r="C836" s="18" t="inlineStr">
        <is>
          <t>Part 2 – Technical Systems</t>
        </is>
      </c>
      <c r="D836" s="18" t="inlineStr">
        <is>
          <t>2.2 COMMON OPEARATIONAL PICTURE (COP)</t>
        </is>
      </c>
      <c r="E836" s="18" t="inlineStr">
        <is>
          <t>—</t>
        </is>
      </c>
      <c r="F836" s="18" t="inlineStr">
        <is>
          <t>This RFP defines OSS911 Common Operational Picture (COP) as the “Use of advanced technology for evolving a single identical, integrated, and combined geographic display of all the information required for planning, and incident response by collecting, displaying, and sharing multi-dimensional information of the incident, resources, assets, alarms, tasking lists,…etc. on maps to support operators and decision makers across disciplines with real-time situation views to achieve situational awareness and to facilitate collaborative planning and combined execution, which can support the daily operations, planned events and crisis situations as well.”</t>
        </is>
      </c>
      <c r="G836" s="19" t="n"/>
      <c r="H836" s="20" t="n"/>
      <c r="I836" s="20" t="n"/>
      <c r="J836" s="19" t="n"/>
      <c r="K836" s="21" t="n"/>
      <c r="L836" s="22">
        <f>IF(OR(J836="",K836=""),"",J836*K836)</f>
        <v/>
      </c>
      <c r="M836" s="19" t="n"/>
      <c r="N836" s="20" t="n"/>
      <c r="O836" s="20" t="n"/>
    </row>
    <row r="837">
      <c r="A837" s="23" t="n">
        <v>834</v>
      </c>
      <c r="B837" s="24" t="inlineStr">
        <is>
          <t>2.2.1.2</t>
        </is>
      </c>
      <c r="C837" s="25" t="inlineStr">
        <is>
          <t>Part 2 – Technical Systems</t>
        </is>
      </c>
      <c r="D837" s="25" t="inlineStr">
        <is>
          <t>2.2 COMMON OPEARATIONAL PICTURE (COP)</t>
        </is>
      </c>
      <c r="E837" s="25" t="inlineStr">
        <is>
          <t>—</t>
        </is>
      </c>
      <c r="F837" s="25" t="inlineStr">
        <is>
          <t>The BIDDER shall confirm their understanding of this definition and its application to the OSS911 solution and concept of operations.</t>
        </is>
      </c>
      <c r="G837" s="19" t="n"/>
      <c r="H837" s="20" t="n"/>
      <c r="I837" s="20" t="n"/>
      <c r="J837" s="19" t="n"/>
      <c r="K837" s="21" t="n"/>
      <c r="L837" s="22">
        <f>IF(OR(J837="",K837=""),"",J837*K837)</f>
        <v/>
      </c>
      <c r="M837" s="19" t="n"/>
      <c r="N837" s="20" t="n"/>
      <c r="O837" s="20" t="n"/>
    </row>
    <row r="838">
      <c r="A838" s="16" t="n">
        <v>835</v>
      </c>
      <c r="B838" s="17" t="inlineStr">
        <is>
          <t>2.2.1.3</t>
        </is>
      </c>
      <c r="C838" s="18" t="inlineStr">
        <is>
          <t>Part 2 – Technical Systems</t>
        </is>
      </c>
      <c r="D838" s="18" t="inlineStr">
        <is>
          <t>2.2 COMMON OPEARATIONAL PICTURE (COP)</t>
        </is>
      </c>
      <c r="E838" s="18" t="inlineStr">
        <is>
          <t>—</t>
        </is>
      </c>
      <c r="F838" s="18" t="inlineStr">
        <is>
          <t>The CONTRACTOR shall implement all requirements in this section with the understanding that:</t>
        </is>
      </c>
      <c r="G838" s="19" t="n"/>
      <c r="H838" s="20" t="n"/>
      <c r="I838" s="20" t="n"/>
      <c r="J838" s="19" t="n"/>
      <c r="K838" s="21" t="n"/>
      <c r="L838" s="22">
        <f>IF(OR(J838="",K838=""),"",J838*K838)</f>
        <v/>
      </c>
      <c r="M838" s="19" t="n"/>
      <c r="N838" s="20" t="n"/>
      <c r="O838" s="20" t="n"/>
    </row>
    <row r="839">
      <c r="A839" s="23" t="n">
        <v>836</v>
      </c>
      <c r="B839" s="23" t="inlineStr">
        <is>
          <t>2.2.1.3.1</t>
        </is>
      </c>
      <c r="C839" s="25" t="inlineStr">
        <is>
          <t>Part 2 – Technical Systems</t>
        </is>
      </c>
      <c r="D839" s="25" t="inlineStr">
        <is>
          <t>2.2 COMMON OPEARATIONAL PICTURE (COP)</t>
        </is>
      </c>
      <c r="E839" s="25" t="inlineStr">
        <is>
          <t>—</t>
        </is>
      </c>
      <c r="F839" s="25" t="inlineStr">
        <is>
          <t>Unless otherwise explicitly stated, the phrase “OSS911 center” refers to OSS911 centers in each of the provinces that are included in the scope of this contract.</t>
        </is>
      </c>
      <c r="G839" s="19" t="n"/>
      <c r="H839" s="20" t="n"/>
      <c r="I839" s="20" t="n"/>
      <c r="J839" s="19" t="n"/>
      <c r="K839" s="21" t="n"/>
      <c r="L839" s="22">
        <f>IF(OR(J839="",K839=""),"",J839*K839)</f>
        <v/>
      </c>
      <c r="M839" s="19" t="n"/>
      <c r="N839" s="20" t="n"/>
      <c r="O839" s="20" t="n"/>
    </row>
    <row r="840">
      <c r="A840" s="16" t="n">
        <v>837</v>
      </c>
      <c r="B840" s="16" t="inlineStr">
        <is>
          <t>2.2.1.3.2</t>
        </is>
      </c>
      <c r="C840" s="18" t="inlineStr">
        <is>
          <t>Part 2 – Technical Systems</t>
        </is>
      </c>
      <c r="D840" s="18" t="inlineStr">
        <is>
          <t>2.2 COMMON OPEARATIONAL PICTURE (COP)</t>
        </is>
      </c>
      <c r="E840" s="18" t="inlineStr">
        <is>
          <t>—</t>
        </is>
      </c>
      <c r="F840" s="18" t="inlineStr">
        <is>
          <t>Unless otherwise explicitly stated, the phrases “OSS911 solution” or “OSS911 systems” or “OSS911 subsystems” refer to all the OSS911 systems being delivered by the CONTRACTOR as part of this contract.</t>
        </is>
      </c>
      <c r="G840" s="19" t="n"/>
      <c r="H840" s="20" t="n"/>
      <c r="I840" s="20" t="n"/>
      <c r="J840" s="19" t="n"/>
      <c r="K840" s="21" t="n"/>
      <c r="L840" s="22">
        <f>IF(OR(J840="",K840=""),"",J840*K840)</f>
        <v/>
      </c>
      <c r="M840" s="19" t="n"/>
      <c r="N840" s="20" t="n"/>
      <c r="O840" s="20" t="n"/>
    </row>
    <row r="841">
      <c r="A841" s="23" t="n">
        <v>838</v>
      </c>
      <c r="B841" s="23" t="inlineStr">
        <is>
          <t>2.2.1.3.3</t>
        </is>
      </c>
      <c r="C841" s="25" t="inlineStr">
        <is>
          <t>Part 2 – Technical Systems</t>
        </is>
      </c>
      <c r="D841" s="25" t="inlineStr">
        <is>
          <t>2.2 COMMON OPEARATIONAL PICTURE (COP)</t>
        </is>
      </c>
      <c r="E841" s="25" t="inlineStr">
        <is>
          <t>—</t>
        </is>
      </c>
      <c r="F841" s="25" t="inlineStr">
        <is>
          <t>Unless otherwise explicitly stated, the word “data” in this document includes all types of data including voice, text, video and SMS.</t>
        </is>
      </c>
      <c r="G841" s="19" t="n"/>
      <c r="H841" s="20" t="n"/>
      <c r="I841" s="20" t="n"/>
      <c r="J841" s="19" t="n"/>
      <c r="K841" s="21" t="n"/>
      <c r="L841" s="22">
        <f>IF(OR(J841="",K841=""),"",J841*K841)</f>
        <v/>
      </c>
      <c r="M841" s="19" t="n"/>
      <c r="N841" s="20" t="n"/>
      <c r="O841" s="20" t="n"/>
    </row>
    <row r="842">
      <c r="A842" s="16" t="n">
        <v>839</v>
      </c>
      <c r="B842" s="17" t="inlineStr">
        <is>
          <t>2.2.1.4</t>
        </is>
      </c>
      <c r="C842" s="18" t="inlineStr">
        <is>
          <t>Part 2 – Technical Systems</t>
        </is>
      </c>
      <c r="D842" s="18" t="inlineStr">
        <is>
          <t>2.2 COMMON OPEARATIONAL PICTURE (COP)</t>
        </is>
      </c>
      <c r="E842" s="18" t="inlineStr">
        <is>
          <t>—</t>
        </is>
      </c>
      <c r="F842" s="18" t="inlineStr">
        <is>
          <t>The CONTRACTOR shall deliver all the requirements of this section that are fully compliant to the concept of operations requirements stated in this RFP.</t>
        </is>
      </c>
      <c r="G842" s="19" t="n"/>
      <c r="H842" s="20" t="n"/>
      <c r="I842" s="20" t="n"/>
      <c r="J842" s="19" t="n"/>
      <c r="K842" s="21" t="n"/>
      <c r="L842" s="22">
        <f>IF(OR(J842="",K842=""),"",J842*K842)</f>
        <v/>
      </c>
      <c r="M842" s="19" t="n"/>
      <c r="N842" s="20" t="n"/>
      <c r="O842" s="20" t="n"/>
    </row>
    <row r="843">
      <c r="A843" s="23" t="n">
        <v>840</v>
      </c>
      <c r="B843" s="24" t="inlineStr">
        <is>
          <t>2.2.1.5</t>
        </is>
      </c>
      <c r="C843" s="25" t="inlineStr">
        <is>
          <t>Part 2 – Technical Systems</t>
        </is>
      </c>
      <c r="D843" s="25" t="inlineStr">
        <is>
          <t>2.2 COMMON OPEARATIONAL PICTURE (COP)</t>
        </is>
      </c>
      <c r="E843" s="25" t="inlineStr">
        <is>
          <t>—</t>
        </is>
      </c>
      <c r="F843" s="25" t="inlineStr">
        <is>
          <t>The CONTRACTOR shall deliver a dynamic, multi-layered AI-enabled COP for instant visualization of incidents, units, routes, assets and points of interests among others, for contextual, comprehensive and continuous situational awareness.</t>
        </is>
      </c>
      <c r="G843" s="19" t="n"/>
      <c r="H843" s="20" t="n"/>
      <c r="I843" s="20" t="n"/>
      <c r="J843" s="19" t="n"/>
      <c r="K843" s="21" t="n"/>
      <c r="L843" s="22">
        <f>IF(OR(J843="",K843=""),"",J843*K843)</f>
        <v/>
      </c>
      <c r="M843" s="19" t="n"/>
      <c r="N843" s="20" t="n"/>
      <c r="O843" s="20" t="n"/>
    </row>
    <row r="844">
      <c r="A844" s="16" t="n">
        <v>841</v>
      </c>
      <c r="B844" s="17" t="inlineStr">
        <is>
          <t>2.2.1.6</t>
        </is>
      </c>
      <c r="C844" s="18" t="inlineStr">
        <is>
          <t>Part 2 – Technical Systems</t>
        </is>
      </c>
      <c r="D844" s="18" t="inlineStr">
        <is>
          <t>2.2 COMMON OPEARATIONAL PICTURE (COP)</t>
        </is>
      </c>
      <c r="E844" s="18" t="inlineStr">
        <is>
          <t>—</t>
        </is>
      </c>
      <c r="F844" s="18" t="inlineStr">
        <is>
          <t>The CONTRACTOR shall deliver an OSS911 COP that is based on and integrated with MOI-supplied GIS.</t>
        </is>
      </c>
      <c r="G844" s="19" t="n"/>
      <c r="H844" s="20" t="n"/>
      <c r="I844" s="20" t="n"/>
      <c r="J844" s="19" t="n"/>
      <c r="K844" s="21" t="n"/>
      <c r="L844" s="22">
        <f>IF(OR(J844="",K844=""),"",J844*K844)</f>
        <v/>
      </c>
      <c r="M844" s="19" t="n"/>
      <c r="N844" s="20" t="n"/>
      <c r="O844" s="20" t="n"/>
    </row>
    <row r="845">
      <c r="A845" s="23" t="n">
        <v>842</v>
      </c>
      <c r="B845" s="24" t="inlineStr">
        <is>
          <t>2.2.1.7</t>
        </is>
      </c>
      <c r="C845" s="25" t="inlineStr">
        <is>
          <t>Part 2 – Technical Systems</t>
        </is>
      </c>
      <c r="D845" s="25" t="inlineStr">
        <is>
          <t>2.2 COMMON OPEARATIONAL PICTURE (COP)</t>
        </is>
      </c>
      <c r="E845" s="25" t="inlineStr">
        <is>
          <t>—</t>
        </is>
      </c>
      <c r="F845" s="25" t="inlineStr">
        <is>
          <t>The CONTRACTOR shall deliver an OSS911 COP that is available to authorized personnel via all access modalities – desktop, multi-touch device and mobile devices.</t>
        </is>
      </c>
      <c r="G845" s="19" t="n"/>
      <c r="H845" s="20" t="n"/>
      <c r="I845" s="20" t="n"/>
      <c r="J845" s="19" t="n"/>
      <c r="K845" s="21" t="n"/>
      <c r="L845" s="22">
        <f>IF(OR(J845="",K845=""),"",J845*K845)</f>
        <v/>
      </c>
      <c r="M845" s="19" t="n"/>
      <c r="N845" s="20" t="n"/>
      <c r="O845" s="20" t="n"/>
    </row>
    <row r="846">
      <c r="A846" s="16" t="n">
        <v>843</v>
      </c>
      <c r="B846" s="17" t="inlineStr">
        <is>
          <t>2.2.1.8</t>
        </is>
      </c>
      <c r="C846" s="18" t="inlineStr">
        <is>
          <t>Part 2 – Technical Systems</t>
        </is>
      </c>
      <c r="D846" s="18" t="inlineStr">
        <is>
          <t>2.2 COMMON OPEARATIONAL PICTURE (COP)</t>
        </is>
      </c>
      <c r="E846" s="18" t="inlineStr">
        <is>
          <t>—</t>
        </is>
      </c>
      <c r="F846" s="18" t="inlineStr">
        <is>
          <t>The CONTRACTOR shall deliver an OSS911 COP that provides “real- time” information to all users.</t>
        </is>
      </c>
      <c r="G846" s="19" t="n"/>
      <c r="H846" s="20" t="n"/>
      <c r="I846" s="20" t="n"/>
      <c r="J846" s="19" t="n"/>
      <c r="K846" s="21" t="n"/>
      <c r="L846" s="22">
        <f>IF(OR(J846="",K846=""),"",J846*K846)</f>
        <v/>
      </c>
      <c r="M846" s="19" t="n"/>
      <c r="N846" s="20" t="n"/>
      <c r="O846" s="20" t="n"/>
    </row>
    <row r="847">
      <c r="A847" s="23" t="n">
        <v>844</v>
      </c>
      <c r="B847" s="24" t="inlineStr">
        <is>
          <t>2.2.1.9</t>
        </is>
      </c>
      <c r="C847" s="25" t="inlineStr">
        <is>
          <t>Part 2 – Technical Systems</t>
        </is>
      </c>
      <c r="D847" s="25" t="inlineStr">
        <is>
          <t>2.2 COMMON OPEARATIONAL PICTURE (COP)</t>
        </is>
      </c>
      <c r="E847" s="25" t="inlineStr">
        <is>
          <t>—</t>
        </is>
      </c>
      <c r="F847" s="25" t="inlineStr">
        <is>
          <t>The COP shall include the following capabilities:</t>
        </is>
      </c>
      <c r="G847" s="19" t="n"/>
      <c r="H847" s="20" t="n"/>
      <c r="I847" s="20" t="n"/>
      <c r="J847" s="19" t="n"/>
      <c r="K847" s="21" t="n"/>
      <c r="L847" s="22">
        <f>IF(OR(J847="",K847=""),"",J847*K847)</f>
        <v/>
      </c>
      <c r="M847" s="19" t="n"/>
      <c r="N847" s="20" t="n"/>
      <c r="O847" s="20" t="n"/>
    </row>
    <row r="848">
      <c r="A848" s="16" t="n">
        <v>845</v>
      </c>
      <c r="B848" s="16" t="inlineStr">
        <is>
          <t>2.2.1.9.1</t>
        </is>
      </c>
      <c r="C848" s="18" t="inlineStr">
        <is>
          <t>Part 2 – Technical Systems</t>
        </is>
      </c>
      <c r="D848" s="18" t="inlineStr">
        <is>
          <t>2.2 COMMON OPEARATIONAL PICTURE (COP)</t>
        </is>
      </c>
      <c r="E848" s="18" t="inlineStr">
        <is>
          <t>—</t>
        </is>
      </c>
      <c r="F848" s="18" t="inlineStr">
        <is>
          <t>The display of different static and dynamic geographic information and layers (i.e., maps, overlays, Imageries)</t>
        </is>
      </c>
      <c r="G848" s="19" t="n"/>
      <c r="H848" s="20" t="n"/>
      <c r="I848" s="20" t="n"/>
      <c r="J848" s="19" t="n"/>
      <c r="K848" s="21" t="n"/>
      <c r="L848" s="22">
        <f>IF(OR(J848="",K848=""),"",J848*K848)</f>
        <v/>
      </c>
      <c r="M848" s="19" t="n"/>
      <c r="N848" s="20" t="n"/>
      <c r="O848" s="20" t="n"/>
    </row>
    <row r="849">
      <c r="A849" s="23" t="n">
        <v>846</v>
      </c>
      <c r="B849" s="23" t="inlineStr">
        <is>
          <t>2.2.1.9.2</t>
        </is>
      </c>
      <c r="C849" s="25" t="inlineStr">
        <is>
          <t>Part 2 – Technical Systems</t>
        </is>
      </c>
      <c r="D849" s="25" t="inlineStr">
        <is>
          <t>2.2 COMMON OPEARATIONAL PICTURE (COP)</t>
        </is>
      </c>
      <c r="E849" s="25" t="inlineStr">
        <is>
          <t>—</t>
        </is>
      </c>
      <c r="F849" s="25" t="inlineStr">
        <is>
          <t>Jurisdictional boundaries and areas of responsibilities for the different agencies</t>
        </is>
      </c>
      <c r="G849" s="19" t="n"/>
      <c r="H849" s="20" t="n"/>
      <c r="I849" s="20" t="n"/>
      <c r="J849" s="19" t="n"/>
      <c r="K849" s="21" t="n"/>
      <c r="L849" s="22">
        <f>IF(OR(J849="",K849=""),"",J849*K849)</f>
        <v/>
      </c>
      <c r="M849" s="19" t="n"/>
      <c r="N849" s="20" t="n"/>
      <c r="O849" s="20" t="n"/>
    </row>
    <row r="850">
      <c r="A850" s="16" t="n">
        <v>847</v>
      </c>
      <c r="B850" s="16" t="inlineStr">
        <is>
          <t>2.2.1.9.3</t>
        </is>
      </c>
      <c r="C850" s="18" t="inlineStr">
        <is>
          <t>Part 2 – Technical Systems</t>
        </is>
      </c>
      <c r="D850" s="18" t="inlineStr">
        <is>
          <t>2.2 COMMON OPEARATIONAL PICTURE (COP)</t>
        </is>
      </c>
      <c r="E850" s="18" t="inlineStr">
        <is>
          <t>—</t>
        </is>
      </c>
      <c r="F850" s="18" t="inlineStr">
        <is>
          <t>Incident location and status information</t>
        </is>
      </c>
      <c r="G850" s="19" t="n"/>
      <c r="H850" s="20" t="n"/>
      <c r="I850" s="20" t="n"/>
      <c r="J850" s="19" t="n"/>
      <c r="K850" s="21" t="n"/>
      <c r="L850" s="22">
        <f>IF(OR(J850="",K850=""),"",J850*K850)</f>
        <v/>
      </c>
      <c r="M850" s="19" t="n"/>
      <c r="N850" s="20" t="n"/>
      <c r="O850" s="20" t="n"/>
    </row>
    <row r="851">
      <c r="A851" s="23" t="n">
        <v>848</v>
      </c>
      <c r="B851" s="23" t="inlineStr">
        <is>
          <t>2.2.1.9.4</t>
        </is>
      </c>
      <c r="C851" s="25" t="inlineStr">
        <is>
          <t>Part 2 – Technical Systems</t>
        </is>
      </c>
      <c r="D851" s="25" t="inlineStr">
        <is>
          <t>2.2 COMMON OPEARATIONAL PICTURE (COP)</t>
        </is>
      </c>
      <c r="E851" s="25" t="inlineStr">
        <is>
          <t>—</t>
        </is>
      </c>
      <c r="F851" s="25" t="inlineStr">
        <is>
          <t>The display, within those maps, of the resource information including location and status of the resources</t>
        </is>
      </c>
      <c r="G851" s="19" t="n"/>
      <c r="H851" s="20" t="n"/>
      <c r="I851" s="20" t="n"/>
      <c r="J851" s="19" t="n"/>
      <c r="K851" s="21" t="n"/>
      <c r="L851" s="22">
        <f>IF(OR(J851="",K851=""),"",J851*K851)</f>
        <v/>
      </c>
      <c r="M851" s="19" t="n"/>
      <c r="N851" s="20" t="n"/>
      <c r="O851" s="20" t="n"/>
    </row>
    <row r="852">
      <c r="A852" s="16" t="n">
        <v>849</v>
      </c>
      <c r="B852" s="16" t="inlineStr">
        <is>
          <t>2.2.1.9.5</t>
        </is>
      </c>
      <c r="C852" s="18" t="inlineStr">
        <is>
          <t>Part 2 – Technical Systems</t>
        </is>
      </c>
      <c r="D852" s="18" t="inlineStr">
        <is>
          <t>2.2 COMMON OPEARATIONAL PICTURE (COP)</t>
        </is>
      </c>
      <c r="E852" s="18" t="inlineStr">
        <is>
          <t>—</t>
        </is>
      </c>
      <c r="F852" s="18" t="inlineStr">
        <is>
          <t>The map shall dynamically update showing the position and status of resources.</t>
        </is>
      </c>
      <c r="G852" s="19" t="n"/>
      <c r="H852" s="20" t="n"/>
      <c r="I852" s="20" t="n"/>
      <c r="J852" s="19" t="n"/>
      <c r="K852" s="21" t="n"/>
      <c r="L852" s="22">
        <f>IF(OR(J852="",K852=""),"",J852*K852)</f>
        <v/>
      </c>
      <c r="M852" s="19" t="n"/>
      <c r="N852" s="20" t="n"/>
      <c r="O852" s="20" t="n"/>
    </row>
    <row r="853">
      <c r="A853" s="23" t="n">
        <v>850</v>
      </c>
      <c r="B853" s="23" t="inlineStr">
        <is>
          <t>2.2.1.9.6</t>
        </is>
      </c>
      <c r="C853" s="25" t="inlineStr">
        <is>
          <t>Part 2 – Technical Systems</t>
        </is>
      </c>
      <c r="D853" s="25" t="inlineStr">
        <is>
          <t>2.2 COMMON OPEARATIONAL PICTURE (COP)</t>
        </is>
      </c>
      <c r="E853" s="25" t="inlineStr">
        <is>
          <t>—</t>
        </is>
      </c>
      <c r="F853" s="25" t="inlineStr">
        <is>
          <t>The map shall show available resources (with status) within a certain pre-defined distance from the incident that is appropriate to the operator’s role.</t>
        </is>
      </c>
      <c r="G853" s="19" t="n"/>
      <c r="H853" s="20" t="n"/>
      <c r="I853" s="20" t="n"/>
      <c r="J853" s="19" t="n"/>
      <c r="K853" s="21" t="n"/>
      <c r="L853" s="22">
        <f>IF(OR(J853="",K853=""),"",J853*K853)</f>
        <v/>
      </c>
      <c r="M853" s="19" t="n"/>
      <c r="N853" s="20" t="n"/>
      <c r="O853" s="20" t="n"/>
    </row>
    <row r="854">
      <c r="A854" s="16" t="n">
        <v>851</v>
      </c>
      <c r="B854" s="16" t="inlineStr">
        <is>
          <t>2.2.1.9.7</t>
        </is>
      </c>
      <c r="C854" s="18" t="inlineStr">
        <is>
          <t>Part 2 – Technical Systems</t>
        </is>
      </c>
      <c r="D854" s="18" t="inlineStr">
        <is>
          <t>2.2 COMMON OPEARATIONAL PICTURE (COP)</t>
        </is>
      </c>
      <c r="E854" s="18" t="inlineStr">
        <is>
          <t>—</t>
        </is>
      </c>
      <c r="F854" s="18" t="inlineStr">
        <is>
          <t>Information gathered from various integrations as defined in this RFP</t>
        </is>
      </c>
      <c r="G854" s="19" t="n"/>
      <c r="H854" s="20" t="n"/>
      <c r="I854" s="20" t="n"/>
      <c r="J854" s="19" t="n"/>
      <c r="K854" s="21" t="n"/>
      <c r="L854" s="22">
        <f>IF(OR(J854="",K854=""),"",J854*K854)</f>
        <v/>
      </c>
      <c r="M854" s="19" t="n"/>
      <c r="N854" s="20" t="n"/>
      <c r="O854" s="20" t="n"/>
    </row>
    <row r="855">
      <c r="A855" s="23" t="n">
        <v>852</v>
      </c>
      <c r="B855" s="23" t="inlineStr">
        <is>
          <t>2.2.1.9.8</t>
        </is>
      </c>
      <c r="C855" s="25" t="inlineStr">
        <is>
          <t>Part 2 – Technical Systems</t>
        </is>
      </c>
      <c r="D855" s="25" t="inlineStr">
        <is>
          <t>2.2 COMMON OPEARATIONAL PICTURE (COP)</t>
        </is>
      </c>
      <c r="E855" s="25" t="inlineStr">
        <is>
          <t>—</t>
        </is>
      </c>
      <c r="F855" s="25" t="inlineStr">
        <is>
          <t>Information gathered for the incident under scrutiny</t>
        </is>
      </c>
      <c r="G855" s="19" t="n"/>
      <c r="H855" s="20" t="n"/>
      <c r="I855" s="20" t="n"/>
      <c r="J855" s="19" t="n"/>
      <c r="K855" s="21" t="n"/>
      <c r="L855" s="22">
        <f>IF(OR(J855="",K855=""),"",J855*K855)</f>
        <v/>
      </c>
      <c r="M855" s="19" t="n"/>
      <c r="N855" s="20" t="n"/>
      <c r="O855" s="20" t="n"/>
    </row>
    <row r="856">
      <c r="A856" s="16" t="n">
        <v>853</v>
      </c>
      <c r="B856" s="16" t="inlineStr">
        <is>
          <t>2.2.1.9.9</t>
        </is>
      </c>
      <c r="C856" s="18" t="inlineStr">
        <is>
          <t>Part 2 – Technical Systems</t>
        </is>
      </c>
      <c r="D856" s="18" t="inlineStr">
        <is>
          <t>2.2 COMMON OPEARATIONAL PICTURE (COP)</t>
        </is>
      </c>
      <c r="E856" s="18" t="inlineStr">
        <is>
          <t>—</t>
        </is>
      </c>
      <c r="F856" s="18" t="inlineStr">
        <is>
          <t>Location data to be overlaid on the maps.</t>
        </is>
      </c>
      <c r="G856" s="19" t="n"/>
      <c r="H856" s="20" t="n"/>
      <c r="I856" s="20" t="n"/>
      <c r="J856" s="19" t="n"/>
      <c r="K856" s="21" t="n"/>
      <c r="L856" s="22">
        <f>IF(OR(J856="",K856=""),"",J856*K856)</f>
        <v/>
      </c>
      <c r="M856" s="19" t="n"/>
      <c r="N856" s="20" t="n"/>
      <c r="O856" s="20" t="n"/>
    </row>
    <row r="857">
      <c r="A857" s="23" t="n">
        <v>854</v>
      </c>
      <c r="B857" s="23" t="inlineStr">
        <is>
          <t>2.2.1.9.10</t>
        </is>
      </c>
      <c r="C857" s="25" t="inlineStr">
        <is>
          <t>Part 2 – Technical Systems</t>
        </is>
      </c>
      <c r="D857" s="25" t="inlineStr">
        <is>
          <t>2.2 COMMON OPEARATIONAL PICTURE (COP)</t>
        </is>
      </c>
      <c r="E857" s="25" t="inlineStr">
        <is>
          <t>—</t>
        </is>
      </c>
      <c r="F857" s="25" t="inlineStr">
        <is>
          <t>User customizable views for specific user roles</t>
        </is>
      </c>
      <c r="G857" s="19" t="n"/>
      <c r="H857" s="20" t="n"/>
      <c r="I857" s="20" t="n"/>
      <c r="J857" s="19" t="n"/>
      <c r="K857" s="21" t="n"/>
      <c r="L857" s="22">
        <f>IF(OR(J857="",K857=""),"",J857*K857)</f>
        <v/>
      </c>
      <c r="M857" s="19" t="n"/>
      <c r="N857" s="20" t="n"/>
      <c r="O857" s="20" t="n"/>
    </row>
    <row r="858">
      <c r="A858" s="16" t="n">
        <v>855</v>
      </c>
      <c r="B858" s="16" t="inlineStr">
        <is>
          <t>2.2.1.9.11</t>
        </is>
      </c>
      <c r="C858" s="18" t="inlineStr">
        <is>
          <t>Part 2 – Technical Systems</t>
        </is>
      </c>
      <c r="D858" s="18" t="inlineStr">
        <is>
          <t>2.2 COMMON OPEARATIONAL PICTURE (COP)</t>
        </is>
      </c>
      <c r="E858" s="18" t="inlineStr">
        <is>
          <t>—</t>
        </is>
      </c>
      <c r="F858" s="18" t="inlineStr">
        <is>
          <t>The rules used for displaying available resources shall be configurable.</t>
        </is>
      </c>
      <c r="G858" s="19" t="n"/>
      <c r="H858" s="20" t="n"/>
      <c r="I858" s="20" t="n"/>
      <c r="J858" s="19" t="n"/>
      <c r="K858" s="21" t="n"/>
      <c r="L858" s="22">
        <f>IF(OR(J858="",K858=""),"",J858*K858)</f>
        <v/>
      </c>
      <c r="M858" s="19" t="n"/>
      <c r="N858" s="20" t="n"/>
      <c r="O858" s="20" t="n"/>
    </row>
    <row r="859">
      <c r="A859" s="23" t="n">
        <v>856</v>
      </c>
      <c r="B859" s="23" t="inlineStr">
        <is>
          <t>2.2.1.9.12</t>
        </is>
      </c>
      <c r="C859" s="25" t="inlineStr">
        <is>
          <t>Part 2 – Technical Systems</t>
        </is>
      </c>
      <c r="D859" s="25" t="inlineStr">
        <is>
          <t>2.2 COMMON OPEARATIONAL PICTURE (COP)</t>
        </is>
      </c>
      <c r="E859" s="25" t="inlineStr">
        <is>
          <t>—</t>
        </is>
      </c>
      <c r="F859" s="25" t="inlineStr">
        <is>
          <t>The ability for compiling data from multiple sources to ensure the same understanding and awareness of the incident status</t>
        </is>
      </c>
      <c r="G859" s="19" t="n"/>
      <c r="H859" s="20" t="n"/>
      <c r="I859" s="20" t="n"/>
      <c r="J859" s="19" t="n"/>
      <c r="K859" s="21" t="n"/>
      <c r="L859" s="22">
        <f>IF(OR(J859="",K859=""),"",J859*K859)</f>
        <v/>
      </c>
      <c r="M859" s="19" t="n"/>
      <c r="N859" s="20" t="n"/>
      <c r="O859" s="20" t="n"/>
    </row>
    <row r="860">
      <c r="A860" s="16" t="n">
        <v>857</v>
      </c>
      <c r="B860" s="16" t="inlineStr">
        <is>
          <t>2.2.1.9.13</t>
        </is>
      </c>
      <c r="C860" s="18" t="inlineStr">
        <is>
          <t>Part 2 – Technical Systems</t>
        </is>
      </c>
      <c r="D860" s="18" t="inlineStr">
        <is>
          <t>2.2 COMMON OPEARATIONAL PICTURE (COP)</t>
        </is>
      </c>
      <c r="E860" s="18" t="inlineStr">
        <is>
          <t>—</t>
        </is>
      </c>
      <c r="F860" s="18" t="inlineStr">
        <is>
          <t>The display of standard operating procedures in relation to an incident once qualifying details for an incident are available in the system.</t>
        </is>
      </c>
      <c r="G860" s="19" t="n"/>
      <c r="H860" s="20" t="n"/>
      <c r="I860" s="20" t="n"/>
      <c r="J860" s="19" t="n"/>
      <c r="K860" s="21" t="n"/>
      <c r="L860" s="22">
        <f>IF(OR(J860="",K860=""),"",J860*K860)</f>
        <v/>
      </c>
      <c r="M860" s="19" t="n"/>
      <c r="N860" s="20" t="n"/>
      <c r="O860" s="20" t="n"/>
    </row>
    <row r="861">
      <c r="A861" s="23" t="n">
        <v>858</v>
      </c>
      <c r="B861" s="23" t="inlineStr">
        <is>
          <t>2.2.1.9.14</t>
        </is>
      </c>
      <c r="C861" s="25" t="inlineStr">
        <is>
          <t>Part 2 – Technical Systems</t>
        </is>
      </c>
      <c r="D861" s="25" t="inlineStr">
        <is>
          <t>2.2 COMMON OPEARATIONAL PICTURE (COP)</t>
        </is>
      </c>
      <c r="E861" s="25" t="inlineStr">
        <is>
          <t>—</t>
        </is>
      </c>
      <c r="F861" s="25" t="inlineStr">
        <is>
          <t>The ability to provide routing information</t>
        </is>
      </c>
      <c r="G861" s="19" t="n"/>
      <c r="H861" s="20" t="n"/>
      <c r="I861" s="20" t="n"/>
      <c r="J861" s="19" t="n"/>
      <c r="K861" s="21" t="n"/>
      <c r="L861" s="22">
        <f>IF(OR(J861="",K861=""),"",J861*K861)</f>
        <v/>
      </c>
      <c r="M861" s="19" t="n"/>
      <c r="N861" s="20" t="n"/>
      <c r="O861" s="20" t="n"/>
    </row>
    <row r="862">
      <c r="A862" s="16" t="n">
        <v>859</v>
      </c>
      <c r="B862" s="16" t="inlineStr">
        <is>
          <t>2.2.1.9.15</t>
        </is>
      </c>
      <c r="C862" s="18" t="inlineStr">
        <is>
          <t>Part 2 – Technical Systems</t>
        </is>
      </c>
      <c r="D862" s="18" t="inlineStr">
        <is>
          <t>2.2 COMMON OPEARATIONAL PICTURE (COP)</t>
        </is>
      </c>
      <c r="E862" s="18" t="inlineStr">
        <is>
          <t>—</t>
        </is>
      </c>
      <c r="F862" s="18" t="inlineStr">
        <is>
          <t>The determination of what response assets are closest for deployment and provide recommended “closest” responders to operators.</t>
        </is>
      </c>
      <c r="G862" s="19" t="n"/>
      <c r="H862" s="20" t="n"/>
      <c r="I862" s="20" t="n"/>
      <c r="J862" s="19" t="n"/>
      <c r="K862" s="21" t="n"/>
      <c r="L862" s="22">
        <f>IF(OR(J862="",K862=""),"",J862*K862)</f>
        <v/>
      </c>
      <c r="M862" s="19" t="n"/>
      <c r="N862" s="20" t="n"/>
      <c r="O862" s="20" t="n"/>
    </row>
    <row r="863">
      <c r="A863" s="23" t="n">
        <v>860</v>
      </c>
      <c r="B863" s="23" t="inlineStr">
        <is>
          <t>2.2.1.9.16</t>
        </is>
      </c>
      <c r="C863" s="25" t="inlineStr">
        <is>
          <t>Part 2 – Technical Systems</t>
        </is>
      </c>
      <c r="D863" s="25" t="inlineStr">
        <is>
          <t>2.2 COMMON OPEARATIONAL PICTURE (COP)</t>
        </is>
      </c>
      <c r="E863" s="25" t="inlineStr">
        <is>
          <t>—</t>
        </is>
      </c>
      <c r="F863" s="25" t="inlineStr">
        <is>
          <t>Represent the location, properties, and capabilities of all video surveillance cameras integrated within the CAD solution.</t>
        </is>
      </c>
      <c r="G863" s="19" t="n"/>
      <c r="H863" s="20" t="n"/>
      <c r="I863" s="20" t="n"/>
      <c r="J863" s="19" t="n"/>
      <c r="K863" s="21" t="n"/>
      <c r="L863" s="22">
        <f>IF(OR(J863="",K863=""),"",J863*K863)</f>
        <v/>
      </c>
      <c r="M863" s="19" t="n"/>
      <c r="N863" s="20" t="n"/>
      <c r="O863" s="20" t="n"/>
    </row>
    <row r="864">
      <c r="A864" s="16" t="n">
        <v>861</v>
      </c>
      <c r="B864" s="16" t="inlineStr">
        <is>
          <t>2.2.1.9.17</t>
        </is>
      </c>
      <c r="C864" s="18" t="inlineStr">
        <is>
          <t>Part 2 – Technical Systems</t>
        </is>
      </c>
      <c r="D864" s="18" t="inlineStr">
        <is>
          <t>2.2 COMMON OPEARATIONAL PICTURE (COP)</t>
        </is>
      </c>
      <c r="E864" s="18" t="inlineStr">
        <is>
          <t>—</t>
        </is>
      </c>
      <c r="F864" s="18" t="inlineStr">
        <is>
          <t>The capability to indicate to the user those cameras that are able to be viewed at that location, or within a distance of incident location.</t>
        </is>
      </c>
      <c r="G864" s="19" t="n"/>
      <c r="H864" s="20" t="n"/>
      <c r="I864" s="20" t="n"/>
      <c r="J864" s="19" t="n"/>
      <c r="K864" s="21" t="n"/>
      <c r="L864" s="22">
        <f>IF(OR(J864="",K864=""),"",J864*K864)</f>
        <v/>
      </c>
      <c r="M864" s="19" t="n"/>
      <c r="N864" s="20" t="n"/>
      <c r="O864" s="20" t="n"/>
    </row>
    <row r="865">
      <c r="A865" s="23" t="n">
        <v>862</v>
      </c>
      <c r="B865" s="23" t="inlineStr">
        <is>
          <t>2.2.1.9.18</t>
        </is>
      </c>
      <c r="C865" s="25" t="inlineStr">
        <is>
          <t>Part 2 – Technical Systems</t>
        </is>
      </c>
      <c r="D865" s="25" t="inlineStr">
        <is>
          <t>2.2 COMMON OPEARATIONAL PICTURE (COP)</t>
        </is>
      </c>
      <c r="E865" s="25" t="inlineStr">
        <is>
          <t>—</t>
        </is>
      </c>
      <c r="F865" s="25" t="inlineStr">
        <is>
          <t>The ability to control sharing of incidents, resources, and incident related information between local, regional, national and private sector entities to create a common operating picture.</t>
        </is>
      </c>
      <c r="G865" s="19" t="n"/>
      <c r="H865" s="20" t="n"/>
      <c r="I865" s="20" t="n"/>
      <c r="J865" s="19" t="n"/>
      <c r="K865" s="21" t="n"/>
      <c r="L865" s="22">
        <f>IF(OR(J865="",K865=""),"",J865*K865)</f>
        <v/>
      </c>
      <c r="M865" s="19" t="n"/>
      <c r="N865" s="20" t="n"/>
      <c r="O865" s="20" t="n"/>
    </row>
    <row r="866">
      <c r="A866" s="16" t="n">
        <v>863</v>
      </c>
      <c r="B866" s="16" t="inlineStr">
        <is>
          <t>2.2.1.9.19</t>
        </is>
      </c>
      <c r="C866" s="18" t="inlineStr">
        <is>
          <t>Part 2 – Technical Systems</t>
        </is>
      </c>
      <c r="D866" s="18" t="inlineStr">
        <is>
          <t>2.2 COMMON OPEARATIONAL PICTURE (COP)</t>
        </is>
      </c>
      <c r="E866" s="18" t="inlineStr">
        <is>
          <t>—</t>
        </is>
      </c>
      <c r="F866" s="18" t="inlineStr">
        <is>
          <t>The ability to collect and compile information at subordinate levels (municipal, regional, national, and agency levels)</t>
        </is>
      </c>
      <c r="G866" s="19" t="n"/>
      <c r="H866" s="20" t="n"/>
      <c r="I866" s="20" t="n"/>
      <c r="J866" s="19" t="n"/>
      <c r="K866" s="21" t="n"/>
      <c r="L866" s="22">
        <f>IF(OR(J866="",K866=""),"",J866*K866)</f>
        <v/>
      </c>
      <c r="M866" s="19" t="n"/>
      <c r="N866" s="20" t="n"/>
      <c r="O866" s="20" t="n"/>
    </row>
    <row r="867">
      <c r="A867" s="23" t="n">
        <v>864</v>
      </c>
      <c r="B867" s="23" t="inlineStr">
        <is>
          <t>2.2.1.9.20</t>
        </is>
      </c>
      <c r="C867" s="25" t="inlineStr">
        <is>
          <t>Part 2 – Technical Systems</t>
        </is>
      </c>
      <c r="D867" s="25" t="inlineStr">
        <is>
          <t>2.2 COMMON OPEARATIONAL PICTURE (COP)</t>
        </is>
      </c>
      <c r="E867" s="25" t="inlineStr">
        <is>
          <t>—</t>
        </is>
      </c>
      <c r="F867" s="25" t="inlineStr">
        <is>
          <t>Allow display of all layers, maps, data, and map services.</t>
        </is>
      </c>
      <c r="G867" s="19" t="n"/>
      <c r="H867" s="20" t="n"/>
      <c r="I867" s="20" t="n"/>
      <c r="J867" s="19" t="n"/>
      <c r="K867" s="21" t="n"/>
      <c r="L867" s="22">
        <f>IF(OR(J867="",K867=""),"",J867*K867)</f>
        <v/>
      </c>
      <c r="M867" s="19" t="n"/>
      <c r="N867" s="20" t="n"/>
      <c r="O867" s="20" t="n"/>
    </row>
    <row r="868">
      <c r="A868" s="16" t="n">
        <v>865</v>
      </c>
      <c r="B868" s="16" t="inlineStr">
        <is>
          <t>2.2.1.9.21</t>
        </is>
      </c>
      <c r="C868" s="18" t="inlineStr">
        <is>
          <t>Part 2 – Technical Systems</t>
        </is>
      </c>
      <c r="D868" s="18" t="inlineStr">
        <is>
          <t>2.2 COMMON OPEARATIONAL PICTURE (COP)</t>
        </is>
      </c>
      <c r="E868" s="18" t="inlineStr">
        <is>
          <t>—</t>
        </is>
      </c>
      <c r="F868" s="18" t="inlineStr">
        <is>
          <t>Provide access to the layers, maps and data to networked and mobile users through the network.</t>
        </is>
      </c>
      <c r="G868" s="19" t="n"/>
      <c r="H868" s="20" t="n"/>
      <c r="I868" s="20" t="n"/>
      <c r="J868" s="19" t="n"/>
      <c r="K868" s="21" t="n"/>
      <c r="L868" s="22">
        <f>IF(OR(J868="",K868=""),"",J868*K868)</f>
        <v/>
      </c>
      <c r="M868" s="19" t="n"/>
      <c r="N868" s="20" t="n"/>
      <c r="O868" s="20" t="n"/>
    </row>
    <row r="869">
      <c r="A869" s="23" t="n">
        <v>866</v>
      </c>
      <c r="B869" s="23" t="inlineStr">
        <is>
          <t>2.2.1.9.22</t>
        </is>
      </c>
      <c r="C869" s="25" t="inlineStr">
        <is>
          <t>Part 2 – Technical Systems</t>
        </is>
      </c>
      <c r="D869" s="25" t="inlineStr">
        <is>
          <t>2.2 COMMON OPEARATIONAL PICTURE (COP)</t>
        </is>
      </c>
      <c r="E869" s="25" t="inlineStr">
        <is>
          <t>—</t>
        </is>
      </c>
      <c r="F869" s="25" t="inlineStr">
        <is>
          <t>Provide capability for resource location updates to be updated on the map dynamically.</t>
        </is>
      </c>
      <c r="G869" s="19" t="n"/>
      <c r="H869" s="20" t="n"/>
      <c r="I869" s="20" t="n"/>
      <c r="J869" s="19" t="n"/>
      <c r="K869" s="21" t="n"/>
      <c r="L869" s="22">
        <f>IF(OR(J869="",K869=""),"",J869*K869)</f>
        <v/>
      </c>
      <c r="M869" s="19" t="n"/>
      <c r="N869" s="20" t="n"/>
      <c r="O869" s="20" t="n"/>
    </row>
    <row r="870">
      <c r="A870" s="16" t="n">
        <v>867</v>
      </c>
      <c r="B870" s="16" t="inlineStr">
        <is>
          <t>2.2.1.9.23</t>
        </is>
      </c>
      <c r="C870" s="18" t="inlineStr">
        <is>
          <t>Part 2 – Technical Systems</t>
        </is>
      </c>
      <c r="D870" s="18" t="inlineStr">
        <is>
          <t>2.2 COMMON OPEARATIONAL PICTURE (COP)</t>
        </is>
      </c>
      <c r="E870" s="18" t="inlineStr">
        <is>
          <t>—</t>
        </is>
      </c>
      <c r="F870" s="18" t="inlineStr">
        <is>
          <t>The resources icons shall dynamically change on the map whenever the object/ resources data has been updated and the color of icons themselves shall also be configurable using the status field or other predefined field(s) related to the resource. (Example: if the status of the shelters changed to be closed the color / symbol shall be changed to be another color – say change to red instead of green).</t>
        </is>
      </c>
      <c r="G870" s="19" t="n"/>
      <c r="H870" s="20" t="n"/>
      <c r="I870" s="20" t="n"/>
      <c r="J870" s="19" t="n"/>
      <c r="K870" s="21" t="n"/>
      <c r="L870" s="22">
        <f>IF(OR(J870="",K870=""),"",J870*K870)</f>
        <v/>
      </c>
      <c r="M870" s="19" t="n"/>
      <c r="N870" s="20" t="n"/>
      <c r="O870" s="20" t="n"/>
    </row>
    <row r="871">
      <c r="A871" s="23" t="n">
        <v>868</v>
      </c>
      <c r="B871" s="23" t="inlineStr">
        <is>
          <t>2.2.1.9.24</t>
        </is>
      </c>
      <c r="C871" s="25" t="inlineStr">
        <is>
          <t>Part 2 – Technical Systems</t>
        </is>
      </c>
      <c r="D871" s="25" t="inlineStr">
        <is>
          <t>2.2 COMMON OPEARATIONAL PICTURE (COP)</t>
        </is>
      </c>
      <c r="E871" s="25" t="inlineStr">
        <is>
          <t>—</t>
        </is>
      </c>
      <c r="F871" s="25" t="inlineStr">
        <is>
          <t>Provide the capability for clustering of objects for visualization on maps.</t>
        </is>
      </c>
      <c r="G871" s="19" t="n"/>
      <c r="H871" s="20" t="n"/>
      <c r="I871" s="20" t="n"/>
      <c r="J871" s="19" t="n"/>
      <c r="K871" s="21" t="n"/>
      <c r="L871" s="22">
        <f>IF(OR(J871="",K871=""),"",J871*K871)</f>
        <v/>
      </c>
      <c r="M871" s="19" t="n"/>
      <c r="N871" s="20" t="n"/>
      <c r="O871" s="20" t="n"/>
    </row>
    <row r="872">
      <c r="A872" s="16" t="n">
        <v>869</v>
      </c>
      <c r="B872" s="16" t="inlineStr">
        <is>
          <t>2.2.1.9.25</t>
        </is>
      </c>
      <c r="C872" s="18" t="inlineStr">
        <is>
          <t>Part 2 – Technical Systems</t>
        </is>
      </c>
      <c r="D872" s="18" t="inlineStr">
        <is>
          <t>2.2 COMMON OPEARATIONAL PICTURE (COP)</t>
        </is>
      </c>
      <c r="E872" s="18" t="inlineStr">
        <is>
          <t>—</t>
        </is>
      </c>
      <c r="F872" s="18" t="inlineStr">
        <is>
          <t>Provide the user with the ability to customize his view to display icons and/or symbols as individual icon and/or symbol, as clusters and as a combination of individual icons and/or symbols, and clusters.</t>
        </is>
      </c>
      <c r="G872" s="19" t="n"/>
      <c r="H872" s="20" t="n"/>
      <c r="I872" s="20" t="n"/>
      <c r="J872" s="19" t="n"/>
      <c r="K872" s="21" t="n"/>
      <c r="L872" s="22">
        <f>IF(OR(J872="",K872=""),"",J872*K872)</f>
        <v/>
      </c>
      <c r="M872" s="19" t="n"/>
      <c r="N872" s="20" t="n"/>
      <c r="O872" s="20" t="n"/>
    </row>
    <row r="873">
      <c r="A873" s="23" t="n">
        <v>870</v>
      </c>
      <c r="B873" s="23" t="inlineStr">
        <is>
          <t>2.2.1.9.26</t>
        </is>
      </c>
      <c r="C873" s="25" t="inlineStr">
        <is>
          <t>Part 2 – Technical Systems</t>
        </is>
      </c>
      <c r="D873" s="25" t="inlineStr">
        <is>
          <t>2.2 COMMON OPEARATIONAL PICTURE (COP)</t>
        </is>
      </c>
      <c r="E873" s="25" t="inlineStr">
        <is>
          <t>—</t>
        </is>
      </c>
      <c r="F873" s="25" t="inlineStr">
        <is>
          <t>Map Icons that are near each other, or are hidden by over- lapping icons, shall have the capability to be grouped together as a single “cluster” of icons.</t>
        </is>
      </c>
      <c r="G873" s="19" t="n"/>
      <c r="H873" s="20" t="n"/>
      <c r="I873" s="20" t="n"/>
      <c r="J873" s="19" t="n"/>
      <c r="K873" s="21" t="n"/>
      <c r="L873" s="22">
        <f>IF(OR(J873="",K873=""),"",J873*K873)</f>
        <v/>
      </c>
      <c r="M873" s="19" t="n"/>
      <c r="N873" s="20" t="n"/>
      <c r="O873" s="20" t="n"/>
    </row>
    <row r="874">
      <c r="A874" s="16" t="n">
        <v>871</v>
      </c>
      <c r="B874" s="16" t="inlineStr">
        <is>
          <t>2.2.1.9.27</t>
        </is>
      </c>
      <c r="C874" s="18" t="inlineStr">
        <is>
          <t>Part 2 – Technical Systems</t>
        </is>
      </c>
      <c r="D874" s="18" t="inlineStr">
        <is>
          <t>2.2 COMMON OPEARATIONAL PICTURE (COP)</t>
        </is>
      </c>
      <c r="E874" s="18" t="inlineStr">
        <is>
          <t>—</t>
        </is>
      </c>
      <c r="F874" s="18" t="inlineStr">
        <is>
          <t>User shall be able to zoom into any single data point by selecting the cluster and a pop-up list shall be displayed. In addition, the user shall be able to zoom to the extent of the entire cluster for faster navigation. When zoomed out, icons are clustered. The size and color of the cluster become more emphasized as the number of data points included in the cluster increase.</t>
        </is>
      </c>
      <c r="G874" s="19" t="n"/>
      <c r="H874" s="20" t="n"/>
      <c r="I874" s="20" t="n"/>
      <c r="J874" s="19" t="n"/>
      <c r="K874" s="21" t="n"/>
      <c r="L874" s="22">
        <f>IF(OR(J874="",K874=""),"",J874*K874)</f>
        <v/>
      </c>
      <c r="M874" s="19" t="n"/>
      <c r="N874" s="20" t="n"/>
      <c r="O874" s="20" t="n"/>
    </row>
    <row r="875">
      <c r="A875" s="23" t="n">
        <v>872</v>
      </c>
      <c r="B875" s="23" t="inlineStr">
        <is>
          <t>2.2.1.9.28</t>
        </is>
      </c>
      <c r="C875" s="25" t="inlineStr">
        <is>
          <t>Part 2 – Technical Systems</t>
        </is>
      </c>
      <c r="D875" s="25" t="inlineStr">
        <is>
          <t>2.2 COMMON OPEARATIONAL PICTURE (COP)</t>
        </is>
      </c>
      <c r="E875" s="25" t="inlineStr">
        <is>
          <t>—</t>
        </is>
      </c>
      <c r="F875" s="25" t="inlineStr">
        <is>
          <t>Provide a cluster icon for multiple resources at one site. Each icon must uniquely represent the presence at the site of multiple resources, and, by mouse click, cause a window to pop up which will display data about all resources represented by the icon.</t>
        </is>
      </c>
      <c r="G875" s="19" t="n"/>
      <c r="H875" s="20" t="n"/>
      <c r="I875" s="20" t="n"/>
      <c r="J875" s="19" t="n"/>
      <c r="K875" s="21" t="n"/>
      <c r="L875" s="22">
        <f>IF(OR(J875="",K875=""),"",J875*K875)</f>
        <v/>
      </c>
      <c r="M875" s="19" t="n"/>
      <c r="N875" s="20" t="n"/>
      <c r="O875" s="20" t="n"/>
    </row>
    <row r="876">
      <c r="A876" s="16" t="n">
        <v>873</v>
      </c>
      <c r="B876" s="16" t="inlineStr">
        <is>
          <t>2.2.1.9.29</t>
        </is>
      </c>
      <c r="C876" s="18" t="inlineStr">
        <is>
          <t>Part 2 – Technical Systems</t>
        </is>
      </c>
      <c r="D876" s="18" t="inlineStr">
        <is>
          <t>2.2 COMMON OPEARATIONAL PICTURE (COP)</t>
        </is>
      </c>
      <c r="E876" s="18" t="inlineStr">
        <is>
          <t>—</t>
        </is>
      </c>
      <c r="F876" s="18" t="inlineStr">
        <is>
          <t>Provide a "cluster" icon for multiple incidents at one site. Ideally, different icons will represent multiple events at one site, and, by mouse click, cause a window to pop up which will display data about each incident represented by the icon.</t>
        </is>
      </c>
      <c r="G876" s="19" t="n"/>
      <c r="H876" s="20" t="n"/>
      <c r="I876" s="20" t="n"/>
      <c r="J876" s="19" t="n"/>
      <c r="K876" s="21" t="n"/>
      <c r="L876" s="22">
        <f>IF(OR(J876="",K876=""),"",J876*K876)</f>
        <v/>
      </c>
      <c r="M876" s="19" t="n"/>
      <c r="N876" s="20" t="n"/>
      <c r="O876" s="20" t="n"/>
    </row>
    <row r="877">
      <c r="A877" s="23" t="n">
        <v>874</v>
      </c>
      <c r="B877" s="23" t="inlineStr">
        <is>
          <t>2.2.1.9.30</t>
        </is>
      </c>
      <c r="C877" s="25" t="inlineStr">
        <is>
          <t>Part 2 – Technical Systems</t>
        </is>
      </c>
      <c r="D877" s="25" t="inlineStr">
        <is>
          <t>2.2 COMMON OPEARATIONAL PICTURE (COP)</t>
        </is>
      </c>
      <c r="E877" s="25" t="inlineStr">
        <is>
          <t>—</t>
        </is>
      </c>
      <c r="F877" s="25" t="inlineStr">
        <is>
          <t>All structural icons shall display the facility name and resources either within, immediately above, or immediately below the icon. The icon shall also indicate the existence of particular hazards or other information a user should be aware of.</t>
        </is>
      </c>
      <c r="G877" s="19" t="n"/>
      <c r="H877" s="20" t="n"/>
      <c r="I877" s="20" t="n"/>
      <c r="J877" s="19" t="n"/>
      <c r="K877" s="21" t="n"/>
      <c r="L877" s="22">
        <f>IF(OR(J877="",K877=""),"",J877*K877)</f>
        <v/>
      </c>
      <c r="M877" s="19" t="n"/>
      <c r="N877" s="20" t="n"/>
      <c r="O877" s="20" t="n"/>
    </row>
    <row r="878">
      <c r="A878" s="16" t="n">
        <v>875</v>
      </c>
      <c r="B878" s="16" t="inlineStr">
        <is>
          <t>2.2.1.9.31</t>
        </is>
      </c>
      <c r="C878" s="18" t="inlineStr">
        <is>
          <t>Part 2 – Technical Systems</t>
        </is>
      </c>
      <c r="D878" s="18" t="inlineStr">
        <is>
          <t>2.2 COMMON OPEARATIONAL PICTURE (COP)</t>
        </is>
      </c>
      <c r="E878" s="18" t="inlineStr">
        <is>
          <t>—</t>
        </is>
      </c>
      <c r="F878" s="18" t="inlineStr">
        <is>
          <t>Provide a user-friendly control to help the users change Basemaps, imagery and manage the visibility (Switches On/Off), change opacity of the different spatial layers and imageries re- order layers, exclude layers/base-maps from displaying, with the detailed Legend of the different layers identifying the meaning for the colors or symbols used.</t>
        </is>
      </c>
      <c r="G878" s="19" t="n"/>
      <c r="H878" s="20" t="n"/>
      <c r="I878" s="20" t="n"/>
      <c r="J878" s="19" t="n"/>
      <c r="K878" s="21" t="n"/>
      <c r="L878" s="22">
        <f>IF(OR(J878="",K878=""),"",J878*K878)</f>
        <v/>
      </c>
      <c r="M878" s="19" t="n"/>
      <c r="N878" s="20" t="n"/>
      <c r="O878" s="20" t="n"/>
    </row>
    <row r="879">
      <c r="A879" s="23" t="n">
        <v>876</v>
      </c>
      <c r="B879" s="23" t="inlineStr">
        <is>
          <t>2.2.1.9.32</t>
        </is>
      </c>
      <c r="C879" s="25" t="inlineStr">
        <is>
          <t>Part 2 – Technical Systems</t>
        </is>
      </c>
      <c r="D879" s="25" t="inlineStr">
        <is>
          <t>2.2 COMMON OPEARATIONAL PICTURE (COP)</t>
        </is>
      </c>
      <c r="E879" s="25" t="inlineStr">
        <is>
          <t>—</t>
        </is>
      </c>
      <c r="F879" s="25" t="inlineStr">
        <is>
          <t>Provide an Identify/Info tool that allows the users to select any objects or features interactively from the map to get the list of their attributes data. An Info pop-up window shall open and display the record information. The set of features/ layers /attributes that are identifiable shall be able to be defined and configured based on the integration with the provided GIS, maps, map data and imagery.</t>
        </is>
      </c>
      <c r="G879" s="19" t="n"/>
      <c r="H879" s="20" t="n"/>
      <c r="I879" s="20" t="n"/>
      <c r="J879" s="19" t="n"/>
      <c r="K879" s="21" t="n"/>
      <c r="L879" s="22">
        <f>IF(OR(J879="",K879=""),"",J879*K879)</f>
        <v/>
      </c>
      <c r="M879" s="19" t="n"/>
      <c r="N879" s="20" t="n"/>
      <c r="O879" s="20" t="n"/>
    </row>
    <row r="880">
      <c r="A880" s="16" t="n">
        <v>877</v>
      </c>
      <c r="B880" s="16" t="inlineStr">
        <is>
          <t>2.2.1.9.33</t>
        </is>
      </c>
      <c r="C880" s="18" t="inlineStr">
        <is>
          <t>Part 2 – Technical Systems</t>
        </is>
      </c>
      <c r="D880" s="18" t="inlineStr">
        <is>
          <t>2.2 COMMON OPEARATIONAL PICTURE (COP)</t>
        </is>
      </c>
      <c r="E880" s="18" t="inlineStr">
        <is>
          <t>—</t>
        </is>
      </c>
      <c r="F880" s="18" t="inlineStr">
        <is>
          <t>Provide a capability to find a location by specifying the Longitude, Latitude or go to XY, the user shall be able to choose the units in which to enter the coordinates (Decimal Degrees, Degree Minute Seconds, etc.).</t>
        </is>
      </c>
      <c r="G880" s="19" t="n"/>
      <c r="H880" s="20" t="n"/>
      <c r="I880" s="20" t="n"/>
      <c r="J880" s="19" t="n"/>
      <c r="K880" s="21" t="n"/>
      <c r="L880" s="22">
        <f>IF(OR(J880="",K880=""),"",J880*K880)</f>
        <v/>
      </c>
      <c r="M880" s="19" t="n"/>
      <c r="N880" s="20" t="n"/>
      <c r="O880" s="20" t="n"/>
    </row>
    <row r="881">
      <c r="A881" s="23" t="n">
        <v>878</v>
      </c>
      <c r="B881" s="23" t="inlineStr">
        <is>
          <t>2.2.1.9.34</t>
        </is>
      </c>
      <c r="C881" s="25" t="inlineStr">
        <is>
          <t>Part 2 – Technical Systems</t>
        </is>
      </c>
      <c r="D881" s="25" t="inlineStr">
        <is>
          <t>2.2 COMMON OPEARATIONAL PICTURE (COP)</t>
        </is>
      </c>
      <c r="E881" s="25" t="inlineStr">
        <is>
          <t>—</t>
        </is>
      </c>
      <c r="F881" s="25" t="inlineStr">
        <is>
          <t>Capability of enabling the Geo-location, which makes the map zoom to the current location, draw a circle to show the accuracy and track any movement or change in the position.</t>
        </is>
      </c>
      <c r="G881" s="19" t="n"/>
      <c r="H881" s="20" t="n"/>
      <c r="I881" s="20" t="n"/>
      <c r="J881" s="19" t="n"/>
      <c r="K881" s="21" t="n"/>
      <c r="L881" s="22">
        <f>IF(OR(J881="",K881=""),"",J881*K881)</f>
        <v/>
      </c>
      <c r="M881" s="19" t="n"/>
      <c r="N881" s="20" t="n"/>
      <c r="O881" s="20" t="n"/>
    </row>
    <row r="882">
      <c r="A882" s="16" t="n">
        <v>879</v>
      </c>
      <c r="B882" s="16" t="inlineStr">
        <is>
          <t>2.2.1.9.35</t>
        </is>
      </c>
      <c r="C882" s="18" t="inlineStr">
        <is>
          <t>Part 2 – Technical Systems</t>
        </is>
      </c>
      <c r="D882" s="18" t="inlineStr">
        <is>
          <t>2.2 COMMON OPEARATIONAL PICTURE (COP)</t>
        </is>
      </c>
      <c r="E882" s="18" t="inlineStr">
        <is>
          <t>—</t>
        </is>
      </c>
      <c r="F882" s="18" t="inlineStr">
        <is>
          <t>Provide a Geo-bookmarks tool that allows the users to create a place holder on a map that can be quickly accessed later.</t>
        </is>
      </c>
      <c r="G882" s="19" t="n"/>
      <c r="H882" s="20" t="n"/>
      <c r="I882" s="20" t="n"/>
      <c r="J882" s="19" t="n"/>
      <c r="K882" s="21" t="n"/>
      <c r="L882" s="22">
        <f>IF(OR(J882="",K882=""),"",J882*K882)</f>
        <v/>
      </c>
      <c r="M882" s="19" t="n"/>
      <c r="N882" s="20" t="n"/>
      <c r="O882" s="20" t="n"/>
    </row>
    <row r="883">
      <c r="A883" s="23" t="n">
        <v>880</v>
      </c>
      <c r="B883" s="23" t="inlineStr">
        <is>
          <t>2.2.1.9.36</t>
        </is>
      </c>
      <c r="C883" s="25" t="inlineStr">
        <is>
          <t>Part 2 – Technical Systems</t>
        </is>
      </c>
      <c r="D883" s="25" t="inlineStr">
        <is>
          <t>2.2 COMMON OPEARATIONAL PICTURE (COP)</t>
        </is>
      </c>
      <c r="E883" s="25" t="inlineStr">
        <is>
          <t>—</t>
        </is>
      </c>
      <c r="F883" s="25" t="inlineStr">
        <is>
          <t>The Geo-bookmark tool shall allow a user to create bookmarks for providing shortcuts to interesting places on a map, share drawings, text, or other pertinent annotations associated with a specific view.</t>
        </is>
      </c>
      <c r="G883" s="19" t="n"/>
      <c r="H883" s="20" t="n"/>
      <c r="I883" s="20" t="n"/>
      <c r="J883" s="19" t="n"/>
      <c r="K883" s="21" t="n"/>
      <c r="L883" s="22">
        <f>IF(OR(J883="",K883=""),"",J883*K883)</f>
        <v/>
      </c>
      <c r="M883" s="19" t="n"/>
      <c r="N883" s="20" t="n"/>
      <c r="O883" s="20" t="n"/>
    </row>
    <row r="884">
      <c r="A884" s="16" t="n">
        <v>881</v>
      </c>
      <c r="B884" s="16" t="inlineStr">
        <is>
          <t>2.2.1.9.37</t>
        </is>
      </c>
      <c r="C884" s="18" t="inlineStr">
        <is>
          <t>Part 2 – Technical Systems</t>
        </is>
      </c>
      <c r="D884" s="18" t="inlineStr">
        <is>
          <t>2.2 COMMON OPEARATIONAL PICTURE (COP)</t>
        </is>
      </c>
      <c r="E884" s="18" t="inlineStr">
        <is>
          <t>—</t>
        </is>
      </c>
      <c r="F884" s="18" t="inlineStr">
        <is>
          <t>Provide the capability that when the user selects a bookmark; the map zooms to that location.</t>
        </is>
      </c>
      <c r="G884" s="19" t="n"/>
      <c r="H884" s="20" t="n"/>
      <c r="I884" s="20" t="n"/>
      <c r="J884" s="19" t="n"/>
      <c r="K884" s="21" t="n"/>
      <c r="L884" s="22">
        <f>IF(OR(J884="",K884=""),"",J884*K884)</f>
        <v/>
      </c>
      <c r="M884" s="19" t="n"/>
      <c r="N884" s="20" t="n"/>
      <c r="O884" s="20" t="n"/>
    </row>
    <row r="885">
      <c r="A885" s="23" t="n">
        <v>882</v>
      </c>
      <c r="B885" s="23" t="inlineStr">
        <is>
          <t>2.2.1.9.38</t>
        </is>
      </c>
      <c r="C885" s="25" t="inlineStr">
        <is>
          <t>Part 2 – Technical Systems</t>
        </is>
      </c>
      <c r="D885" s="25" t="inlineStr">
        <is>
          <t>2.2 COMMON OPEARATIONAL PICTURE (COP)</t>
        </is>
      </c>
      <c r="E885" s="25" t="inlineStr">
        <is>
          <t>—</t>
        </is>
      </c>
      <c r="F885" s="25" t="inlineStr">
        <is>
          <t>The authorized users shall be able to manage, remove, or share the bookmarks with other users.</t>
        </is>
      </c>
      <c r="G885" s="19" t="n"/>
      <c r="H885" s="20" t="n"/>
      <c r="I885" s="20" t="n"/>
      <c r="J885" s="19" t="n"/>
      <c r="K885" s="21" t="n"/>
      <c r="L885" s="22">
        <f>IF(OR(J885="",K885=""),"",J885*K885)</f>
        <v/>
      </c>
      <c r="M885" s="19" t="n"/>
      <c r="N885" s="20" t="n"/>
      <c r="O885" s="20" t="n"/>
    </row>
    <row r="886">
      <c r="A886" s="16" t="n">
        <v>883</v>
      </c>
      <c r="B886" s="16" t="inlineStr">
        <is>
          <t>2.2.1.9.39</t>
        </is>
      </c>
      <c r="C886" s="18" t="inlineStr">
        <is>
          <t>Part 2 – Technical Systems</t>
        </is>
      </c>
      <c r="D886" s="18" t="inlineStr">
        <is>
          <t>2.2 COMMON OPEARATIONAL PICTURE (COP)</t>
        </is>
      </c>
      <c r="E886" s="18" t="inlineStr">
        <is>
          <t>—</t>
        </is>
      </c>
      <c r="F886" s="18" t="inlineStr">
        <is>
          <t>Provide a capability for panning and zooming around the map display. Users shall always be able to zoom and pan to a specific location at a specified zoom scale or to interactively indicate a rectangular area that shall occupy the entire map.</t>
        </is>
      </c>
      <c r="G886" s="19" t="n"/>
      <c r="H886" s="20" t="n"/>
      <c r="I886" s="20" t="n"/>
      <c r="J886" s="19" t="n"/>
      <c r="K886" s="21" t="n"/>
      <c r="L886" s="22">
        <f>IF(OR(J886="",K886=""),"",J886*K886)</f>
        <v/>
      </c>
      <c r="M886" s="19" t="n"/>
      <c r="N886" s="20" t="n"/>
      <c r="O886" s="20" t="n"/>
    </row>
    <row r="887">
      <c r="A887" s="23" t="n">
        <v>884</v>
      </c>
      <c r="B887" s="23" t="inlineStr">
        <is>
          <t>2.2.1.9.40</t>
        </is>
      </c>
      <c r="C887" s="25" t="inlineStr">
        <is>
          <t>Part 2 – Technical Systems</t>
        </is>
      </c>
      <c r="D887" s="25" t="inlineStr">
        <is>
          <t>2.2 COMMON OPEARATIONAL PICTURE (COP)</t>
        </is>
      </c>
      <c r="E887" s="25" t="inlineStr">
        <is>
          <t>—</t>
        </is>
      </c>
      <c r="F887" s="25" t="inlineStr">
        <is>
          <t>Provide a capability to zoom and pan around the jurisdiction by the use of mouse drag on slide bar or mouse click on appropriate directional icons.</t>
        </is>
      </c>
      <c r="G887" s="19" t="n"/>
      <c r="H887" s="20" t="n"/>
      <c r="I887" s="20" t="n"/>
      <c r="J887" s="19" t="n"/>
      <c r="K887" s="21" t="n"/>
      <c r="L887" s="22">
        <f>IF(OR(J887="",K887=""),"",J887*K887)</f>
        <v/>
      </c>
      <c r="M887" s="19" t="n"/>
      <c r="N887" s="20" t="n"/>
      <c r="O887" s="20" t="n"/>
    </row>
    <row r="888">
      <c r="A888" s="16" t="n">
        <v>885</v>
      </c>
      <c r="B888" s="16" t="inlineStr">
        <is>
          <t>2.2.1.9.41</t>
        </is>
      </c>
      <c r="C888" s="18" t="inlineStr">
        <is>
          <t>Part 2 – Technical Systems</t>
        </is>
      </c>
      <c r="D888" s="18" t="inlineStr">
        <is>
          <t>2.2 COMMON OPEARATIONAL PICTURE (COP)</t>
        </is>
      </c>
      <c r="E888" s="18" t="inlineStr">
        <is>
          <t>—</t>
        </is>
      </c>
      <c r="F888" s="18" t="inlineStr">
        <is>
          <t>Provide a default set of zoom scales with defined layers to be displayed in each scale.</t>
        </is>
      </c>
      <c r="G888" s="19" t="n"/>
      <c r="H888" s="20" t="n"/>
      <c r="I888" s="20" t="n"/>
      <c r="J888" s="19" t="n"/>
      <c r="K888" s="21" t="n"/>
      <c r="L888" s="22">
        <f>IF(OR(J888="",K888=""),"",J888*K888)</f>
        <v/>
      </c>
      <c r="M888" s="19" t="n"/>
      <c r="N888" s="20" t="n"/>
      <c r="O888" s="20" t="n"/>
    </row>
    <row r="889">
      <c r="A889" s="23" t="n">
        <v>886</v>
      </c>
      <c r="B889" s="23" t="inlineStr">
        <is>
          <t>2.2.1.9.42</t>
        </is>
      </c>
      <c r="C889" s="25" t="inlineStr">
        <is>
          <t>Part 2 – Technical Systems</t>
        </is>
      </c>
      <c r="D889" s="25" t="inlineStr">
        <is>
          <t>2.2 COMMON OPEARATIONAL PICTURE (COP)</t>
        </is>
      </c>
      <c r="E889" s="25" t="inlineStr">
        <is>
          <t>—</t>
        </is>
      </c>
      <c r="F889" s="25" t="inlineStr">
        <is>
          <t>Provide a capability to authorized users to be able to modify the default geographic layers that are displayed at each zoom scale for each user.</t>
        </is>
      </c>
      <c r="G889" s="19" t="n"/>
      <c r="H889" s="20" t="n"/>
      <c r="I889" s="20" t="n"/>
      <c r="J889" s="19" t="n"/>
      <c r="K889" s="21" t="n"/>
      <c r="L889" s="22">
        <f>IF(OR(J889="",K889=""),"",J889*K889)</f>
        <v/>
      </c>
      <c r="M889" s="19" t="n"/>
      <c r="N889" s="20" t="n"/>
      <c r="O889" s="20" t="n"/>
    </row>
    <row r="890">
      <c r="A890" s="16" t="n">
        <v>887</v>
      </c>
      <c r="B890" s="16" t="inlineStr">
        <is>
          <t>2.2.1.9.43</t>
        </is>
      </c>
      <c r="C890" s="18" t="inlineStr">
        <is>
          <t>Part 2 – Technical Systems</t>
        </is>
      </c>
      <c r="D890" s="18" t="inlineStr">
        <is>
          <t>2.2 COMMON OPEARATIONAL PICTURE (COP)</t>
        </is>
      </c>
      <c r="E890" s="18" t="inlineStr">
        <is>
          <t>—</t>
        </is>
      </c>
      <c r="F890" s="18" t="inlineStr">
        <is>
          <t>Enables the authorized users to manage different map layers to better control how various information and external data is being consumed and displayed.</t>
        </is>
      </c>
      <c r="G890" s="19" t="n"/>
      <c r="H890" s="20" t="n"/>
      <c r="I890" s="20" t="n"/>
      <c r="J890" s="19" t="n"/>
      <c r="K890" s="21" t="n"/>
      <c r="L890" s="22">
        <f>IF(OR(J890="",K890=""),"",J890*K890)</f>
        <v/>
      </c>
      <c r="M890" s="19" t="n"/>
      <c r="N890" s="20" t="n"/>
      <c r="O890" s="20" t="n"/>
    </row>
    <row r="891">
      <c r="A891" s="23" t="n">
        <v>888</v>
      </c>
      <c r="B891" s="23" t="inlineStr">
        <is>
          <t>2.2.1.9.44</t>
        </is>
      </c>
      <c r="C891" s="25" t="inlineStr">
        <is>
          <t>Part 2 – Technical Systems</t>
        </is>
      </c>
      <c r="D891" s="25" t="inlineStr">
        <is>
          <t>2.2 COMMON OPEARATIONAL PICTURE (COP)</t>
        </is>
      </c>
      <c r="E891" s="25" t="inlineStr">
        <is>
          <t>—</t>
        </is>
      </c>
      <c r="F891" s="25" t="inlineStr">
        <is>
          <t>Provide a measurement tool for distance and area that lets the users to measure linear distance and areas on the map.</t>
        </is>
      </c>
      <c r="G891" s="19" t="n"/>
      <c r="H891" s="20" t="n"/>
      <c r="I891" s="20" t="n"/>
      <c r="J891" s="19" t="n"/>
      <c r="K891" s="21" t="n"/>
      <c r="L891" s="22">
        <f>IF(OR(J891="",K891=""),"",J891*K891)</f>
        <v/>
      </c>
      <c r="M891" s="19" t="n"/>
      <c r="N891" s="20" t="n"/>
      <c r="O891" s="20" t="n"/>
    </row>
    <row r="892">
      <c r="A892" s="16" t="n">
        <v>889</v>
      </c>
      <c r="B892" s="16" t="inlineStr">
        <is>
          <t>2.2.1.9.45</t>
        </is>
      </c>
      <c r="C892" s="18" t="inlineStr">
        <is>
          <t>Part 2 – Technical Systems</t>
        </is>
      </c>
      <c r="D892" s="18" t="inlineStr">
        <is>
          <t>2.2 COMMON OPEARATIONAL PICTURE (COP)</t>
        </is>
      </c>
      <c r="E892" s="18" t="inlineStr">
        <is>
          <t>—</t>
        </is>
      </c>
      <c r="F892" s="18" t="inlineStr">
        <is>
          <t>Allow the measurement tool to be used for drawing a line or polygon on the map and generating its length or area.</t>
        </is>
      </c>
      <c r="G892" s="19" t="n"/>
      <c r="H892" s="20" t="n"/>
      <c r="I892" s="20" t="n"/>
      <c r="J892" s="19" t="n"/>
      <c r="K892" s="21" t="n"/>
      <c r="L892" s="22">
        <f>IF(OR(J892="",K892=""),"",J892*K892)</f>
        <v/>
      </c>
      <c r="M892" s="19" t="n"/>
      <c r="N892" s="20" t="n"/>
      <c r="O892" s="20" t="n"/>
    </row>
    <row r="893">
      <c r="A893" s="23" t="n">
        <v>890</v>
      </c>
      <c r="B893" s="23" t="inlineStr">
        <is>
          <t>2.2.1.9.46</t>
        </is>
      </c>
      <c r="C893" s="25" t="inlineStr">
        <is>
          <t>Part 2 – Technical Systems</t>
        </is>
      </c>
      <c r="D893" s="25" t="inlineStr">
        <is>
          <t>2.2 COMMON OPEARATIONAL PICTURE (COP)</t>
        </is>
      </c>
      <c r="E893" s="25" t="inlineStr">
        <is>
          <t>—</t>
        </is>
      </c>
      <c r="F893" s="25" t="inlineStr">
        <is>
          <t>Allow a user to click directly on a feature and get measurement information.</t>
        </is>
      </c>
      <c r="G893" s="19" t="n"/>
      <c r="H893" s="20" t="n"/>
      <c r="I893" s="20" t="n"/>
      <c r="J893" s="19" t="n"/>
      <c r="K893" s="21" t="n"/>
      <c r="L893" s="22">
        <f>IF(OR(J893="",K893=""),"",J893*K893)</f>
        <v/>
      </c>
      <c r="M893" s="19" t="n"/>
      <c r="N893" s="20" t="n"/>
      <c r="O893" s="20" t="n"/>
    </row>
    <row r="894">
      <c r="A894" s="16" t="n">
        <v>891</v>
      </c>
      <c r="B894" s="16" t="inlineStr">
        <is>
          <t>2.2.1.9.47</t>
        </is>
      </c>
      <c r="C894" s="18" t="inlineStr">
        <is>
          <t>Part 2 – Technical Systems</t>
        </is>
      </c>
      <c r="D894" s="18" t="inlineStr">
        <is>
          <t>2.2 COMMON OPEARATIONAL PICTURE (COP)</t>
        </is>
      </c>
      <c r="E894" s="18" t="inlineStr">
        <is>
          <t>—</t>
        </is>
      </c>
      <c r="F894" s="18" t="inlineStr">
        <is>
          <t>Provide the navigation tool that provides the controls that allow the users to navigate, pan, zoom-in, zoom-out, go to last extent (back), go to next extent (Forward), full extent, magnification bar, map scale bar.</t>
        </is>
      </c>
      <c r="G894" s="19" t="n"/>
      <c r="H894" s="20" t="n"/>
      <c r="I894" s="20" t="n"/>
      <c r="J894" s="19" t="n"/>
      <c r="K894" s="21" t="n"/>
      <c r="L894" s="22">
        <f>IF(OR(J894="",K894=""),"",J894*K894)</f>
        <v/>
      </c>
      <c r="M894" s="19" t="n"/>
      <c r="N894" s="20" t="n"/>
      <c r="O894" s="20" t="n"/>
    </row>
    <row r="895">
      <c r="A895" s="23" t="n">
        <v>892</v>
      </c>
      <c r="B895" s="23" t="inlineStr">
        <is>
          <t>2.2.1.9.48</t>
        </is>
      </c>
      <c r="C895" s="25" t="inlineStr">
        <is>
          <t>Part 2 – Technical Systems</t>
        </is>
      </c>
      <c r="D895" s="25" t="inlineStr">
        <is>
          <t>2.2 COMMON OPEARATIONAL PICTURE (COP)</t>
        </is>
      </c>
      <c r="E895" s="25" t="inlineStr">
        <is>
          <t>—</t>
        </is>
      </c>
      <c r="F895" s="25" t="inlineStr">
        <is>
          <t>The user also shall be able to zoom in or out using the scroller button in the mouse, if such a button is available.</t>
        </is>
      </c>
      <c r="G895" s="19" t="n"/>
      <c r="H895" s="20" t="n"/>
      <c r="I895" s="20" t="n"/>
      <c r="J895" s="19" t="n"/>
      <c r="K895" s="21" t="n"/>
      <c r="L895" s="22">
        <f>IF(OR(J895="",K895=""),"",J895*K895)</f>
        <v/>
      </c>
      <c r="M895" s="19" t="n"/>
      <c r="N895" s="20" t="n"/>
      <c r="O895" s="20" t="n"/>
    </row>
    <row r="896">
      <c r="A896" s="16" t="n">
        <v>893</v>
      </c>
      <c r="B896" s="16" t="inlineStr">
        <is>
          <t>2.2.1.9.49</t>
        </is>
      </c>
      <c r="C896" s="18" t="inlineStr">
        <is>
          <t>Part 2 – Technical Systems</t>
        </is>
      </c>
      <c r="D896" s="18" t="inlineStr">
        <is>
          <t>2.2 COMMON OPEARATIONAL PICTURE (COP)</t>
        </is>
      </c>
      <c r="E896" s="18" t="inlineStr">
        <is>
          <t>—</t>
        </is>
      </c>
      <c r="F896" s="18" t="inlineStr">
        <is>
          <t>Provide a Print tool to allow authorized users to print the area of the map that is currently visible in the browser window.</t>
        </is>
      </c>
      <c r="G896" s="19" t="n"/>
      <c r="H896" s="20" t="n"/>
      <c r="I896" s="20" t="n"/>
      <c r="J896" s="19" t="n"/>
      <c r="K896" s="21" t="n"/>
      <c r="L896" s="22">
        <f>IF(OR(J896="",K896=""),"",J896*K896)</f>
        <v/>
      </c>
      <c r="M896" s="19" t="n"/>
      <c r="N896" s="20" t="n"/>
      <c r="O896" s="20" t="n"/>
    </row>
    <row r="897">
      <c r="A897" s="23" t="n">
        <v>894</v>
      </c>
      <c r="B897" s="23" t="inlineStr">
        <is>
          <t>2.2.1.9.50</t>
        </is>
      </c>
      <c r="C897" s="25" t="inlineStr">
        <is>
          <t>Part 2 – Technical Systems</t>
        </is>
      </c>
      <c r="D897" s="25" t="inlineStr">
        <is>
          <t>2.2 COMMON OPEARATIONAL PICTURE (COP)</t>
        </is>
      </c>
      <c r="E897" s="25" t="inlineStr">
        <is>
          <t>—</t>
        </is>
      </c>
      <c r="F897" s="25" t="inlineStr">
        <is>
          <t>The user shall be able to add a title, subtitle, or copyright and set the scale option for the map that he is being printing.</t>
        </is>
      </c>
      <c r="G897" s="19" t="n"/>
      <c r="H897" s="20" t="n"/>
      <c r="I897" s="20" t="n"/>
      <c r="J897" s="19" t="n"/>
      <c r="K897" s="21" t="n"/>
      <c r="L897" s="22">
        <f>IF(OR(J897="",K897=""),"",J897*K897)</f>
        <v/>
      </c>
      <c r="M897" s="19" t="n"/>
      <c r="N897" s="20" t="n"/>
      <c r="O897" s="20" t="n"/>
    </row>
    <row r="898">
      <c r="A898" s="16" t="n">
        <v>895</v>
      </c>
      <c r="B898" s="16" t="inlineStr">
        <is>
          <t>2.2.1.9.51</t>
        </is>
      </c>
      <c r="C898" s="18" t="inlineStr">
        <is>
          <t>Part 2 – Technical Systems</t>
        </is>
      </c>
      <c r="D898" s="18" t="inlineStr">
        <is>
          <t>2.2 COMMON OPEARATIONAL PICTURE (COP)</t>
        </is>
      </c>
      <c r="E898" s="18" t="inlineStr">
        <is>
          <t>—</t>
        </is>
      </c>
      <c r="F898" s="18" t="inlineStr">
        <is>
          <t>Provide feature highlighting as a tool for user interaction with the map.</t>
        </is>
      </c>
      <c r="G898" s="19" t="n"/>
      <c r="H898" s="20" t="n"/>
      <c r="I898" s="20" t="n"/>
      <c r="J898" s="19" t="n"/>
      <c r="K898" s="21" t="n"/>
      <c r="L898" s="22">
        <f>IF(OR(J898="",K898=""),"",J898*K898)</f>
        <v/>
      </c>
      <c r="M898" s="19" t="n"/>
      <c r="N898" s="20" t="n"/>
      <c r="O898" s="20" t="n"/>
    </row>
    <row r="899">
      <c r="A899" s="23" t="n">
        <v>896</v>
      </c>
      <c r="B899" s="23" t="inlineStr">
        <is>
          <t>2.2.1.9.52</t>
        </is>
      </c>
      <c r="C899" s="25" t="inlineStr">
        <is>
          <t>Part 2 – Technical Systems</t>
        </is>
      </c>
      <c r="D899" s="25" t="inlineStr">
        <is>
          <t>2.2 COMMON OPEARATIONAL PICTURE (COP)</t>
        </is>
      </c>
      <c r="E899" s="25" t="inlineStr">
        <is>
          <t>—</t>
        </is>
      </c>
      <c r="F899" s="25" t="inlineStr">
        <is>
          <t>Features shall be highlighted when the mouse cursor is placed above them.</t>
        </is>
      </c>
      <c r="G899" s="19" t="n"/>
      <c r="H899" s="20" t="n"/>
      <c r="I899" s="20" t="n"/>
      <c r="J899" s="19" t="n"/>
      <c r="K899" s="21" t="n"/>
      <c r="L899" s="22">
        <f>IF(OR(J899="",K899=""),"",J899*K899)</f>
        <v/>
      </c>
      <c r="M899" s="19" t="n"/>
      <c r="N899" s="20" t="n"/>
      <c r="O899" s="20" t="n"/>
    </row>
    <row r="900">
      <c r="A900" s="16" t="n">
        <v>897</v>
      </c>
      <c r="B900" s="16" t="inlineStr">
        <is>
          <t>2.2.1.9.53</t>
        </is>
      </c>
      <c r="C900" s="18" t="inlineStr">
        <is>
          <t>Part 2 – Technical Systems</t>
        </is>
      </c>
      <c r="D900" s="18" t="inlineStr">
        <is>
          <t>2.2 COMMON OPEARATIONAL PICTURE (COP)</t>
        </is>
      </c>
      <c r="E900" s="18" t="inlineStr">
        <is>
          <t>—</t>
        </is>
      </c>
      <c r="F900" s="18" t="inlineStr">
        <is>
          <t>The user shall be able to click on the highlight in order to open up the popup containing information about the feature.</t>
        </is>
      </c>
      <c r="G900" s="19" t="n"/>
      <c r="H900" s="20" t="n"/>
      <c r="I900" s="20" t="n"/>
      <c r="J900" s="19" t="n"/>
      <c r="K900" s="21" t="n"/>
      <c r="L900" s="22">
        <f>IF(OR(J900="",K900=""),"",J900*K900)</f>
        <v/>
      </c>
      <c r="M900" s="19" t="n"/>
      <c r="N900" s="20" t="n"/>
      <c r="O900" s="20" t="n"/>
    </row>
    <row r="901">
      <c r="A901" s="23" t="n">
        <v>898</v>
      </c>
      <c r="B901" s="23" t="inlineStr">
        <is>
          <t>2.2.1.9.54</t>
        </is>
      </c>
      <c r="C901" s="25" t="inlineStr">
        <is>
          <t>Part 2 – Technical Systems</t>
        </is>
      </c>
      <c r="D901" s="25" t="inlineStr">
        <is>
          <t>2.2 COMMON OPEARATIONAL PICTURE (COP)</t>
        </is>
      </c>
      <c r="E901" s="25" t="inlineStr">
        <is>
          <t>—</t>
        </is>
      </c>
      <c r="F901" s="25" t="inlineStr">
        <is>
          <t>Provide support for displaying the latitude and longitude with the mouse pointer on the map.</t>
        </is>
      </c>
      <c r="G901" s="19" t="n"/>
      <c r="H901" s="20" t="n"/>
      <c r="I901" s="20" t="n"/>
      <c r="J901" s="19" t="n"/>
      <c r="K901" s="21" t="n"/>
      <c r="L901" s="22">
        <f>IF(OR(J901="",K901=""),"",J901*K901)</f>
        <v/>
      </c>
      <c r="M901" s="19" t="n"/>
      <c r="N901" s="20" t="n"/>
      <c r="O901" s="20" t="n"/>
    </row>
    <row r="902">
      <c r="A902" s="16" t="n">
        <v>899</v>
      </c>
      <c r="B902" s="16" t="inlineStr">
        <is>
          <t>2.2.1.9.55</t>
        </is>
      </c>
      <c r="C902" s="18" t="inlineStr">
        <is>
          <t>Part 2 – Technical Systems</t>
        </is>
      </c>
      <c r="D902" s="18" t="inlineStr">
        <is>
          <t>2.2 COMMON OPEARATIONAL PICTURE (COP)</t>
        </is>
      </c>
      <c r="E902" s="18" t="inlineStr">
        <is>
          <t>—</t>
        </is>
      </c>
      <c r="F902" s="18" t="inlineStr">
        <is>
          <t>Provide a capability for the authorized users to consume and access any OGC complaint services including but not limited to GIS Web Map Services, Web Feature Service, Image services, etc. whether online or on premises using their REST endpoints (URLs.) and credentials.</t>
        </is>
      </c>
      <c r="G902" s="19" t="n"/>
      <c r="H902" s="20" t="n"/>
      <c r="I902" s="20" t="n"/>
      <c r="J902" s="19" t="n"/>
      <c r="K902" s="21" t="n"/>
      <c r="L902" s="22">
        <f>IF(OR(J902="",K902=""),"",J902*K902)</f>
        <v/>
      </c>
      <c r="M902" s="19" t="n"/>
      <c r="N902" s="20" t="n"/>
      <c r="O902" s="20" t="n"/>
    </row>
    <row r="903">
      <c r="A903" s="23" t="n">
        <v>900</v>
      </c>
      <c r="B903" s="23" t="inlineStr">
        <is>
          <t>2.2.1.9.56</t>
        </is>
      </c>
      <c r="C903" s="25" t="inlineStr">
        <is>
          <t>Part 2 – Technical Systems</t>
        </is>
      </c>
      <c r="D903" s="25" t="inlineStr">
        <is>
          <t>2.2 COMMON OPEARATIONAL PICTURE (COP)</t>
        </is>
      </c>
      <c r="E903" s="25" t="inlineStr">
        <is>
          <t>—</t>
        </is>
      </c>
      <c r="F903" s="25" t="inlineStr">
        <is>
          <t>Provide a capability for geo-referenced database that converts addresses into location information</t>
        </is>
      </c>
      <c r="G903" s="19" t="n"/>
      <c r="H903" s="20" t="n"/>
      <c r="I903" s="20" t="n"/>
      <c r="J903" s="19" t="n"/>
      <c r="K903" s="21" t="n"/>
      <c r="L903" s="22">
        <f>IF(OR(J903="",K903=""),"",J903*K903)</f>
        <v/>
      </c>
      <c r="M903" s="19" t="n"/>
      <c r="N903" s="20" t="n"/>
      <c r="O903" s="20" t="n"/>
    </row>
    <row r="904">
      <c r="A904" s="16" t="n">
        <v>901</v>
      </c>
      <c r="B904" s="16" t="inlineStr">
        <is>
          <t>2.2.1.9.57</t>
        </is>
      </c>
      <c r="C904" s="18" t="inlineStr">
        <is>
          <t>Part 2 – Technical Systems</t>
        </is>
      </c>
      <c r="D904" s="18" t="inlineStr">
        <is>
          <t>2.2 COMMON OPEARATIONAL PICTURE (COP)</t>
        </is>
      </c>
      <c r="E904" s="18" t="inlineStr">
        <is>
          <t>—</t>
        </is>
      </c>
      <c r="F904" s="18" t="inlineStr">
        <is>
          <t>Provide a capability of Geo-fencing: a. To be able to mark-up and / or draw pre-determined or dynamic virtual boundaries on maps, either as a radius around a given point or as a set of drawn up boundaries. b. To be able to generate visual and audio notification to authorized operators in case of a tracked resource movement in to and out of the defined boundary. c. To be able to generate a visual and audio notification to authorized operators in case of specific events/incident types or alarms happened in the defined boundary.</t>
        </is>
      </c>
      <c r="G904" s="19" t="n"/>
      <c r="H904" s="20" t="n"/>
      <c r="I904" s="20" t="n"/>
      <c r="J904" s="19" t="n"/>
      <c r="K904" s="21" t="n"/>
      <c r="L904" s="22">
        <f>IF(OR(J904="",K904=""),"",J904*K904)</f>
        <v/>
      </c>
      <c r="M904" s="19" t="n"/>
      <c r="N904" s="20" t="n"/>
      <c r="O904" s="20" t="n"/>
    </row>
    <row r="905">
      <c r="A905" s="23" t="n">
        <v>902</v>
      </c>
      <c r="B905" s="23" t="inlineStr">
        <is>
          <t>2.2.1.9.58</t>
        </is>
      </c>
      <c r="C905" s="25" t="inlineStr">
        <is>
          <t>Part 2 – Technical Systems</t>
        </is>
      </c>
      <c r="D905" s="25" t="inlineStr">
        <is>
          <t>2.2 COMMON OPEARATIONAL PICTURE (COP)</t>
        </is>
      </c>
      <c r="E905" s="25" t="inlineStr">
        <is>
          <t>—</t>
        </is>
      </c>
      <c r="F905" s="25" t="inlineStr">
        <is>
          <t>Provide a capability for generating automatic Geo- messages/Geo-alerts in multiple languages for mass notification in case of public emergencies and/or announcements.</t>
        </is>
      </c>
      <c r="G905" s="19" t="n"/>
      <c r="H905" s="20" t="n"/>
      <c r="I905" s="20" t="n"/>
      <c r="J905" s="19" t="n"/>
      <c r="K905" s="21" t="n"/>
      <c r="L905" s="22">
        <f>IF(OR(J905="",K905=""),"",J905*K905)</f>
        <v/>
      </c>
      <c r="M905" s="19" t="n"/>
      <c r="N905" s="20" t="n"/>
      <c r="O905" s="20" t="n"/>
    </row>
    <row r="906">
      <c r="A906" s="16" t="n">
        <v>903</v>
      </c>
      <c r="B906" s="16" t="inlineStr">
        <is>
          <t>2.2.1.9.59</t>
        </is>
      </c>
      <c r="C906" s="18" t="inlineStr">
        <is>
          <t>Part 2 – Technical Systems</t>
        </is>
      </c>
      <c r="D906" s="18" t="inlineStr">
        <is>
          <t>2.2 COMMON OPEARATIONAL PICTURE (COP)</t>
        </is>
      </c>
      <c r="E906" s="18" t="inlineStr">
        <is>
          <t>—</t>
        </is>
      </c>
      <c r="F906" s="18" t="inlineStr">
        <is>
          <t>Provide support for viewing, accessing, interacting with 2D, 3D, and panoramic maps.</t>
        </is>
      </c>
      <c r="G906" s="19" t="n"/>
      <c r="H906" s="20" t="n"/>
      <c r="I906" s="20" t="n"/>
      <c r="J906" s="19" t="n"/>
      <c r="K906" s="21" t="n"/>
      <c r="L906" s="22">
        <f>IF(OR(J906="",K906=""),"",J906*K906)</f>
        <v/>
      </c>
      <c r="M906" s="19" t="n"/>
      <c r="N906" s="20" t="n"/>
      <c r="O906" s="20" t="n"/>
    </row>
    <row r="907">
      <c r="A907" s="23" t="n">
        <v>904</v>
      </c>
      <c r="B907" s="23" t="inlineStr">
        <is>
          <t>2.2.1.9.60</t>
        </is>
      </c>
      <c r="C907" s="25" t="inlineStr">
        <is>
          <t>Part 2 – Technical Systems</t>
        </is>
      </c>
      <c r="D907" s="25" t="inlineStr">
        <is>
          <t>2.2 COMMON OPEARATIONAL PICTURE (COP)</t>
        </is>
      </c>
      <c r="E907" s="25" t="inlineStr">
        <is>
          <t>—</t>
        </is>
      </c>
      <c r="F907" s="25" t="inlineStr">
        <is>
          <t>Allow authorized users to perform structured and spatial queries of data interactively on the map and to analyze and report on incidents, crisis, assets, features, traffic, and resources.</t>
        </is>
      </c>
      <c r="G907" s="19" t="n"/>
      <c r="H907" s="20" t="n"/>
      <c r="I907" s="20" t="n"/>
      <c r="J907" s="19" t="n"/>
      <c r="K907" s="21" t="n"/>
      <c r="L907" s="22">
        <f>IF(OR(J907="",K907=""),"",J907*K907)</f>
        <v/>
      </c>
      <c r="M907" s="19" t="n"/>
      <c r="N907" s="20" t="n"/>
      <c r="O907" s="20" t="n"/>
    </row>
    <row r="908">
      <c r="A908" s="16" t="n">
        <v>905</v>
      </c>
      <c r="B908" s="16" t="inlineStr">
        <is>
          <t>2.2.1.9.61</t>
        </is>
      </c>
      <c r="C908" s="18" t="inlineStr">
        <is>
          <t>Part 2 – Technical Systems</t>
        </is>
      </c>
      <c r="D908" s="18" t="inlineStr">
        <is>
          <t>2.2 COMMON OPEARATIONAL PICTURE (COP)</t>
        </is>
      </c>
      <c r="E908" s="18" t="inlineStr">
        <is>
          <t>—</t>
        </is>
      </c>
      <c r="F908" s="18" t="inlineStr">
        <is>
          <t>Provide a selection tool that allows users to query the data layers in a dynamic map for an area of interest, and view the results either in a table format and/or see it graphically displayed in the map, the set of features/ layers / attributes that are selectable can be defined and configured.</t>
        </is>
      </c>
      <c r="G908" s="19" t="n"/>
      <c r="H908" s="20" t="n"/>
      <c r="I908" s="20" t="n"/>
      <c r="J908" s="19" t="n"/>
      <c r="K908" s="21" t="n"/>
      <c r="L908" s="22">
        <f>IF(OR(J908="",K908=""),"",J908*K908)</f>
        <v/>
      </c>
      <c r="M908" s="19" t="n"/>
      <c r="N908" s="20" t="n"/>
      <c r="O908" s="20" t="n"/>
    </row>
    <row r="909">
      <c r="A909" s="23" t="n">
        <v>906</v>
      </c>
      <c r="B909" s="23" t="inlineStr">
        <is>
          <t>2.2.1.9.62</t>
        </is>
      </c>
      <c r="C909" s="25" t="inlineStr">
        <is>
          <t>Part 2 – Technical Systems</t>
        </is>
      </c>
      <c r="D909" s="25" t="inlineStr">
        <is>
          <t>2.2 COMMON OPEARATIONAL PICTURE (COP)</t>
        </is>
      </c>
      <c r="E909" s="25" t="inlineStr">
        <is>
          <t>—</t>
        </is>
      </c>
      <c r="F909" s="25" t="inlineStr">
        <is>
          <t>The user can select which layer(s) to perform the query against.</t>
        </is>
      </c>
      <c r="G909" s="19" t="n"/>
      <c r="H909" s="20" t="n"/>
      <c r="I909" s="20" t="n"/>
      <c r="J909" s="19" t="n"/>
      <c r="K909" s="21" t="n"/>
      <c r="L909" s="22">
        <f>IF(OR(J909="",K909=""),"",J909*K909)</f>
        <v/>
      </c>
      <c r="M909" s="19" t="n"/>
      <c r="N909" s="20" t="n"/>
      <c r="O909" s="20" t="n"/>
    </row>
    <row r="910">
      <c r="A910" s="16" t="n">
        <v>907</v>
      </c>
      <c r="B910" s="16" t="inlineStr">
        <is>
          <t>2.2.1.9.63</t>
        </is>
      </c>
      <c r="C910" s="18" t="inlineStr">
        <is>
          <t>Part 2 – Technical Systems</t>
        </is>
      </c>
      <c r="D910" s="18" t="inlineStr">
        <is>
          <t>2.2 COMMON OPEARATIONAL PICTURE (COP)</t>
        </is>
      </c>
      <c r="E910" s="18" t="inlineStr">
        <is>
          <t>—</t>
        </is>
      </c>
      <c r="F910" s="18" t="inlineStr">
        <is>
          <t>The user can define the area of interest by drawing i.e., rectangle, point, line, or polygon, etc. on the map.</t>
        </is>
      </c>
      <c r="G910" s="19" t="n"/>
      <c r="H910" s="20" t="n"/>
      <c r="I910" s="20" t="n"/>
      <c r="J910" s="19" t="n"/>
      <c r="K910" s="21" t="n"/>
      <c r="L910" s="22">
        <f>IF(OR(J910="",K910=""),"",J910*K910)</f>
        <v/>
      </c>
      <c r="M910" s="19" t="n"/>
      <c r="N910" s="20" t="n"/>
      <c r="O910" s="20" t="n"/>
    </row>
    <row r="911">
      <c r="A911" s="23" t="n">
        <v>908</v>
      </c>
      <c r="B911" s="23" t="inlineStr">
        <is>
          <t>2.2.1.9.64</t>
        </is>
      </c>
      <c r="C911" s="25" t="inlineStr">
        <is>
          <t>Part 2 – Technical Systems</t>
        </is>
      </c>
      <c r="D911" s="25" t="inlineStr">
        <is>
          <t>2.2 COMMON OPEARATIONAL PICTURE (COP)</t>
        </is>
      </c>
      <c r="E911" s="25" t="inlineStr">
        <is>
          <t>—</t>
        </is>
      </c>
      <c r="F911" s="25" t="inlineStr">
        <is>
          <t>User can expand or define the area of interest displayed on the map by using the Buffer tool this will draw a radius around the area selected, the user can enter the distance and select the distance unit (Miles, Kilometers, Meters, Feet…etc.).</t>
        </is>
      </c>
      <c r="G911" s="19" t="n"/>
      <c r="H911" s="20" t="n"/>
      <c r="I911" s="20" t="n"/>
      <c r="J911" s="19" t="n"/>
      <c r="K911" s="21" t="n"/>
      <c r="L911" s="22">
        <f>IF(OR(J911="",K911=""),"",J911*K911)</f>
        <v/>
      </c>
      <c r="M911" s="19" t="n"/>
      <c r="N911" s="20" t="n"/>
      <c r="O911" s="20" t="n"/>
    </row>
    <row r="912">
      <c r="A912" s="16" t="n">
        <v>909</v>
      </c>
      <c r="B912" s="16" t="inlineStr">
        <is>
          <t>2.2.1.9.65</t>
        </is>
      </c>
      <c r="C912" s="18" t="inlineStr">
        <is>
          <t>Part 2 – Technical Systems</t>
        </is>
      </c>
      <c r="D912" s="18" t="inlineStr">
        <is>
          <t>2.2 COMMON OPEARATIONAL PICTURE (COP)</t>
        </is>
      </c>
      <c r="E912" s="18" t="inlineStr">
        <is>
          <t>—</t>
        </is>
      </c>
      <c r="F912" s="18" t="inlineStr">
        <is>
          <t>The selection results should be classified based on the features/Layers types; the user can view the attributes of the associated features; zoom to the selected feature(s); the selected feature(s) should be highlighted on the map.</t>
        </is>
      </c>
      <c r="G912" s="19" t="n"/>
      <c r="H912" s="20" t="n"/>
      <c r="I912" s="20" t="n"/>
      <c r="J912" s="19" t="n"/>
      <c r="K912" s="21" t="n"/>
      <c r="L912" s="22">
        <f>IF(OR(J912="",K912=""),"",J912*K912)</f>
        <v/>
      </c>
      <c r="M912" s="19" t="n"/>
      <c r="N912" s="20" t="n"/>
      <c r="O912" s="20" t="n"/>
    </row>
    <row r="913">
      <c r="A913" s="23" t="n">
        <v>910</v>
      </c>
      <c r="B913" s="23" t="inlineStr">
        <is>
          <t>2.2.1.9.66</t>
        </is>
      </c>
      <c r="C913" s="25" t="inlineStr">
        <is>
          <t>Part 2 – Technical Systems</t>
        </is>
      </c>
      <c r="D913" s="25" t="inlineStr">
        <is>
          <t>2.2 COMMON OPEARATIONAL PICTURE (COP)</t>
        </is>
      </c>
      <c r="E913" s="25" t="inlineStr">
        <is>
          <t>—</t>
        </is>
      </c>
      <c r="F913" s="25" t="inlineStr">
        <is>
          <t>The user can deactivate the selection tool and clear the query results</t>
        </is>
      </c>
      <c r="G913" s="19" t="n"/>
      <c r="H913" s="20" t="n"/>
      <c r="I913" s="20" t="n"/>
      <c r="J913" s="19" t="n"/>
      <c r="K913" s="21" t="n"/>
      <c r="L913" s="22">
        <f>IF(OR(J913="",K913=""),"",J913*K913)</f>
        <v/>
      </c>
      <c r="M913" s="19" t="n"/>
      <c r="N913" s="20" t="n"/>
      <c r="O913" s="20" t="n"/>
    </row>
    <row r="914">
      <c r="A914" s="16" t="n">
        <v>911</v>
      </c>
      <c r="B914" s="16" t="inlineStr">
        <is>
          <t>2.2.1.9.67</t>
        </is>
      </c>
      <c r="C914" s="18" t="inlineStr">
        <is>
          <t>Part 2 – Technical Systems</t>
        </is>
      </c>
      <c r="D914" s="18" t="inlineStr">
        <is>
          <t>2.2 COMMON OPEARATIONAL PICTURE (COP)</t>
        </is>
      </c>
      <c r="E914" s="18" t="inlineStr">
        <is>
          <t>—</t>
        </is>
      </c>
      <c r="F914" s="18" t="inlineStr">
        <is>
          <t>Provide the capability of point-to-point routing with directions and the ability to create road blocks interactively from the map for alternate routing as described in the below section.</t>
        </is>
      </c>
      <c r="G914" s="19" t="n"/>
      <c r="H914" s="20" t="n"/>
      <c r="I914" s="20" t="n"/>
      <c r="J914" s="19" t="n"/>
      <c r="K914" s="21" t="n"/>
      <c r="L914" s="22">
        <f>IF(OR(J914="",K914=""),"",J914*K914)</f>
        <v/>
      </c>
      <c r="M914" s="19" t="n"/>
      <c r="N914" s="20" t="n"/>
      <c r="O914" s="20" t="n"/>
    </row>
    <row r="915">
      <c r="A915" s="23" t="n">
        <v>912</v>
      </c>
      <c r="B915" s="23" t="inlineStr">
        <is>
          <t>2.2.1.9.68</t>
        </is>
      </c>
      <c r="C915" s="25" t="inlineStr">
        <is>
          <t>Part 2 – Technical Systems</t>
        </is>
      </c>
      <c r="D915" s="25" t="inlineStr">
        <is>
          <t>2.2 COMMON OPEARATIONAL PICTURE (COP)</t>
        </is>
      </c>
      <c r="E915" s="25" t="inlineStr">
        <is>
          <t>—</t>
        </is>
      </c>
      <c r="F915" s="25" t="inlineStr">
        <is>
          <t>The solution shall be capable for generating routing and travel instructions and transmitting them to users. This section describes some requirements for that component of the system. The BIDDER shall support the claim that its solution will fulfil these requirements.</t>
        </is>
      </c>
      <c r="G915" s="19" t="n"/>
      <c r="H915" s="20" t="n"/>
      <c r="I915" s="20" t="n"/>
      <c r="J915" s="19" t="n"/>
      <c r="K915" s="21" t="n"/>
      <c r="L915" s="22">
        <f>IF(OR(J915="",K915=""),"",J915*K915)</f>
        <v/>
      </c>
      <c r="M915" s="19" t="n"/>
      <c r="N915" s="20" t="n"/>
      <c r="O915" s="20" t="n"/>
    </row>
    <row r="916">
      <c r="A916" s="16" t="n">
        <v>913</v>
      </c>
      <c r="B916" s="16" t="inlineStr">
        <is>
          <t>2.2.1.9.69</t>
        </is>
      </c>
      <c r="C916" s="18" t="inlineStr">
        <is>
          <t>Part 2 – Technical Systems</t>
        </is>
      </c>
      <c r="D916" s="18" t="inlineStr">
        <is>
          <t>2.2 COMMON OPEARATIONAL PICTURE (COP)</t>
        </is>
      </c>
      <c r="E916" s="18" t="inlineStr">
        <is>
          <t>—</t>
        </is>
      </c>
      <c r="F916" s="18" t="inlineStr">
        <is>
          <t>If a user is accessing the routing system via web browser, then the routing system will be able describe routes to users via map, text, and voice.</t>
        </is>
      </c>
      <c r="G916" s="19" t="n"/>
      <c r="H916" s="20" t="n"/>
      <c r="I916" s="20" t="n"/>
      <c r="J916" s="19" t="n"/>
      <c r="K916" s="21" t="n"/>
      <c r="L916" s="22">
        <f>IF(OR(J916="",K916=""),"",J916*K916)</f>
        <v/>
      </c>
      <c r="M916" s="19" t="n"/>
      <c r="N916" s="20" t="n"/>
      <c r="O916" s="20" t="n"/>
    </row>
    <row r="917">
      <c r="A917" s="23" t="n">
        <v>914</v>
      </c>
      <c r="B917" s="23" t="inlineStr">
        <is>
          <t>2.2.1.9.70</t>
        </is>
      </c>
      <c r="C917" s="25" t="inlineStr">
        <is>
          <t>Part 2 – Technical Systems</t>
        </is>
      </c>
      <c r="D917" s="25" t="inlineStr">
        <is>
          <t>2.2 COMMON OPEARATIONAL PICTURE (COP)</t>
        </is>
      </c>
      <c r="E917" s="25" t="inlineStr">
        <is>
          <t>—</t>
        </is>
      </c>
      <c r="F917" s="25" t="inlineStr">
        <is>
          <t>If a user is accessing via mobile device application, then the routing system will be able to describe routes to users via map, text, and voice.</t>
        </is>
      </c>
      <c r="G917" s="19" t="n"/>
      <c r="H917" s="20" t="n"/>
      <c r="I917" s="20" t="n"/>
      <c r="J917" s="19" t="n"/>
      <c r="K917" s="21" t="n"/>
      <c r="L917" s="22">
        <f>IF(OR(J917="",K917=""),"",J917*K917)</f>
        <v/>
      </c>
      <c r="M917" s="19" t="n"/>
      <c r="N917" s="20" t="n"/>
      <c r="O917" s="20" t="n"/>
    </row>
    <row r="918">
      <c r="A918" s="16" t="n">
        <v>915</v>
      </c>
      <c r="B918" s="16" t="inlineStr">
        <is>
          <t>2.2.1.9.71</t>
        </is>
      </c>
      <c r="C918" s="18" t="inlineStr">
        <is>
          <t>Part 2 – Technical Systems</t>
        </is>
      </c>
      <c r="D918" s="18" t="inlineStr">
        <is>
          <t>2.2 COMMON OPEARATIONAL PICTURE (COP)</t>
        </is>
      </c>
      <c r="E918" s="18" t="inlineStr">
        <is>
          <t>—</t>
        </is>
      </c>
      <c r="F918" s="18" t="inlineStr">
        <is>
          <t>The user may select how the routing system will describe a route (i.e., via map and/or text and/or voice).</t>
        </is>
      </c>
      <c r="G918" s="19" t="n"/>
      <c r="H918" s="20" t="n"/>
      <c r="I918" s="20" t="n"/>
      <c r="J918" s="19" t="n"/>
      <c r="K918" s="21" t="n"/>
      <c r="L918" s="22">
        <f>IF(OR(J918="",K918=""),"",J918*K918)</f>
        <v/>
      </c>
      <c r="M918" s="19" t="n"/>
      <c r="N918" s="20" t="n"/>
      <c r="O918" s="20" t="n"/>
    </row>
    <row r="919">
      <c r="A919" s="23" t="n">
        <v>916</v>
      </c>
      <c r="B919" s="23" t="inlineStr">
        <is>
          <t>2.2.1.9.72</t>
        </is>
      </c>
      <c r="C919" s="25" t="inlineStr">
        <is>
          <t>Part 2 – Technical Systems</t>
        </is>
      </c>
      <c r="D919" s="25" t="inlineStr">
        <is>
          <t>2.2 COMMON OPEARATIONAL PICTURE (COP)</t>
        </is>
      </c>
      <c r="E919" s="25" t="inlineStr">
        <is>
          <t>—</t>
        </is>
      </c>
      <c r="F919" s="25" t="inlineStr">
        <is>
          <t>The user will be able to select the starting point of a route. This location may be entered: a. As the user’s current location, if the GIS has that information b. As latitude and longitude c. As a street address d. As cross streets e. As a facility name (e.g., Princess Nora University) f. By indicating a location on a map</t>
        </is>
      </c>
      <c r="G919" s="19" t="n"/>
      <c r="H919" s="20" t="n"/>
      <c r="I919" s="20" t="n"/>
      <c r="J919" s="19" t="n"/>
      <c r="K919" s="21" t="n"/>
      <c r="L919" s="22">
        <f>IF(OR(J919="",K919=""),"",J919*K919)</f>
        <v/>
      </c>
      <c r="M919" s="19" t="n"/>
      <c r="N919" s="20" t="n"/>
      <c r="O919" s="20" t="n"/>
    </row>
    <row r="920">
      <c r="A920" s="16" t="n">
        <v>917</v>
      </c>
      <c r="B920" s="16" t="inlineStr">
        <is>
          <t>2.2.1.9.73</t>
        </is>
      </c>
      <c r="C920" s="18" t="inlineStr">
        <is>
          <t>Part 2 – Technical Systems</t>
        </is>
      </c>
      <c r="D920" s="18" t="inlineStr">
        <is>
          <t>2.2 COMMON OPEARATIONAL PICTURE (COP)</t>
        </is>
      </c>
      <c r="E920" s="18" t="inlineStr">
        <is>
          <t>—</t>
        </is>
      </c>
      <c r="F920" s="18" t="inlineStr">
        <is>
          <t>A user will be able to select the destination of a route. This location may be entered: a. As latitude and longitude b. As a street address c. As cross streets d. As a facility type (e.g., gas station, hospital, etc.) e. As a facility name (e.g., KAI Airport) f. By indicating a location on a visible map g. By identifying or selecting a locatable object (i.e., a resource, asset, etc.), either by name, or by indicating object on a visible map</t>
        </is>
      </c>
      <c r="G920" s="19" t="n"/>
      <c r="H920" s="20" t="n"/>
      <c r="I920" s="20" t="n"/>
      <c r="J920" s="19" t="n"/>
      <c r="K920" s="21" t="n"/>
      <c r="L920" s="22">
        <f>IF(OR(J920="",K920=""),"",J920*K920)</f>
        <v/>
      </c>
      <c r="M920" s="19" t="n"/>
      <c r="N920" s="20" t="n"/>
      <c r="O920" s="20" t="n"/>
    </row>
    <row r="921">
      <c r="A921" s="23" t="n">
        <v>918</v>
      </c>
      <c r="B921" s="23" t="inlineStr">
        <is>
          <t>2.2.1.9.74</t>
        </is>
      </c>
      <c r="C921" s="25" t="inlineStr">
        <is>
          <t>Part 2 – Technical Systems</t>
        </is>
      </c>
      <c r="D921" s="25" t="inlineStr">
        <is>
          <t>2.2 COMMON OPEARATIONAL PICTURE (COP)</t>
        </is>
      </c>
      <c r="E921" s="25" t="inlineStr">
        <is>
          <t>—</t>
        </is>
      </c>
      <c r="F921" s="25" t="inlineStr">
        <is>
          <t>The user will be able to require that the generated route pass through any number of intermediate locations. These locations may be entered as: a. As latitude and longitude b. As a street address c. As cross streets d. As a facility type (e.g., gas station, hospital, etc.) e. As a facility name (e.g., KAI Airport) f. By indicating a location on a visible map</t>
        </is>
      </c>
      <c r="G921" s="19" t="n"/>
      <c r="H921" s="20" t="n"/>
      <c r="I921" s="20" t="n"/>
      <c r="J921" s="19" t="n"/>
      <c r="K921" s="21" t="n"/>
      <c r="L921" s="22">
        <f>IF(OR(J921="",K921=""),"",J921*K921)</f>
        <v/>
      </c>
      <c r="M921" s="19" t="n"/>
      <c r="N921" s="20" t="n"/>
      <c r="O921" s="20" t="n"/>
    </row>
    <row r="922">
      <c r="A922" s="16" t="n">
        <v>919</v>
      </c>
      <c r="B922" s="16" t="inlineStr">
        <is>
          <t>2.2.1.9.75</t>
        </is>
      </c>
      <c r="C922" s="18" t="inlineStr">
        <is>
          <t>Part 2 – Technical Systems</t>
        </is>
      </c>
      <c r="D922" s="18" t="inlineStr">
        <is>
          <t>2.2 COMMON OPEARATIONAL PICTURE (COP)</t>
        </is>
      </c>
      <c r="E922" s="18" t="inlineStr">
        <is>
          <t>—</t>
        </is>
      </c>
      <c r="F922" s="18" t="inlineStr">
        <is>
          <t>The routing system will generate routes appropriate for the mode of travel selected by the user. These modes will include: walking, driving, or driving followed by walking.</t>
        </is>
      </c>
      <c r="G922" s="19" t="n"/>
      <c r="H922" s="20" t="n"/>
      <c r="I922" s="20" t="n"/>
      <c r="J922" s="19" t="n"/>
      <c r="K922" s="21" t="n"/>
      <c r="L922" s="22">
        <f>IF(OR(J922="",K922=""),"",J922*K922)</f>
        <v/>
      </c>
      <c r="M922" s="19" t="n"/>
      <c r="N922" s="20" t="n"/>
      <c r="O922" s="20" t="n"/>
    </row>
    <row r="923">
      <c r="A923" s="23" t="n">
        <v>920</v>
      </c>
      <c r="B923" s="23" t="inlineStr">
        <is>
          <t>2.2.1.9.76</t>
        </is>
      </c>
      <c r="C923" s="25" t="inlineStr">
        <is>
          <t>Part 2 – Technical Systems</t>
        </is>
      </c>
      <c r="D923" s="25" t="inlineStr">
        <is>
          <t>2.2 COMMON OPEARATIONAL PICTURE (COP)</t>
        </is>
      </c>
      <c r="E923" s="25" t="inlineStr">
        <is>
          <t>—</t>
        </is>
      </c>
      <c r="F923" s="25" t="inlineStr">
        <is>
          <t>The user will be able to place other restrictions on the routing system, e.g., the user may indicate a vehicle weight, vehicle width and height, cargo type, etc.</t>
        </is>
      </c>
      <c r="G923" s="19" t="n"/>
      <c r="H923" s="20" t="n"/>
      <c r="I923" s="20" t="n"/>
      <c r="J923" s="19" t="n"/>
      <c r="K923" s="21" t="n"/>
      <c r="L923" s="22">
        <f>IF(OR(J923="",K923=""),"",J923*K923)</f>
        <v/>
      </c>
      <c r="M923" s="19" t="n"/>
      <c r="N923" s="20" t="n"/>
      <c r="O923" s="20" t="n"/>
    </row>
    <row r="924">
      <c r="A924" s="16" t="n">
        <v>921</v>
      </c>
      <c r="B924" s="16" t="inlineStr">
        <is>
          <t>2.2.1.9.77</t>
        </is>
      </c>
      <c r="C924" s="18" t="inlineStr">
        <is>
          <t>Part 2 – Technical Systems</t>
        </is>
      </c>
      <c r="D924" s="18" t="inlineStr">
        <is>
          <t>2.2 COMMON OPEARATIONAL PICTURE (COP)</t>
        </is>
      </c>
      <c r="E924" s="18" t="inlineStr">
        <is>
          <t>—</t>
        </is>
      </c>
      <c r="F924" s="18" t="inlineStr">
        <is>
          <t>The routing system will generate a route with the shortest time (considering the live traffic and road conditions) or shortest distance, as selected by the user, appropriate for the selected mode of travel, intermediate points, and other restrictions.</t>
        </is>
      </c>
      <c r="G924" s="19" t="n"/>
      <c r="H924" s="20" t="n"/>
      <c r="I924" s="20" t="n"/>
      <c r="J924" s="19" t="n"/>
      <c r="K924" s="21" t="n"/>
      <c r="L924" s="22">
        <f>IF(OR(J924="",K924=""),"",J924*K924)</f>
        <v/>
      </c>
      <c r="M924" s="19" t="n"/>
      <c r="N924" s="20" t="n"/>
      <c r="O924" s="20" t="n"/>
    </row>
    <row r="925">
      <c r="A925" s="23" t="n">
        <v>922</v>
      </c>
      <c r="B925" s="23" t="inlineStr">
        <is>
          <t>2.2.1.9.78</t>
        </is>
      </c>
      <c r="C925" s="25" t="inlineStr">
        <is>
          <t>Part 2 – Technical Systems</t>
        </is>
      </c>
      <c r="D925" s="25" t="inlineStr">
        <is>
          <t>2.2 COMMON OPEARATIONAL PICTURE (COP)</t>
        </is>
      </c>
      <c r="E925" s="25" t="inlineStr">
        <is>
          <t>—</t>
        </is>
      </c>
      <c r="F925" s="25" t="inlineStr">
        <is>
          <t>The user will be able to view the conditions and properties of features along the route (e.g., lane widths, overpass heights, bridge weight limits, etc.)</t>
        </is>
      </c>
      <c r="G925" s="19" t="n"/>
      <c r="H925" s="20" t="n"/>
      <c r="I925" s="20" t="n"/>
      <c r="J925" s="19" t="n"/>
      <c r="K925" s="21" t="n"/>
      <c r="L925" s="22">
        <f>IF(OR(J925="",K925=""),"",J925*K925)</f>
        <v/>
      </c>
      <c r="M925" s="19" t="n"/>
      <c r="N925" s="20" t="n"/>
      <c r="O925" s="20" t="n"/>
    </row>
    <row r="926">
      <c r="A926" s="16" t="n">
        <v>923</v>
      </c>
      <c r="B926" s="16" t="inlineStr">
        <is>
          <t>2.2.1.9.79</t>
        </is>
      </c>
      <c r="C926" s="18" t="inlineStr">
        <is>
          <t>Part 2 – Technical Systems</t>
        </is>
      </c>
      <c r="D926" s="18" t="inlineStr">
        <is>
          <t>2.2 COMMON OPEARATIONAL PICTURE (COP)</t>
        </is>
      </c>
      <c r="E926" s="18" t="inlineStr">
        <is>
          <t>—</t>
        </is>
      </c>
      <c r="F926" s="18" t="inlineStr">
        <is>
          <t>Any time after the user has received a route, he will be able to forbid the routing system from generating a route that passes through a particular point, and the routing system will generate a new route that does not pass through that point.</t>
        </is>
      </c>
      <c r="G926" s="19" t="n"/>
      <c r="H926" s="20" t="n"/>
      <c r="I926" s="20" t="n"/>
      <c r="J926" s="19" t="n"/>
      <c r="K926" s="21" t="n"/>
      <c r="L926" s="22">
        <f>IF(OR(J926="",K926=""),"",J926*K926)</f>
        <v/>
      </c>
      <c r="M926" s="19" t="n"/>
      <c r="N926" s="20" t="n"/>
      <c r="O926" s="20" t="n"/>
    </row>
    <row r="927">
      <c r="A927" s="23" t="n">
        <v>924</v>
      </c>
      <c r="B927" s="23" t="inlineStr">
        <is>
          <t>2.2.1.9.80</t>
        </is>
      </c>
      <c r="C927" s="25" t="inlineStr">
        <is>
          <t>Part 2 – Technical Systems</t>
        </is>
      </c>
      <c r="D927" s="25" t="inlineStr">
        <is>
          <t>2.2 COMMON OPEARATIONAL PICTURE (COP)</t>
        </is>
      </c>
      <c r="E927" s="25" t="inlineStr">
        <is>
          <t>—</t>
        </is>
      </c>
      <c r="F927" s="25" t="inlineStr">
        <is>
          <t>At any time, the user will be able to move the route’s starting point; move, add or remove intermediate points; and move the route’s destination; place further restrictions on the route, without starting the routing request afresh.</t>
        </is>
      </c>
      <c r="G927" s="19" t="n"/>
      <c r="H927" s="20" t="n"/>
      <c r="I927" s="20" t="n"/>
      <c r="J927" s="19" t="n"/>
      <c r="K927" s="21" t="n"/>
      <c r="L927" s="22">
        <f>IF(OR(J927="",K927=""),"",J927*K927)</f>
        <v/>
      </c>
      <c r="M927" s="19" t="n"/>
      <c r="N927" s="20" t="n"/>
      <c r="O927" s="20" t="n"/>
    </row>
    <row r="928">
      <c r="A928" s="16" t="n">
        <v>925</v>
      </c>
      <c r="B928" s="16" t="inlineStr">
        <is>
          <t>2.2.1.9.81</t>
        </is>
      </c>
      <c r="C928" s="18" t="inlineStr">
        <is>
          <t>Part 2 – Technical Systems</t>
        </is>
      </c>
      <c r="D928" s="18" t="inlineStr">
        <is>
          <t>2.2 COMMON OPEARATIONAL PICTURE (COP)</t>
        </is>
      </c>
      <c r="E928" s="18" t="inlineStr">
        <is>
          <t>—</t>
        </is>
      </c>
      <c r="F928" s="18" t="inlineStr">
        <is>
          <t>If the routing system cannot generate a route between the starting location and the destination, it will indicate the reason to the user.</t>
        </is>
      </c>
      <c r="G928" s="19" t="n"/>
      <c r="H928" s="20" t="n"/>
      <c r="I928" s="20" t="n"/>
      <c r="J928" s="19" t="n"/>
      <c r="K928" s="21" t="n"/>
      <c r="L928" s="22">
        <f>IF(OR(J928="",K928=""),"",J928*K928)</f>
        <v/>
      </c>
      <c r="M928" s="19" t="n"/>
      <c r="N928" s="20" t="n"/>
      <c r="O928" s="20" t="n"/>
    </row>
    <row r="929">
      <c r="A929" s="23" t="n">
        <v>926</v>
      </c>
      <c r="B929" s="23" t="inlineStr">
        <is>
          <t>2.2.1.9.82</t>
        </is>
      </c>
      <c r="C929" s="25" t="inlineStr">
        <is>
          <t>Part 2 – Technical Systems</t>
        </is>
      </c>
      <c r="D929" s="25" t="inlineStr">
        <is>
          <t>2.2 COMMON OPEARATIONAL PICTURE (COP)</t>
        </is>
      </c>
      <c r="E929" s="25" t="inlineStr">
        <is>
          <t>—</t>
        </is>
      </c>
      <c r="F929" s="25" t="inlineStr">
        <is>
          <t>If the user asks for a “driving route”, and there is no route from the starting location to the destination that is appropriate for a vehicle, but there is one that includes exiting the vehicle and completing the route on foot, then the routing system will generate this route. The route information will prominently indicate that a “dismount” will be required.</t>
        </is>
      </c>
      <c r="G929" s="19" t="n"/>
      <c r="H929" s="20" t="n"/>
      <c r="I929" s="20" t="n"/>
      <c r="J929" s="19" t="n"/>
      <c r="K929" s="21" t="n"/>
      <c r="L929" s="22">
        <f>IF(OR(J929="",K929=""),"",J929*K929)</f>
        <v/>
      </c>
      <c r="M929" s="19" t="n"/>
      <c r="N929" s="20" t="n"/>
      <c r="O929" s="20" t="n"/>
    </row>
    <row r="930">
      <c r="A930" s="16" t="n">
        <v>927</v>
      </c>
      <c r="B930" s="16" t="inlineStr">
        <is>
          <t>2.2.1.9.83</t>
        </is>
      </c>
      <c r="C930" s="18" t="inlineStr">
        <is>
          <t>Part 2 – Technical Systems</t>
        </is>
      </c>
      <c r="D930" s="18" t="inlineStr">
        <is>
          <t>2.2 COMMON OPEARATIONAL PICTURE (COP)</t>
        </is>
      </c>
      <c r="E930" s="18" t="inlineStr">
        <is>
          <t>—</t>
        </is>
      </c>
      <c r="F930" s="18" t="inlineStr">
        <is>
          <t>The routing system will not direct the user to perform illegal activities, unless the user instructs it to do so. For example, the routing system will not direct the user to travel the wrong way on a one-way street, but the user can over-ride this.</t>
        </is>
      </c>
      <c r="G930" s="19" t="n"/>
      <c r="H930" s="20" t="n"/>
      <c r="I930" s="20" t="n"/>
      <c r="J930" s="19" t="n"/>
      <c r="K930" s="21" t="n"/>
      <c r="L930" s="22">
        <f>IF(OR(J930="",K930=""),"",J930*K930)</f>
        <v/>
      </c>
      <c r="M930" s="19" t="n"/>
      <c r="N930" s="20" t="n"/>
      <c r="O930" s="20" t="n"/>
    </row>
    <row r="931">
      <c r="A931" s="23" t="n">
        <v>928</v>
      </c>
      <c r="B931" s="23" t="inlineStr">
        <is>
          <t>2.2.1.9.84</t>
        </is>
      </c>
      <c r="C931" s="25" t="inlineStr">
        <is>
          <t>Part 2 – Technical Systems</t>
        </is>
      </c>
      <c r="D931" s="25" t="inlineStr">
        <is>
          <t>2.2 COMMON OPEARATIONAL PICTURE (COP)</t>
        </is>
      </c>
      <c r="E931" s="25" t="inlineStr">
        <is>
          <t>—</t>
        </is>
      </c>
      <c r="F931" s="25" t="inlineStr">
        <is>
          <t>The routing system will incorporate an obstruction feature: any authorized user may indicate within the CAD solution that a route section is no longer available, and the routing system will not include that section in any routes. For example, if a user reports that a bridge is no longer passable, the routing system will not direct a user to cross that bridge.</t>
        </is>
      </c>
      <c r="G931" s="19" t="n"/>
      <c r="H931" s="20" t="n"/>
      <c r="I931" s="20" t="n"/>
      <c r="J931" s="19" t="n"/>
      <c r="K931" s="21" t="n"/>
      <c r="L931" s="22">
        <f>IF(OR(J931="",K931=""),"",J931*K931)</f>
        <v/>
      </c>
      <c r="M931" s="19" t="n"/>
      <c r="N931" s="20" t="n"/>
      <c r="O931" s="20" t="n"/>
    </row>
    <row r="932">
      <c r="A932" s="16" t="n">
        <v>929</v>
      </c>
      <c r="B932" s="16" t="inlineStr">
        <is>
          <t>2.2.1.9.85</t>
        </is>
      </c>
      <c r="C932" s="18" t="inlineStr">
        <is>
          <t>Part 2 – Technical Systems</t>
        </is>
      </c>
      <c r="D932" s="18" t="inlineStr">
        <is>
          <t>2.2 COMMON OPEARATIONAL PICTURE (COP)</t>
        </is>
      </c>
      <c r="E932" s="18" t="inlineStr">
        <is>
          <t>—</t>
        </is>
      </c>
      <c r="F932" s="18" t="inlineStr">
        <is>
          <t>The routing system will be able to provide real-time instructions to a user: when a user completes a section of the route, the routing system will provide the user with instructions for the next section.</t>
        </is>
      </c>
      <c r="G932" s="19" t="n"/>
      <c r="H932" s="20" t="n"/>
      <c r="I932" s="20" t="n"/>
      <c r="J932" s="19" t="n"/>
      <c r="K932" s="21" t="n"/>
      <c r="L932" s="22">
        <f>IF(OR(J932="",K932=""),"",J932*K932)</f>
        <v/>
      </c>
      <c r="M932" s="19" t="n"/>
      <c r="N932" s="20" t="n"/>
      <c r="O932" s="20" t="n"/>
    </row>
    <row r="933">
      <c r="A933" s="23" t="n">
        <v>930</v>
      </c>
      <c r="B933" s="23" t="inlineStr">
        <is>
          <t>2.2.1.9.86</t>
        </is>
      </c>
      <c r="C933" s="25" t="inlineStr">
        <is>
          <t>Part 2 – Technical Systems</t>
        </is>
      </c>
      <c r="D933" s="25" t="inlineStr">
        <is>
          <t>2.2 COMMON OPEARATIONAL PICTURE (COP)</t>
        </is>
      </c>
      <c r="E933" s="25" t="inlineStr">
        <is>
          <t>—</t>
        </is>
      </c>
      <c r="F933" s="25" t="inlineStr">
        <is>
          <t>If an obstruction necessitates an update to a user’s route, the routing system will immediately incorporate that update into the user’s real-time instructions. If the user is not receiving real- time instructions, then the routing system will alert that user to the update.</t>
        </is>
      </c>
      <c r="G933" s="19" t="n"/>
      <c r="H933" s="20" t="n"/>
      <c r="I933" s="20" t="n"/>
      <c r="J933" s="19" t="n"/>
      <c r="K933" s="21" t="n"/>
      <c r="L933" s="22">
        <f>IF(OR(J933="",K933=""),"",J933*K933)</f>
        <v/>
      </c>
      <c r="M933" s="19" t="n"/>
      <c r="N933" s="20" t="n"/>
      <c r="O933" s="20" t="n"/>
    </row>
    <row r="934">
      <c r="A934" s="16" t="n">
        <v>931</v>
      </c>
      <c r="B934" s="16" t="inlineStr">
        <is>
          <t>2.2.1.9.87</t>
        </is>
      </c>
      <c r="C934" s="18" t="inlineStr">
        <is>
          <t>Part 2 – Technical Systems</t>
        </is>
      </c>
      <c r="D934" s="18" t="inlineStr">
        <is>
          <t>2.2 COMMON OPEARATIONAL PICTURE (COP)</t>
        </is>
      </c>
      <c r="E934" s="18" t="inlineStr">
        <is>
          <t>—</t>
        </is>
      </c>
      <c r="F934" s="18" t="inlineStr">
        <is>
          <t>The solution shall include an implementation for smart search control to allow the operators seamlessly search and locate the different spatial layers, locations and their related information and data on the same interface of the CAD solution, this control shall provide as a minimum the following capabilities:</t>
        </is>
      </c>
      <c r="G934" s="19" t="n"/>
      <c r="H934" s="20" t="n"/>
      <c r="I934" s="20" t="n"/>
      <c r="J934" s="19" t="n"/>
      <c r="K934" s="21" t="n"/>
      <c r="L934" s="22">
        <f>IF(OR(J934="",K934=""),"",J934*K934)</f>
        <v/>
      </c>
      <c r="M934" s="19" t="n"/>
      <c r="N934" s="20" t="n"/>
      <c r="O934" s="20" t="n"/>
    </row>
    <row r="935">
      <c r="A935" s="23" t="n">
        <v>932</v>
      </c>
      <c r="B935" s="23" t="inlineStr">
        <is>
          <t>2.2.1.9.88</t>
        </is>
      </c>
      <c r="C935" s="25" t="inlineStr">
        <is>
          <t>Part 2 – Technical Systems</t>
        </is>
      </c>
      <c r="D935" s="25" t="inlineStr">
        <is>
          <t>2.2 COMMON OPEARATIONAL PICTURE (COP)</t>
        </is>
      </c>
      <c r="E935" s="25" t="inlineStr">
        <is>
          <t>—</t>
        </is>
      </c>
      <c r="F935" s="25" t="inlineStr">
        <is>
          <t>Shall include a bilingual (Arabic and English) Gazetteer search with auto complete capability (like Google Search), on all available spatial layers and data such as (Administrative Boundaries layers, Streets’ layer, POIs layers, etc.…).</t>
        </is>
      </c>
      <c r="G935" s="19" t="n"/>
      <c r="H935" s="20" t="n"/>
      <c r="I935" s="20" t="n"/>
      <c r="J935" s="19" t="n"/>
      <c r="K935" s="21" t="n"/>
      <c r="L935" s="22">
        <f>IF(OR(J935="",K935=""),"",J935*K935)</f>
        <v/>
      </c>
      <c r="M935" s="19" t="n"/>
      <c r="N935" s="20" t="n"/>
      <c r="O935" s="20" t="n"/>
    </row>
    <row r="936">
      <c r="A936" s="16" t="n">
        <v>933</v>
      </c>
      <c r="B936" s="16" t="inlineStr">
        <is>
          <t>2.2.1.9.89</t>
        </is>
      </c>
      <c r="C936" s="18" t="inlineStr">
        <is>
          <t>Part 2 – Technical Systems</t>
        </is>
      </c>
      <c r="D936" s="18" t="inlineStr">
        <is>
          <t>2.2 COMMON OPEARATIONAL PICTURE (COP)</t>
        </is>
      </c>
      <c r="E936" s="18" t="inlineStr">
        <is>
          <t>—</t>
        </is>
      </c>
      <c r="F936" s="18" t="inlineStr">
        <is>
          <t>The search control shall support the capability of a type- ahead-search behavior of Google Maps search field, when the operator starts typing the search keywords the “Auto complete” will fill the rest and minimize the populated results list.</t>
        </is>
      </c>
      <c r="G936" s="19" t="n"/>
      <c r="H936" s="20" t="n"/>
      <c r="I936" s="20" t="n"/>
      <c r="J936" s="19" t="n"/>
      <c r="K936" s="21" t="n"/>
      <c r="L936" s="22">
        <f>IF(OR(J936="",K936=""),"",J936*K936)</f>
        <v/>
      </c>
      <c r="M936" s="19" t="n"/>
      <c r="N936" s="20" t="n"/>
      <c r="O936" s="20" t="n"/>
    </row>
    <row r="937">
      <c r="A937" s="23" t="n">
        <v>934</v>
      </c>
      <c r="B937" s="23" t="inlineStr">
        <is>
          <t>2.2.1.9.90</t>
        </is>
      </c>
      <c r="C937" s="25" t="inlineStr">
        <is>
          <t>Part 2 – Technical Systems</t>
        </is>
      </c>
      <c r="D937" s="25" t="inlineStr">
        <is>
          <t>2.2 COMMON OPEARATIONAL PICTURE (COP)</t>
        </is>
      </c>
      <c r="E937" s="25" t="inlineStr">
        <is>
          <t>—</t>
        </is>
      </c>
      <c r="F937" s="25" t="inlineStr">
        <is>
          <t>The Gazetteer search over the gazetteer feature shall allow, by simple entry keywords / characters, to search over these layers and return the results in a ranked manner based on the result matching score.</t>
        </is>
      </c>
      <c r="G937" s="19" t="n"/>
      <c r="H937" s="20" t="n"/>
      <c r="I937" s="20" t="n"/>
      <c r="J937" s="19" t="n"/>
      <c r="K937" s="21" t="n"/>
      <c r="L937" s="22">
        <f>IF(OR(J937="",K937=""),"",J937*K937)</f>
        <v/>
      </c>
      <c r="M937" s="19" t="n"/>
      <c r="N937" s="20" t="n"/>
      <c r="O937" s="20" t="n"/>
    </row>
    <row r="938">
      <c r="A938" s="16" t="n">
        <v>935</v>
      </c>
      <c r="B938" s="16" t="inlineStr">
        <is>
          <t>2.2.1.9.91</t>
        </is>
      </c>
      <c r="C938" s="18" t="inlineStr">
        <is>
          <t>Part 2 – Technical Systems</t>
        </is>
      </c>
      <c r="D938" s="18" t="inlineStr">
        <is>
          <t>2.2 COMMON OPEARATIONAL PICTURE (COP)</t>
        </is>
      </c>
      <c r="E938" s="18" t="inlineStr">
        <is>
          <t>—</t>
        </is>
      </c>
      <c r="F938" s="18" t="inlineStr">
        <is>
          <t>The Gazetteer search shall return the full spatial address of the features and its related information.</t>
        </is>
      </c>
      <c r="G938" s="19" t="n"/>
      <c r="H938" s="20" t="n"/>
      <c r="I938" s="20" t="n"/>
      <c r="J938" s="19" t="n"/>
      <c r="K938" s="21" t="n"/>
      <c r="L938" s="22">
        <f>IF(OR(J938="",K938=""),"",J938*K938)</f>
        <v/>
      </c>
      <c r="M938" s="19" t="n"/>
      <c r="N938" s="20" t="n"/>
      <c r="O938" s="20" t="n"/>
    </row>
    <row r="939">
      <c r="A939" s="23" t="n">
        <v>936</v>
      </c>
      <c r="B939" s="23" t="inlineStr">
        <is>
          <t>2.2.1.9.92</t>
        </is>
      </c>
      <c r="C939" s="25" t="inlineStr">
        <is>
          <t>Part 2 – Technical Systems</t>
        </is>
      </c>
      <c r="D939" s="25" t="inlineStr">
        <is>
          <t>2.2 COMMON OPEARATIONAL PICTURE (COP)</t>
        </is>
      </c>
      <c r="E939" s="25" t="inlineStr">
        <is>
          <t>—</t>
        </is>
      </c>
      <c r="F939" s="25" t="inlineStr">
        <is>
          <t>The Gazetteer search shall identify and return the layer type (whether the returned matching results belongs to the POIs layers, Streets’ layer...etc.) this help the operators to select the right category, if multi matching results from different layers been returned.</t>
        </is>
      </c>
      <c r="G939" s="19" t="n"/>
      <c r="H939" s="20" t="n"/>
      <c r="I939" s="20" t="n"/>
      <c r="J939" s="19" t="n"/>
      <c r="K939" s="21" t="n"/>
      <c r="L939" s="22">
        <f>IF(OR(J939="",K939=""),"",J939*K939)</f>
        <v/>
      </c>
      <c r="M939" s="19" t="n"/>
      <c r="N939" s="20" t="n"/>
      <c r="O939" s="20" t="n"/>
    </row>
    <row r="940">
      <c r="A940" s="16" t="n">
        <v>937</v>
      </c>
      <c r="B940" s="16" t="inlineStr">
        <is>
          <t>2.2.1.9.93</t>
        </is>
      </c>
      <c r="C940" s="18" t="inlineStr">
        <is>
          <t>Part 2 – Technical Systems</t>
        </is>
      </c>
      <c r="D940" s="18" t="inlineStr">
        <is>
          <t>2.2 COMMON OPEARATIONAL PICTURE (COP)</t>
        </is>
      </c>
      <c r="E940" s="18" t="inlineStr">
        <is>
          <t>—</t>
        </is>
      </c>
      <c r="F940" s="18" t="inlineStr">
        <is>
          <t>The Gazetteer shall support the capabilities for both exact match and fuzzy match search.</t>
        </is>
      </c>
      <c r="G940" s="19" t="n"/>
      <c r="H940" s="20" t="n"/>
      <c r="I940" s="20" t="n"/>
      <c r="J940" s="19" t="n"/>
      <c r="K940" s="21" t="n"/>
      <c r="L940" s="22">
        <f>IF(OR(J940="",K940=""),"",J940*K940)</f>
        <v/>
      </c>
      <c r="M940" s="19" t="n"/>
      <c r="N940" s="20" t="n"/>
      <c r="O940" s="20" t="n"/>
    </row>
    <row r="941">
      <c r="A941" s="23" t="n">
        <v>938</v>
      </c>
      <c r="B941" s="23" t="inlineStr">
        <is>
          <t>2.2.1.9.94</t>
        </is>
      </c>
      <c r="C941" s="25" t="inlineStr">
        <is>
          <t>Part 2 – Technical Systems</t>
        </is>
      </c>
      <c r="D941" s="25" t="inlineStr">
        <is>
          <t>2.2 COMMON OPEARATIONAL PICTURE (COP)</t>
        </is>
      </c>
      <c r="E941" s="25" t="inlineStr">
        <is>
          <t>—</t>
        </is>
      </c>
      <c r="F941" s="25" t="inlineStr">
        <is>
          <t>the user shall have the capability to select either search options for exact match only or including the fuzzy matching results, with the default exact matching option been selected.</t>
        </is>
      </c>
      <c r="G941" s="19" t="n"/>
      <c r="H941" s="20" t="n"/>
      <c r="I941" s="20" t="n"/>
      <c r="J941" s="19" t="n"/>
      <c r="K941" s="21" t="n"/>
      <c r="L941" s="22">
        <f>IF(OR(J941="",K941=""),"",J941*K941)</f>
        <v/>
      </c>
      <c r="M941" s="19" t="n"/>
      <c r="N941" s="20" t="n"/>
      <c r="O941" s="20" t="n"/>
    </row>
    <row r="942">
      <c r="A942" s="16" t="n">
        <v>939</v>
      </c>
      <c r="B942" s="16" t="inlineStr">
        <is>
          <t>2.2.1.9.95</t>
        </is>
      </c>
      <c r="C942" s="18" t="inlineStr">
        <is>
          <t>Part 2 – Technical Systems</t>
        </is>
      </c>
      <c r="D942" s="18" t="inlineStr">
        <is>
          <t>2.2 COMMON OPEARATIONAL PICTURE (COP)</t>
        </is>
      </c>
      <c r="E942" s="18" t="inlineStr">
        <is>
          <t>—</t>
        </is>
      </c>
      <c r="F942" s="18" t="inlineStr">
        <is>
          <t>The search control shall support sorting of the returned results (The exact matching results to be shown first and hence the fuzzy matching results)</t>
        </is>
      </c>
      <c r="G942" s="19" t="n"/>
      <c r="H942" s="20" t="n"/>
      <c r="I942" s="20" t="n"/>
      <c r="J942" s="19" t="n"/>
      <c r="K942" s="21" t="n"/>
      <c r="L942" s="22">
        <f>IF(OR(J942="",K942=""),"",J942*K942)</f>
        <v/>
      </c>
      <c r="M942" s="19" t="n"/>
      <c r="N942" s="20" t="n"/>
      <c r="O942" s="20" t="n"/>
    </row>
    <row r="943">
      <c r="A943" s="23" t="n">
        <v>940</v>
      </c>
      <c r="B943" s="23" t="inlineStr">
        <is>
          <t>2.2.1.9.96</t>
        </is>
      </c>
      <c r="C943" s="25" t="inlineStr">
        <is>
          <t>Part 2 – Technical Systems</t>
        </is>
      </c>
      <c r="D943" s="25" t="inlineStr">
        <is>
          <t>2.2 COMMON OPEARATIONAL PICTURE (COP)</t>
        </is>
      </c>
      <c r="E943" s="25" t="inlineStr">
        <is>
          <t>—</t>
        </is>
      </c>
      <c r="F943" s="25" t="inlineStr">
        <is>
          <t>The search control shall be smart enough to return the search results in a ranked manner based on the result matching score.</t>
        </is>
      </c>
      <c r="G943" s="19" t="n"/>
      <c r="H943" s="20" t="n"/>
      <c r="I943" s="20" t="n"/>
      <c r="J943" s="19" t="n"/>
      <c r="K943" s="21" t="n"/>
      <c r="L943" s="22">
        <f>IF(OR(J943="",K943=""),"",J943*K943)</f>
        <v/>
      </c>
      <c r="M943" s="19" t="n"/>
      <c r="N943" s="20" t="n"/>
      <c r="O943" s="20" t="n"/>
    </row>
    <row r="944">
      <c r="A944" s="16" t="n">
        <v>941</v>
      </c>
      <c r="B944" s="16" t="inlineStr">
        <is>
          <t>2.2.1.9.97</t>
        </is>
      </c>
      <c r="C944" s="18" t="inlineStr">
        <is>
          <t>Part 2 – Technical Systems</t>
        </is>
      </c>
      <c r="D944" s="18" t="inlineStr">
        <is>
          <t>2.2 COMMON OPEARATIONAL PICTURE (COP)</t>
        </is>
      </c>
      <c r="E944" s="18" t="inlineStr">
        <is>
          <t>—</t>
        </is>
      </c>
      <c r="F944" s="18" t="inlineStr">
        <is>
          <t>The smart search control shall provide the capability for the users to select specific layers to search against, for example (the user may select searching over the streets and/or landmarks layers only). If the user doesn't specify any selection, all layers considered selected by default.</t>
        </is>
      </c>
      <c r="G944" s="19" t="n"/>
      <c r="H944" s="20" t="n"/>
      <c r="I944" s="20" t="n"/>
      <c r="J944" s="19" t="n"/>
      <c r="K944" s="21" t="n"/>
      <c r="L944" s="22">
        <f>IF(OR(J944="",K944=""),"",J944*K944)</f>
        <v/>
      </c>
      <c r="M944" s="19" t="n"/>
      <c r="N944" s="20" t="n"/>
      <c r="O944" s="20" t="n"/>
    </row>
    <row r="945">
      <c r="A945" s="23" t="n">
        <v>942</v>
      </c>
      <c r="B945" s="23" t="inlineStr">
        <is>
          <t>2.2.1.9.98</t>
        </is>
      </c>
      <c r="C945" s="25" t="inlineStr">
        <is>
          <t>Part 2 – Technical Systems</t>
        </is>
      </c>
      <c r="D945" s="25" t="inlineStr">
        <is>
          <t>2.2 COMMON OPEARATIONAL PICTURE (COP)</t>
        </is>
      </c>
      <c r="E945" s="25" t="inlineStr">
        <is>
          <t>—</t>
        </is>
      </c>
      <c r="F945" s="25" t="inlineStr">
        <is>
          <t>The smart search control shall be smart enough to fetch only the database records that belong to specific layers based on the user search strings, for example (If the user type in the search field "Street Kind Khaled" it should go searching in the streets layer only).</t>
        </is>
      </c>
      <c r="G945" s="19" t="n"/>
      <c r="H945" s="20" t="n"/>
      <c r="I945" s="20" t="n"/>
      <c r="J945" s="19" t="n"/>
      <c r="K945" s="21" t="n"/>
      <c r="L945" s="22">
        <f>IF(OR(J945="",K945=""),"",J945*K945)</f>
        <v/>
      </c>
      <c r="M945" s="19" t="n"/>
      <c r="N945" s="20" t="n"/>
      <c r="O945" s="20" t="n"/>
    </row>
    <row r="946">
      <c r="A946" s="16" t="n">
        <v>943</v>
      </c>
      <c r="B946" s="16" t="inlineStr">
        <is>
          <t>2.2.1.9.99</t>
        </is>
      </c>
      <c r="C946" s="18" t="inlineStr">
        <is>
          <t>Part 2 – Technical Systems</t>
        </is>
      </c>
      <c r="D946" s="18" t="inlineStr">
        <is>
          <t>2.2 COMMON OPEARATIONAL PICTURE (COP)</t>
        </is>
      </c>
      <c r="E946" s="18" t="inlineStr">
        <is>
          <t>—</t>
        </is>
      </c>
      <c r="F946" s="18" t="inlineStr">
        <is>
          <t>In addition to the Gazetteer search the solution shall include an advanced search control for the location identification in a manner of hierarchical drop-down lists filtered based on the user selection.</t>
        </is>
      </c>
      <c r="G946" s="19" t="n"/>
      <c r="H946" s="20" t="n"/>
      <c r="I946" s="20" t="n"/>
      <c r="J946" s="19" t="n"/>
      <c r="K946" s="21" t="n"/>
      <c r="L946" s="22">
        <f>IF(OR(J946="",K946=""),"",J946*K946)</f>
        <v/>
      </c>
      <c r="M946" s="19" t="n"/>
      <c r="N946" s="20" t="n"/>
      <c r="O946" s="20" t="n"/>
    </row>
    <row r="947">
      <c r="A947" s="23" t="n">
        <v>944</v>
      </c>
      <c r="B947" s="23" t="inlineStr">
        <is>
          <t>2.2.1.9.100</t>
        </is>
      </c>
      <c r="C947" s="25" t="inlineStr">
        <is>
          <t>Part 2 – Technical Systems</t>
        </is>
      </c>
      <c r="D947" s="25" t="inlineStr">
        <is>
          <t>2.2 COMMON OPEARATIONAL PICTURE (COP)</t>
        </is>
      </c>
      <c r="E947" s="25" t="inlineStr">
        <is>
          <t>—</t>
        </is>
      </c>
      <c r="F947" s="25" t="inlineStr">
        <is>
          <t>Each drop-down list is filtered based on what is selected on the parent level drop-down list</t>
        </is>
      </c>
      <c r="G947" s="19" t="n"/>
      <c r="H947" s="20" t="n"/>
      <c r="I947" s="20" t="n"/>
      <c r="J947" s="19" t="n"/>
      <c r="K947" s="21" t="n"/>
      <c r="L947" s="22">
        <f>IF(OR(J947="",K947=""),"",J947*K947)</f>
        <v/>
      </c>
      <c r="M947" s="19" t="n"/>
      <c r="N947" s="20" t="n"/>
      <c r="O947" s="20" t="n"/>
    </row>
    <row r="948">
      <c r="A948" s="16" t="n">
        <v>945</v>
      </c>
      <c r="B948" s="16" t="inlineStr">
        <is>
          <t>2.2.1.9.101</t>
        </is>
      </c>
      <c r="C948" s="18" t="inlineStr">
        <is>
          <t>Part 2 – Technical Systems</t>
        </is>
      </c>
      <c r="D948" s="18" t="inlineStr">
        <is>
          <t>2.2 COMMON OPEARATIONAL PICTURE (COP)</t>
        </is>
      </c>
      <c r="E948" s="18" t="inlineStr">
        <is>
          <t>—</t>
        </is>
      </c>
      <c r="F948" s="18" t="inlineStr">
        <is>
          <t>The advanced search control shall have and use all the spatial layers made available for the CAD solution in hierarchical order such as (Region, Governorates, Cities, Districts, Streets, Landmarks, National Address… etc.)</t>
        </is>
      </c>
      <c r="G948" s="19" t="n"/>
      <c r="H948" s="20" t="n"/>
      <c r="I948" s="20" t="n"/>
      <c r="J948" s="19" t="n"/>
      <c r="K948" s="21" t="n"/>
      <c r="L948" s="22">
        <f>IF(OR(J948="",K948=""),"",J948*K948)</f>
        <v/>
      </c>
      <c r="M948" s="19" t="n"/>
      <c r="N948" s="20" t="n"/>
      <c r="O948" s="20" t="n"/>
    </row>
    <row r="949">
      <c r="A949" s="23" t="n">
        <v>946</v>
      </c>
      <c r="B949" s="23" t="inlineStr">
        <is>
          <t>2.2.1.9.102</t>
        </is>
      </c>
      <c r="C949" s="25" t="inlineStr">
        <is>
          <t>Part 2 – Technical Systems</t>
        </is>
      </c>
      <c r="D949" s="25" t="inlineStr">
        <is>
          <t>2.2 COMMON OPEARATIONAL PICTURE (COP)</t>
        </is>
      </c>
      <c r="E949" s="25" t="inlineStr">
        <is>
          <t>—</t>
        </is>
      </c>
      <c r="F949" s="25" t="inlineStr">
        <is>
          <t>The advanced search control shall provide the user the flexibility to stop by any level of the hierarchy and the selected features shall be displayed on the map.</t>
        </is>
      </c>
      <c r="G949" s="19" t="n"/>
      <c r="H949" s="20" t="n"/>
      <c r="I949" s="20" t="n"/>
      <c r="J949" s="19" t="n"/>
      <c r="K949" s="21" t="n"/>
      <c r="L949" s="22">
        <f>IF(OR(J949="",K949=""),"",J949*K949)</f>
        <v/>
      </c>
      <c r="M949" s="19" t="n"/>
      <c r="N949" s="20" t="n"/>
      <c r="O949" s="20" t="n"/>
    </row>
    <row r="950">
      <c r="A950" s="16" t="n">
        <v>947</v>
      </c>
      <c r="B950" s="16" t="inlineStr">
        <is>
          <t>2.2.1.9.103</t>
        </is>
      </c>
      <c r="C950" s="18" t="inlineStr">
        <is>
          <t>Part 2 – Technical Systems</t>
        </is>
      </c>
      <c r="D950" s="18" t="inlineStr">
        <is>
          <t>2.2 COMMON OPEARATIONAL PICTURE (COP)</t>
        </is>
      </c>
      <c r="E950" s="18" t="inlineStr">
        <is>
          <t>—</t>
        </is>
      </c>
      <c r="F950" s="18" t="inlineStr">
        <is>
          <t>The search control for (Gazetteer search and advanced search) shall provide the capability to auto zoom to the map scale / level in which the selected features by the users from the search result are visible on the map; center the map to the selected feature/object, the feature shall be highlighted.</t>
        </is>
      </c>
      <c r="G950" s="19" t="n"/>
      <c r="H950" s="20" t="n"/>
      <c r="I950" s="20" t="n"/>
      <c r="J950" s="19" t="n"/>
      <c r="K950" s="21" t="n"/>
      <c r="L950" s="22">
        <f>IF(OR(J950="",K950=""),"",J950*K950)</f>
        <v/>
      </c>
      <c r="M950" s="19" t="n"/>
      <c r="N950" s="20" t="n"/>
      <c r="O950" s="20" t="n"/>
    </row>
    <row r="951">
      <c r="A951" s="23" t="n">
        <v>948</v>
      </c>
      <c r="B951" s="23" t="inlineStr">
        <is>
          <t>2.2.1.9.104</t>
        </is>
      </c>
      <c r="C951" s="25" t="inlineStr">
        <is>
          <t>Part 2 – Technical Systems</t>
        </is>
      </c>
      <c r="D951" s="25" t="inlineStr">
        <is>
          <t>2.2 COMMON OPEARATIONAL PICTURE (COP)</t>
        </is>
      </c>
      <c r="E951" s="25" t="inlineStr">
        <is>
          <t>—</t>
        </is>
      </c>
      <c r="F951" s="25" t="inlineStr">
        <is>
          <t>The display of assets and resources should be appropriate for the map scale.</t>
        </is>
      </c>
      <c r="G951" s="19" t="n"/>
      <c r="H951" s="20" t="n"/>
      <c r="I951" s="20" t="n"/>
      <c r="J951" s="19" t="n"/>
      <c r="K951" s="21" t="n"/>
      <c r="L951" s="22">
        <f>IF(OR(J951="",K951=""),"",J951*K951)</f>
        <v/>
      </c>
      <c r="M951" s="19" t="n"/>
      <c r="N951" s="20" t="n"/>
      <c r="O951" s="20" t="n"/>
    </row>
    <row r="952">
      <c r="A952" s="16" t="n">
        <v>949</v>
      </c>
      <c r="B952" s="16" t="inlineStr">
        <is>
          <t>2.2.1.9.105</t>
        </is>
      </c>
      <c r="C952" s="18" t="inlineStr">
        <is>
          <t>Part 2 – Technical Systems</t>
        </is>
      </c>
      <c r="D952" s="18" t="inlineStr">
        <is>
          <t>2.2 COMMON OPEARATIONAL PICTURE (COP)</t>
        </is>
      </c>
      <c r="E952" s="18" t="inlineStr">
        <is>
          <t>—</t>
        </is>
      </c>
      <c r="F952" s="18" t="inlineStr">
        <is>
          <t>The display of assets and resources should be appropriate for the (local) density of assets and resources.</t>
        </is>
      </c>
      <c r="G952" s="19" t="n"/>
      <c r="H952" s="20" t="n"/>
      <c r="I952" s="20" t="n"/>
      <c r="J952" s="19" t="n"/>
      <c r="K952" s="21" t="n"/>
      <c r="L952" s="22">
        <f>IF(OR(J952="",K952=""),"",J952*K952)</f>
        <v/>
      </c>
      <c r="M952" s="19" t="n"/>
      <c r="N952" s="20" t="n"/>
      <c r="O952" s="20" t="n"/>
    </row>
    <row r="953">
      <c r="A953" s="23" t="n">
        <v>950</v>
      </c>
      <c r="B953" s="23" t="inlineStr">
        <is>
          <t>2.2.1.9.106</t>
        </is>
      </c>
      <c r="C953" s="25" t="inlineStr">
        <is>
          <t>Part 2 – Technical Systems</t>
        </is>
      </c>
      <c r="D953" s="25" t="inlineStr">
        <is>
          <t>2.2 COMMON OPEARATIONAL PICTURE (COP)</t>
        </is>
      </c>
      <c r="E953" s="25" t="inlineStr">
        <is>
          <t>—</t>
        </is>
      </c>
      <c r="F953" s="25" t="inlineStr">
        <is>
          <t>The display of assets, resources, and properties thereof, should readily and intuitively provide the user with necessary information about each asset and resource.</t>
        </is>
      </c>
      <c r="G953" s="19" t="n"/>
      <c r="H953" s="20" t="n"/>
      <c r="I953" s="20" t="n"/>
      <c r="J953" s="19" t="n"/>
      <c r="K953" s="21" t="n"/>
      <c r="L953" s="22">
        <f>IF(OR(J953="",K953=""),"",J953*K953)</f>
        <v/>
      </c>
      <c r="M953" s="19" t="n"/>
      <c r="N953" s="20" t="n"/>
      <c r="O953" s="20" t="n"/>
    </row>
    <row r="954">
      <c r="A954" s="16" t="n">
        <v>951</v>
      </c>
      <c r="B954" s="16" t="inlineStr">
        <is>
          <t>2.2.1.9.107</t>
        </is>
      </c>
      <c r="C954" s="18" t="inlineStr">
        <is>
          <t>Part 2 – Technical Systems</t>
        </is>
      </c>
      <c r="D954" s="18" t="inlineStr">
        <is>
          <t>2.2 COMMON OPEARATIONAL PICTURE (COP)</t>
        </is>
      </c>
      <c r="E954" s="18" t="inlineStr">
        <is>
          <t>—</t>
        </is>
      </c>
      <c r="F954" s="18" t="inlineStr">
        <is>
          <t>This informational display should be appropriate for the map scale and (local) density of assets and resources.</t>
        </is>
      </c>
      <c r="G954" s="19" t="n"/>
      <c r="H954" s="20" t="n"/>
      <c r="I954" s="20" t="n"/>
      <c r="J954" s="19" t="n"/>
      <c r="K954" s="21" t="n"/>
      <c r="L954" s="22">
        <f>IF(OR(J954="",K954=""),"",J954*K954)</f>
        <v/>
      </c>
      <c r="M954" s="19" t="n"/>
      <c r="N954" s="20" t="n"/>
      <c r="O954" s="20" t="n"/>
    </row>
    <row r="955">
      <c r="A955" s="23" t="n">
        <v>952</v>
      </c>
      <c r="B955" s="23" t="inlineStr">
        <is>
          <t>2.2.1.9.108</t>
        </is>
      </c>
      <c r="C955" s="25" t="inlineStr">
        <is>
          <t>Part 2 – Technical Systems</t>
        </is>
      </c>
      <c r="D955" s="25" t="inlineStr">
        <is>
          <t>2.2 COMMON OPEARATIONAL PICTURE (COP)</t>
        </is>
      </c>
      <c r="E955" s="25" t="inlineStr">
        <is>
          <t>—</t>
        </is>
      </c>
      <c r="F955" s="25" t="inlineStr">
        <is>
          <t>This informational display should be appropriate for the current usage of the system (emergency response, strategic planning, etc.)</t>
        </is>
      </c>
      <c r="G955" s="19" t="n"/>
      <c r="H955" s="20" t="n"/>
      <c r="I955" s="20" t="n"/>
      <c r="J955" s="19" t="n"/>
      <c r="K955" s="21" t="n"/>
      <c r="L955" s="22">
        <f>IF(OR(J955="",K955=""),"",J955*K955)</f>
        <v/>
      </c>
      <c r="M955" s="19" t="n"/>
      <c r="N955" s="20" t="n"/>
      <c r="O955" s="20" t="n"/>
    </row>
    <row r="956">
      <c r="A956" s="16" t="n">
        <v>953</v>
      </c>
      <c r="B956" s="16" t="inlineStr">
        <is>
          <t>2.2.1.9.109</t>
        </is>
      </c>
      <c r="C956" s="18" t="inlineStr">
        <is>
          <t>Part 2 – Technical Systems</t>
        </is>
      </c>
      <c r="D956" s="18" t="inlineStr">
        <is>
          <t>2.2 COMMON OPEARATIONAL PICTURE (COP)</t>
        </is>
      </c>
      <c r="E956" s="18" t="inlineStr">
        <is>
          <t>—</t>
        </is>
      </c>
      <c r="F956" s="18" t="inlineStr">
        <is>
          <t>The authorized user should be able to customize this information display on the user interface.</t>
        </is>
      </c>
      <c r="G956" s="19" t="n"/>
      <c r="H956" s="20" t="n"/>
      <c r="I956" s="20" t="n"/>
      <c r="J956" s="19" t="n"/>
      <c r="K956" s="21" t="n"/>
      <c r="L956" s="22">
        <f>IF(OR(J956="",K956=""),"",J956*K956)</f>
        <v/>
      </c>
      <c r="M956" s="19" t="n"/>
      <c r="N956" s="20" t="n"/>
      <c r="O956" s="20" t="n"/>
    </row>
    <row r="957">
      <c r="A957" s="23" t="n">
        <v>954</v>
      </c>
      <c r="B957" s="23" t="inlineStr">
        <is>
          <t>2.2.1.9.110</t>
        </is>
      </c>
      <c r="C957" s="25" t="inlineStr">
        <is>
          <t>Part 2 – Technical Systems</t>
        </is>
      </c>
      <c r="D957" s="25" t="inlineStr">
        <is>
          <t>2.2 COMMON OPEARATIONAL PICTURE (COP)</t>
        </is>
      </c>
      <c r="E957" s="25" t="inlineStr">
        <is>
          <t>—</t>
        </is>
      </c>
      <c r="F957" s="25" t="inlineStr">
        <is>
          <t>The authorized user should be able to save, restore, and share these customizations.</t>
        </is>
      </c>
      <c r="G957" s="19" t="n"/>
      <c r="H957" s="20" t="n"/>
      <c r="I957" s="20" t="n"/>
      <c r="J957" s="19" t="n"/>
      <c r="K957" s="21" t="n"/>
      <c r="L957" s="22">
        <f>IF(OR(J957="",K957=""),"",J957*K957)</f>
        <v/>
      </c>
      <c r="M957" s="19" t="n"/>
      <c r="N957" s="20" t="n"/>
      <c r="O957" s="20" t="n"/>
    </row>
    <row r="958">
      <c r="A958" s="16" t="n">
        <v>955</v>
      </c>
      <c r="B958" s="16" t="inlineStr">
        <is>
          <t>2.2.1.9.111</t>
        </is>
      </c>
      <c r="C958" s="18" t="inlineStr">
        <is>
          <t>Part 2 – Technical Systems</t>
        </is>
      </c>
      <c r="D958" s="18" t="inlineStr">
        <is>
          <t>2.2 COMMON OPEARATIONAL PICTURE (COP)</t>
        </is>
      </c>
      <c r="E958" s="18" t="inlineStr">
        <is>
          <t>—</t>
        </is>
      </c>
      <c r="F958" s="18" t="inlineStr">
        <is>
          <t>The selection of map symbol, feature representations, overlays, labels, shapes, sizes, icons, colors, and legend shall conform to widely accepted standards.</t>
        </is>
      </c>
      <c r="G958" s="19" t="n"/>
      <c r="H958" s="20" t="n"/>
      <c r="I958" s="20" t="n"/>
      <c r="J958" s="19" t="n"/>
      <c r="K958" s="21" t="n"/>
      <c r="L958" s="22">
        <f>IF(OR(J958="",K958=""),"",J958*K958)</f>
        <v/>
      </c>
      <c r="M958" s="19" t="n"/>
      <c r="N958" s="20" t="n"/>
      <c r="O958" s="20" t="n"/>
    </row>
    <row r="959">
      <c r="A959" s="23" t="n">
        <v>956</v>
      </c>
      <c r="B959" s="23" t="inlineStr">
        <is>
          <t>2.2.1.9.112</t>
        </is>
      </c>
      <c r="C959" s="25" t="inlineStr">
        <is>
          <t>Part 2 – Technical Systems</t>
        </is>
      </c>
      <c r="D959" s="25" t="inlineStr">
        <is>
          <t>2.2 COMMON OPEARATIONAL PICTURE (COP)</t>
        </is>
      </c>
      <c r="E959" s="25" t="inlineStr">
        <is>
          <t>—</t>
        </is>
      </c>
      <c r="F959" s="25" t="inlineStr">
        <is>
          <t>The selection of map symbol, feature representations, overlays, labels, shapes, sizes, icons, colors, and legend shall accommodate cultural sensitivities of users.</t>
        </is>
      </c>
      <c r="G959" s="19" t="n"/>
      <c r="H959" s="20" t="n"/>
      <c r="I959" s="20" t="n"/>
      <c r="J959" s="19" t="n"/>
      <c r="K959" s="21" t="n"/>
      <c r="L959" s="22">
        <f>IF(OR(J959="",K959=""),"",J959*K959)</f>
        <v/>
      </c>
      <c r="M959" s="19" t="n"/>
      <c r="N959" s="20" t="n"/>
      <c r="O959" s="20" t="n"/>
    </row>
    <row r="960">
      <c r="A960" s="16" t="n">
        <v>957</v>
      </c>
      <c r="B960" s="17" t="inlineStr">
        <is>
          <t>2.3.1.1</t>
        </is>
      </c>
      <c r="C960" s="18" t="inlineStr">
        <is>
          <t>Part 2 – Technical Systems</t>
        </is>
      </c>
      <c r="D960" s="18" t="inlineStr">
        <is>
          <t>2.3 INCIDENT AND RESOURCE MANAGEMENT SYSTEM (IRMS)</t>
        </is>
      </c>
      <c r="E960" s="18" t="inlineStr">
        <is>
          <t>2.3.1 OVERVIEW AND FUNCTIONAL REQUIREMENTS</t>
        </is>
      </c>
      <c r="F960" s="18" t="inlineStr">
        <is>
          <t>The MOI requires that the OSS911 solution incorporate an integrated Incident and Resource Management System (IRMS) to enable the recording and management of all relevant information relating to reported incidents – from call receipt to call closure.</t>
        </is>
      </c>
      <c r="G960" s="19" t="n"/>
      <c r="H960" s="20" t="n"/>
      <c r="I960" s="20" t="n"/>
      <c r="J960" s="19" t="n"/>
      <c r="K960" s="21" t="n"/>
      <c r="L960" s="22">
        <f>IF(OR(J960="",K960=""),"",J960*K960)</f>
        <v/>
      </c>
      <c r="M960" s="19" t="n"/>
      <c r="N960" s="20" t="n"/>
      <c r="O960" s="20" t="n"/>
    </row>
    <row r="961">
      <c r="A961" s="23" t="n">
        <v>958</v>
      </c>
      <c r="B961" s="24" t="inlineStr">
        <is>
          <t>2.3.1.2</t>
        </is>
      </c>
      <c r="C961" s="25" t="inlineStr">
        <is>
          <t>Part 2 – Technical Systems</t>
        </is>
      </c>
      <c r="D961" s="25" t="inlineStr">
        <is>
          <t>2.3 INCIDENT AND RESOURCE MANAGEMENT SYSTEM (IRMS)</t>
        </is>
      </c>
      <c r="E961" s="25" t="inlineStr">
        <is>
          <t>2.3.1 OVERVIEW AND FUNCTIONAL REQUIREMENTS</t>
        </is>
      </c>
      <c r="F961" s="25" t="inlineStr">
        <is>
          <t>The BIDDER shall propose primarily “off-the-shelf’ IRMS software functionality, requiring the minimum number of modifications necessary in order to support necessary functions and interfaces.</t>
        </is>
      </c>
      <c r="G961" s="19" t="n"/>
      <c r="H961" s="20" t="n"/>
      <c r="I961" s="20" t="n"/>
      <c r="J961" s="19" t="n"/>
      <c r="K961" s="21" t="n"/>
      <c r="L961" s="22">
        <f>IF(OR(J961="",K961=""),"",J961*K961)</f>
        <v/>
      </c>
      <c r="M961" s="19" t="n"/>
      <c r="N961" s="20" t="n"/>
      <c r="O961" s="20" t="n"/>
    </row>
    <row r="962">
      <c r="A962" s="16" t="n">
        <v>959</v>
      </c>
      <c r="B962" s="17" t="inlineStr">
        <is>
          <t>2.3.1.3</t>
        </is>
      </c>
      <c r="C962" s="18" t="inlineStr">
        <is>
          <t>Part 2 – Technical Systems</t>
        </is>
      </c>
      <c r="D962" s="18" t="inlineStr">
        <is>
          <t>2.3 INCIDENT AND RESOURCE MANAGEMENT SYSTEM (IRMS)</t>
        </is>
      </c>
      <c r="E962" s="18" t="inlineStr">
        <is>
          <t>2.3.1 OVERVIEW AND FUNCTIONAL REQUIREMENTS</t>
        </is>
      </c>
      <c r="F962" s="18" t="inlineStr">
        <is>
          <t>The CONTRACTOR shall implement all requirements in this section with the understanding that:</t>
        </is>
      </c>
      <c r="G962" s="19" t="n"/>
      <c r="H962" s="20" t="n"/>
      <c r="I962" s="20" t="n"/>
      <c r="J962" s="19" t="n"/>
      <c r="K962" s="21" t="n"/>
      <c r="L962" s="22">
        <f>IF(OR(J962="",K962=""),"",J962*K962)</f>
        <v/>
      </c>
      <c r="M962" s="19" t="n"/>
      <c r="N962" s="20" t="n"/>
      <c r="O962" s="20" t="n"/>
    </row>
    <row r="963">
      <c r="A963" s="23" t="n">
        <v>960</v>
      </c>
      <c r="B963" s="23" t="inlineStr">
        <is>
          <t>2.3.1.3.1</t>
        </is>
      </c>
      <c r="C963" s="25" t="inlineStr">
        <is>
          <t>Part 2 – Technical Systems</t>
        </is>
      </c>
      <c r="D963" s="25" t="inlineStr">
        <is>
          <t>2.3 INCIDENT AND RESOURCE MANAGEMENT SYSTEM (IRMS)</t>
        </is>
      </c>
      <c r="E963" s="25" t="inlineStr">
        <is>
          <t>2.3.1 OVERVIEW AND FUNCTIONAL REQUIREMENTS</t>
        </is>
      </c>
      <c r="F963" s="25" t="inlineStr">
        <is>
          <t>Unless otherwise explicitly stated, the phrase “OSS911 center” refers to OSS911 centers in each of the provinces that are included in the scope of this contract.</t>
        </is>
      </c>
      <c r="G963" s="19" t="n"/>
      <c r="H963" s="20" t="n"/>
      <c r="I963" s="20" t="n"/>
      <c r="J963" s="19" t="n"/>
      <c r="K963" s="21" t="n"/>
      <c r="L963" s="22">
        <f>IF(OR(J963="",K963=""),"",J963*K963)</f>
        <v/>
      </c>
      <c r="M963" s="19" t="n"/>
      <c r="N963" s="20" t="n"/>
      <c r="O963" s="20" t="n"/>
    </row>
    <row r="964">
      <c r="A964" s="16" t="n">
        <v>961</v>
      </c>
      <c r="B964" s="16" t="inlineStr">
        <is>
          <t>2.3.1.3.2</t>
        </is>
      </c>
      <c r="C964" s="18" t="inlineStr">
        <is>
          <t>Part 2 – Technical Systems</t>
        </is>
      </c>
      <c r="D964" s="18" t="inlineStr">
        <is>
          <t>2.3 INCIDENT AND RESOURCE MANAGEMENT SYSTEM (IRMS)</t>
        </is>
      </c>
      <c r="E964" s="18" t="inlineStr">
        <is>
          <t>2.3.1 OVERVIEW AND FUNCTIONAL REQUIREMENTS</t>
        </is>
      </c>
      <c r="F964" s="18" t="inlineStr">
        <is>
          <t>Unless otherwise explicitly stated, the phrases “OSS911 solution” or “OSS911 systems” or “OSS911 subsystems” refer to all the OSS911 systems being delivered by the CONTRACTOR as part of this contract.</t>
        </is>
      </c>
      <c r="G964" s="19" t="n"/>
      <c r="H964" s="20" t="n"/>
      <c r="I964" s="20" t="n"/>
      <c r="J964" s="19" t="n"/>
      <c r="K964" s="21" t="n"/>
      <c r="L964" s="22">
        <f>IF(OR(J964="",K964=""),"",J964*K964)</f>
        <v/>
      </c>
      <c r="M964" s="19" t="n"/>
      <c r="N964" s="20" t="n"/>
      <c r="O964" s="20" t="n"/>
    </row>
    <row r="965">
      <c r="A965" s="23" t="n">
        <v>962</v>
      </c>
      <c r="B965" s="23" t="inlineStr">
        <is>
          <t>2.3.1.3.3</t>
        </is>
      </c>
      <c r="C965" s="25" t="inlineStr">
        <is>
          <t>Part 2 – Technical Systems</t>
        </is>
      </c>
      <c r="D965" s="25" t="inlineStr">
        <is>
          <t>2.3 INCIDENT AND RESOURCE MANAGEMENT SYSTEM (IRMS)</t>
        </is>
      </c>
      <c r="E965" s="25" t="inlineStr">
        <is>
          <t>2.3.1 OVERVIEW AND FUNCTIONAL REQUIREMENTS</t>
        </is>
      </c>
      <c r="F965" s="25" t="inlineStr">
        <is>
          <t>Unless otherwise explicitly stated, the word “data” in this document includes all types of data including voice, text, video and SMS.</t>
        </is>
      </c>
      <c r="G965" s="19" t="n"/>
      <c r="H965" s="20" t="n"/>
      <c r="I965" s="20" t="n"/>
      <c r="J965" s="19" t="n"/>
      <c r="K965" s="21" t="n"/>
      <c r="L965" s="22">
        <f>IF(OR(J965="",K965=""),"",J965*K965)</f>
        <v/>
      </c>
      <c r="M965" s="19" t="n"/>
      <c r="N965" s="20" t="n"/>
      <c r="O965" s="20" t="n"/>
    </row>
    <row r="966">
      <c r="A966" s="16" t="n">
        <v>963</v>
      </c>
      <c r="B966" s="17" t="inlineStr">
        <is>
          <t>2.3.1.4</t>
        </is>
      </c>
      <c r="C966" s="18" t="inlineStr">
        <is>
          <t>Part 2 – Technical Systems</t>
        </is>
      </c>
      <c r="D966" s="18" t="inlineStr">
        <is>
          <t>2.3 INCIDENT AND RESOURCE MANAGEMENT SYSTEM (IRMS)</t>
        </is>
      </c>
      <c r="E966" s="18" t="inlineStr">
        <is>
          <t>2.3.1 OVERVIEW AND FUNCTIONAL REQUIREMENTS</t>
        </is>
      </c>
      <c r="F966" s="18" t="inlineStr">
        <is>
          <t>The CONTRACTOR shall deliver all the requirements of this section that are fully compliant to the concept of operations requirements stated in this RFP.</t>
        </is>
      </c>
      <c r="G966" s="19" t="n"/>
      <c r="H966" s="20" t="n"/>
      <c r="I966" s="20" t="n"/>
      <c r="J966" s="19" t="n"/>
      <c r="K966" s="21" t="n"/>
      <c r="L966" s="22">
        <f>IF(OR(J966="",K966=""),"",J966*K966)</f>
        <v/>
      </c>
      <c r="M966" s="19" t="n"/>
      <c r="N966" s="20" t="n"/>
      <c r="O966" s="20" t="n"/>
    </row>
    <row r="967">
      <c r="A967" s="23" t="n">
        <v>964</v>
      </c>
      <c r="B967" s="24" t="inlineStr">
        <is>
          <t>2.3.1.5</t>
        </is>
      </c>
      <c r="C967" s="25" t="inlineStr">
        <is>
          <t>Part 2 – Technical Systems</t>
        </is>
      </c>
      <c r="D967" s="25" t="inlineStr">
        <is>
          <t>2.3 INCIDENT AND RESOURCE MANAGEMENT SYSTEM (IRMS)</t>
        </is>
      </c>
      <c r="E967" s="25" t="inlineStr">
        <is>
          <t>2.3.1 OVERVIEW AND FUNCTIONAL REQUIREMENTS</t>
        </is>
      </c>
      <c r="F967" s="25" t="inlineStr">
        <is>
          <t>The CONTRACTOR shall deliver a smart and AI-powered IRMS solution delivering IRMS capabilities for OSS911 use.</t>
        </is>
      </c>
      <c r="G967" s="19" t="n"/>
      <c r="H967" s="20" t="n"/>
      <c r="I967" s="20" t="n"/>
      <c r="J967" s="19" t="n"/>
      <c r="K967" s="21" t="n"/>
      <c r="L967" s="22">
        <f>IF(OR(J967="",K967=""),"",J967*K967)</f>
        <v/>
      </c>
      <c r="M967" s="19" t="n"/>
      <c r="N967" s="20" t="n"/>
      <c r="O967" s="20" t="n"/>
    </row>
    <row r="968">
      <c r="A968" s="16" t="n">
        <v>965</v>
      </c>
      <c r="B968" s="17" t="inlineStr">
        <is>
          <t>2.3.1.6</t>
        </is>
      </c>
      <c r="C968" s="18" t="inlineStr">
        <is>
          <t>Part 2 – Technical Systems</t>
        </is>
      </c>
      <c r="D968" s="18" t="inlineStr">
        <is>
          <t>2.3 INCIDENT AND RESOURCE MANAGEMENT SYSTEM (IRMS)</t>
        </is>
      </c>
      <c r="E968" s="18" t="inlineStr">
        <is>
          <t>2.3.1 OVERVIEW AND FUNCTIONAL REQUIREMENTS</t>
        </is>
      </c>
      <c r="F968" s="18" t="inlineStr">
        <is>
          <t>The IRMS software shall be such that it makes no distinction between different positions – call taker, dispatch. Appropriate user controls and interface shall be provided based on the privileges at the login.</t>
        </is>
      </c>
      <c r="G968" s="19" t="n"/>
      <c r="H968" s="20" t="n"/>
      <c r="I968" s="20" t="n"/>
      <c r="J968" s="19" t="n"/>
      <c r="K968" s="21" t="n"/>
      <c r="L968" s="22">
        <f>IF(OR(J968="",K968=""),"",J968*K968)</f>
        <v/>
      </c>
      <c r="M968" s="19" t="n"/>
      <c r="N968" s="20" t="n"/>
      <c r="O968" s="20" t="n"/>
    </row>
    <row r="969">
      <c r="A969" s="23" t="n">
        <v>966</v>
      </c>
      <c r="B969" s="24" t="inlineStr">
        <is>
          <t>2.3.1.7</t>
        </is>
      </c>
      <c r="C969" s="25" t="inlineStr">
        <is>
          <t>Part 2 – Technical Systems</t>
        </is>
      </c>
      <c r="D969" s="25" t="inlineStr">
        <is>
          <t>2.3 INCIDENT AND RESOURCE MANAGEMENT SYSTEM (IRMS)</t>
        </is>
      </c>
      <c r="E969" s="25" t="inlineStr">
        <is>
          <t>2.3.1 OVERVIEW AND FUNCTIONAL REQUIREMENTS</t>
        </is>
      </c>
      <c r="F969" s="25" t="inlineStr">
        <is>
          <t>The IRMS shall be deployed within the OSS911 Center and shall also be available to mobile users.</t>
        </is>
      </c>
      <c r="G969" s="19" t="n"/>
      <c r="H969" s="20" t="n"/>
      <c r="I969" s="20" t="n"/>
      <c r="J969" s="19" t="n"/>
      <c r="K969" s="21" t="n"/>
      <c r="L969" s="22">
        <f>IF(OR(J969="",K969=""),"",J969*K969)</f>
        <v/>
      </c>
      <c r="M969" s="19" t="n"/>
      <c r="N969" s="20" t="n"/>
      <c r="O969" s="20" t="n"/>
    </row>
    <row r="970">
      <c r="A970" s="16" t="n">
        <v>967</v>
      </c>
      <c r="B970" s="17" t="inlineStr">
        <is>
          <t>2.3.1.8</t>
        </is>
      </c>
      <c r="C970" s="18" t="inlineStr">
        <is>
          <t>Part 2 – Technical Systems</t>
        </is>
      </c>
      <c r="D970" s="18" t="inlineStr">
        <is>
          <t>2.3 INCIDENT AND RESOURCE MANAGEMENT SYSTEM (IRMS)</t>
        </is>
      </c>
      <c r="E970" s="18" t="inlineStr">
        <is>
          <t>2.3.1 OVERVIEW AND FUNCTIONAL REQUIREMENTS</t>
        </is>
      </c>
      <c r="F970" s="18" t="inlineStr">
        <is>
          <t>Field users shall be able to access information in, and interact in a bidirectional way with, the IRMS via the IRMS integration with MOI field systems / platform / apps.</t>
        </is>
      </c>
      <c r="G970" s="19" t="n"/>
      <c r="H970" s="20" t="n"/>
      <c r="I970" s="20" t="n"/>
      <c r="J970" s="19" t="n"/>
      <c r="K970" s="21" t="n"/>
      <c r="L970" s="22">
        <f>IF(OR(J970="",K970=""),"",J970*K970)</f>
        <v/>
      </c>
      <c r="M970" s="19" t="n"/>
      <c r="N970" s="20" t="n"/>
      <c r="O970" s="20" t="n"/>
    </row>
    <row r="971">
      <c r="A971" s="23" t="n">
        <v>968</v>
      </c>
      <c r="B971" s="24" t="inlineStr">
        <is>
          <t>2.3.1.9</t>
        </is>
      </c>
      <c r="C971" s="25" t="inlineStr">
        <is>
          <t>Part 2 – Technical Systems</t>
        </is>
      </c>
      <c r="D971" s="25" t="inlineStr">
        <is>
          <t>2.3 INCIDENT AND RESOURCE MANAGEMENT SYSTEM (IRMS)</t>
        </is>
      </c>
      <c r="E971" s="25" t="inlineStr">
        <is>
          <t>2.3.1 OVERVIEW AND FUNCTIONAL REQUIREMENTS</t>
        </is>
      </c>
      <c r="F971" s="25" t="inlineStr">
        <is>
          <t>The CONTRACTOR shall deliver an IRMS that shall be based on open architecture and shall provide an Application Programming Interface (API) for third parties to connect to and establish integration with the IRMS functions.</t>
        </is>
      </c>
      <c r="G971" s="19" t="n"/>
      <c r="H971" s="20" t="n"/>
      <c r="I971" s="20" t="n"/>
      <c r="J971" s="19" t="n"/>
      <c r="K971" s="21" t="n"/>
      <c r="L971" s="22">
        <f>IF(OR(J971="",K971=""),"",J971*K971)</f>
        <v/>
      </c>
      <c r="M971" s="19" t="n"/>
      <c r="N971" s="20" t="n"/>
      <c r="O971" s="20" t="n"/>
    </row>
    <row r="972">
      <c r="A972" s="16" t="n">
        <v>969</v>
      </c>
      <c r="B972" s="17" t="inlineStr">
        <is>
          <t>2.3.1.10</t>
        </is>
      </c>
      <c r="C972" s="18" t="inlineStr">
        <is>
          <t>Part 2 – Technical Systems</t>
        </is>
      </c>
      <c r="D972" s="18" t="inlineStr">
        <is>
          <t>2.3 INCIDENT AND RESOURCE MANAGEMENT SYSTEM (IRMS)</t>
        </is>
      </c>
      <c r="E972" s="18" t="inlineStr">
        <is>
          <t>2.3.1 OVERVIEW AND FUNCTIONAL REQUIREMENTS</t>
        </is>
      </c>
      <c r="F972" s="18" t="inlineStr">
        <is>
          <t>The IRMS shall automatically send a query to NIC and MOI databases for registration and wants and warrants checks when a license plate and/or person’s name is entered.</t>
        </is>
      </c>
      <c r="G972" s="19" t="n"/>
      <c r="H972" s="20" t="n"/>
      <c r="I972" s="20" t="n"/>
      <c r="J972" s="19" t="n"/>
      <c r="K972" s="21" t="n"/>
      <c r="L972" s="22">
        <f>IF(OR(J972="",K972=""),"",J972*K972)</f>
        <v/>
      </c>
      <c r="M972" s="19" t="n"/>
      <c r="N972" s="20" t="n"/>
      <c r="O972" s="20" t="n"/>
    </row>
    <row r="973">
      <c r="A973" s="23" t="n">
        <v>970</v>
      </c>
      <c r="B973" s="24" t="inlineStr">
        <is>
          <t>2.3.1.11</t>
        </is>
      </c>
      <c r="C973" s="25" t="inlineStr">
        <is>
          <t>Part 2 – Technical Systems</t>
        </is>
      </c>
      <c r="D973" s="25" t="inlineStr">
        <is>
          <t>2.3 INCIDENT AND RESOURCE MANAGEMENT SYSTEM (IRMS)</t>
        </is>
      </c>
      <c r="E973" s="25" t="inlineStr">
        <is>
          <t>2.3.1 OVERVIEW AND FUNCTIONAL REQUIREMENTS</t>
        </is>
      </c>
      <c r="F973" s="25" t="inlineStr">
        <is>
          <t>A typical IRMS operator and supervisor shall be configured to utilize two display monitors – one for the incident details display and management, and another for the map display.</t>
        </is>
      </c>
      <c r="G973" s="19" t="n"/>
      <c r="H973" s="20" t="n"/>
      <c r="I973" s="20" t="n"/>
      <c r="J973" s="19" t="n"/>
      <c r="K973" s="21" t="n"/>
      <c r="L973" s="22">
        <f>IF(OR(J973="",K973=""),"",J973*K973)</f>
        <v/>
      </c>
      <c r="M973" s="19" t="n"/>
      <c r="N973" s="20" t="n"/>
      <c r="O973" s="20" t="n"/>
    </row>
    <row r="974">
      <c r="A974" s="16" t="n">
        <v>971</v>
      </c>
      <c r="B974" s="17" t="inlineStr">
        <is>
          <t>2.3.1.12</t>
        </is>
      </c>
      <c r="C974" s="18" t="inlineStr">
        <is>
          <t>Part 2 – Technical Systems</t>
        </is>
      </c>
      <c r="D974" s="18" t="inlineStr">
        <is>
          <t>2.3 INCIDENT AND RESOURCE MANAGEMENT SYSTEM (IRMS)</t>
        </is>
      </c>
      <c r="E974" s="18" t="inlineStr">
        <is>
          <t>2.3.1 OVERVIEW AND FUNCTIONAL REQUIREMENTS</t>
        </is>
      </c>
      <c r="F974" s="18" t="inlineStr">
        <is>
          <t>The IRMS shall have a capability to be able to receive and disperse emergency calls and incidents information embedded in the OSS911 solution and also using SMS.</t>
        </is>
      </c>
      <c r="G974" s="19" t="n"/>
      <c r="H974" s="20" t="n"/>
      <c r="I974" s="20" t="n"/>
      <c r="J974" s="19" t="n"/>
      <c r="K974" s="21" t="n"/>
      <c r="L974" s="22">
        <f>IF(OR(J974="",K974=""),"",J974*K974)</f>
        <v/>
      </c>
      <c r="M974" s="19" t="n"/>
      <c r="N974" s="20" t="n"/>
      <c r="O974" s="20" t="n"/>
    </row>
    <row r="975">
      <c r="A975" s="23" t="n">
        <v>972</v>
      </c>
      <c r="B975" s="24" t="inlineStr">
        <is>
          <t>2.3.1.13</t>
        </is>
      </c>
      <c r="C975" s="25" t="inlineStr">
        <is>
          <t>Part 2 – Technical Systems</t>
        </is>
      </c>
      <c r="D975" s="25" t="inlineStr">
        <is>
          <t>2.3 INCIDENT AND RESOURCE MANAGEMENT SYSTEM (IRMS)</t>
        </is>
      </c>
      <c r="E975" s="25" t="inlineStr">
        <is>
          <t>2.3.1 OVERVIEW AND FUNCTIONAL REQUIREMENTS</t>
        </is>
      </c>
      <c r="F975" s="25" t="inlineStr">
        <is>
          <t>The CONTRACTOR shall include a solution for an SMS to be automatically sent from the IRMS to nominated officials based on incident details as part of incident-based alerting. For example, once a particular incident type / particular incident severity / particular incident detail is entered / selected by call taker and/or dispatcher, then an SMS shall be sent automatically to nominated officials.</t>
        </is>
      </c>
      <c r="G975" s="19" t="n"/>
      <c r="H975" s="20" t="n"/>
      <c r="I975" s="20" t="n"/>
      <c r="J975" s="19" t="n"/>
      <c r="K975" s="21" t="n"/>
      <c r="L975" s="22">
        <f>IF(OR(J975="",K975=""),"",J975*K975)</f>
        <v/>
      </c>
      <c r="M975" s="19" t="n"/>
      <c r="N975" s="20" t="n"/>
      <c r="O975" s="20" t="n"/>
    </row>
    <row r="976">
      <c r="A976" s="16" t="n">
        <v>973</v>
      </c>
      <c r="B976" s="17" t="inlineStr">
        <is>
          <t>2.3.1.14</t>
        </is>
      </c>
      <c r="C976" s="18" t="inlineStr">
        <is>
          <t>Part 2 – Technical Systems</t>
        </is>
      </c>
      <c r="D976" s="18" t="inlineStr">
        <is>
          <t>2.3 INCIDENT AND RESOURCE MANAGEMENT SYSTEM (IRMS)</t>
        </is>
      </c>
      <c r="E976" s="18" t="inlineStr">
        <is>
          <t>2.3.1 OVERVIEW AND FUNCTIONAL REQUIREMENTS</t>
        </is>
      </c>
      <c r="F976" s="18" t="inlineStr">
        <is>
          <t>The IRMS shall include an SMS solution for authorized OSS911 staff (call takers, dispatchers, supervisors etc.) to update the callers periodically and/or arbitrarily, about the status of their emergency calls that have been registered in the IRMS with an incident ID.</t>
        </is>
      </c>
      <c r="G976" s="19" t="n"/>
      <c r="H976" s="20" t="n"/>
      <c r="I976" s="20" t="n"/>
      <c r="J976" s="19" t="n"/>
      <c r="K976" s="21" t="n"/>
      <c r="L976" s="22">
        <f>IF(OR(J976="",K976=""),"",J976*K976)</f>
        <v/>
      </c>
      <c r="M976" s="19" t="n"/>
      <c r="N976" s="20" t="n"/>
      <c r="O976" s="20" t="n"/>
    </row>
    <row r="977">
      <c r="A977" s="23" t="n">
        <v>974</v>
      </c>
      <c r="B977" s="24" t="inlineStr">
        <is>
          <t>2.3.1.15</t>
        </is>
      </c>
      <c r="C977" s="25" t="inlineStr">
        <is>
          <t>Part 2 – Technical Systems</t>
        </is>
      </c>
      <c r="D977" s="25" t="inlineStr">
        <is>
          <t>2.3 INCIDENT AND RESOURCE MANAGEMENT SYSTEM (IRMS)</t>
        </is>
      </c>
      <c r="E977" s="25" t="inlineStr">
        <is>
          <t>2.3.1 OVERVIEW AND FUNCTIONAL REQUIREMENTS</t>
        </is>
      </c>
      <c r="F977" s="25" t="inlineStr">
        <is>
          <t>The IRMS-SMS solution shall include capability to deliver regular status updates to callers at an MOI approved frequency.</t>
        </is>
      </c>
      <c r="G977" s="19" t="n"/>
      <c r="H977" s="20" t="n"/>
      <c r="I977" s="20" t="n"/>
      <c r="J977" s="19" t="n"/>
      <c r="K977" s="21" t="n"/>
      <c r="L977" s="22">
        <f>IF(OR(J977="",K977=""),"",J977*K977)</f>
        <v/>
      </c>
      <c r="M977" s="19" t="n"/>
      <c r="N977" s="20" t="n"/>
      <c r="O977" s="20" t="n"/>
    </row>
    <row r="978">
      <c r="A978" s="16" t="n">
        <v>975</v>
      </c>
      <c r="B978" s="17" t="inlineStr">
        <is>
          <t>2.3.1.16</t>
        </is>
      </c>
      <c r="C978" s="18" t="inlineStr">
        <is>
          <t>Part 2 – Technical Systems</t>
        </is>
      </c>
      <c r="D978" s="18" t="inlineStr">
        <is>
          <t>2.3 INCIDENT AND RESOURCE MANAGEMENT SYSTEM (IRMS)</t>
        </is>
      </c>
      <c r="E978" s="18" t="inlineStr">
        <is>
          <t>2.3.1 OVERVIEW AND FUNCTIONAL REQUIREMENTS</t>
        </is>
      </c>
      <c r="F978" s="18" t="inlineStr">
        <is>
          <t>The IRMS-SMS solution shall include capability to deliver an SMS- based customer satisfaction check service with the caller(s) once an incident is resolved.</t>
        </is>
      </c>
      <c r="G978" s="19" t="n"/>
      <c r="H978" s="20" t="n"/>
      <c r="I978" s="20" t="n"/>
      <c r="J978" s="19" t="n"/>
      <c r="K978" s="21" t="n"/>
      <c r="L978" s="22">
        <f>IF(OR(J978="",K978=""),"",J978*K978)</f>
        <v/>
      </c>
      <c r="M978" s="19" t="n"/>
      <c r="N978" s="20" t="n"/>
      <c r="O978" s="20" t="n"/>
    </row>
    <row r="979">
      <c r="A979" s="23" t="n">
        <v>976</v>
      </c>
      <c r="B979" s="24" t="inlineStr">
        <is>
          <t>2.3.1.17</t>
        </is>
      </c>
      <c r="C979" s="25" t="inlineStr">
        <is>
          <t>Part 2 – Technical Systems</t>
        </is>
      </c>
      <c r="D979" s="25" t="inlineStr">
        <is>
          <t>2.3 INCIDENT AND RESOURCE MANAGEMENT SYSTEM (IRMS)</t>
        </is>
      </c>
      <c r="E979" s="25" t="inlineStr">
        <is>
          <t>2.3.1 OVERVIEW AND FUNCTIONAL REQUIREMENTS</t>
        </is>
      </c>
      <c r="F979" s="25" t="inlineStr">
        <is>
          <t>The CONTRACTOR shall deliver operator status SMS-based alerts through IRMS solution with all calculations needs to be done per shift and with the capability to define the thresholds to have a default value per shift with the ability for authorized personnel to be able to change them along with the required reporting. Such alerts include the following but not limited to:</t>
        </is>
      </c>
      <c r="G979" s="19" t="n"/>
      <c r="H979" s="20" t="n"/>
      <c r="I979" s="20" t="n"/>
      <c r="J979" s="19" t="n"/>
      <c r="K979" s="21" t="n"/>
      <c r="L979" s="22">
        <f>IF(OR(J979="",K979=""),"",J979*K979)</f>
        <v/>
      </c>
      <c r="M979" s="19" t="n"/>
      <c r="N979" s="20" t="n"/>
      <c r="O979" s="20" t="n"/>
    </row>
    <row r="980">
      <c r="A980" s="16" t="n">
        <v>977</v>
      </c>
      <c r="B980" s="16" t="inlineStr">
        <is>
          <t>2.3.1.17.1</t>
        </is>
      </c>
      <c r="C980" s="18" t="inlineStr">
        <is>
          <t>Part 2 – Technical Systems</t>
        </is>
      </c>
      <c r="D980" s="18" t="inlineStr">
        <is>
          <t>2.3 INCIDENT AND RESOURCE MANAGEMENT SYSTEM (IRMS)</t>
        </is>
      </c>
      <c r="E980" s="18" t="inlineStr">
        <is>
          <t>2.3.1 OVERVIEW AND FUNCTIONAL REQUIREMENTS</t>
        </is>
      </c>
      <c r="F980" s="18" t="inlineStr">
        <is>
          <t>Number of operators available / busy at any time.</t>
        </is>
      </c>
      <c r="G980" s="19" t="n"/>
      <c r="H980" s="20" t="n"/>
      <c r="I980" s="20" t="n"/>
      <c r="J980" s="19" t="n"/>
      <c r="K980" s="21" t="n"/>
      <c r="L980" s="22">
        <f>IF(OR(J980="",K980=""),"",J980*K980)</f>
        <v/>
      </c>
      <c r="M980" s="19" t="n"/>
      <c r="N980" s="20" t="n"/>
      <c r="O980" s="20" t="n"/>
    </row>
    <row r="981">
      <c r="A981" s="23" t="n">
        <v>978</v>
      </c>
      <c r="B981" s="23" t="inlineStr">
        <is>
          <t>2.3.1.17.2</t>
        </is>
      </c>
      <c r="C981" s="25" t="inlineStr">
        <is>
          <t>Part 2 – Technical Systems</t>
        </is>
      </c>
      <c r="D981" s="25" t="inlineStr">
        <is>
          <t>2.3 INCIDENT AND RESOURCE MANAGEMENT SYSTEM (IRMS)</t>
        </is>
      </c>
      <c r="E981" s="25" t="inlineStr">
        <is>
          <t>2.3.1 OVERVIEW AND FUNCTIONAL REQUIREMENTS</t>
        </is>
      </c>
      <c r="F981" s="25" t="inlineStr">
        <is>
          <t>Send SMS if number of Idle operators is less a threshold</t>
        </is>
      </c>
      <c r="G981" s="19" t="n"/>
      <c r="H981" s="20" t="n"/>
      <c r="I981" s="20" t="n"/>
      <c r="J981" s="19" t="n"/>
      <c r="K981" s="21" t="n"/>
      <c r="L981" s="22">
        <f>IF(OR(J981="",K981=""),"",J981*K981)</f>
        <v/>
      </c>
      <c r="M981" s="19" t="n"/>
      <c r="N981" s="20" t="n"/>
      <c r="O981" s="20" t="n"/>
    </row>
    <row r="982">
      <c r="A982" s="16" t="n">
        <v>979</v>
      </c>
      <c r="B982" s="16" t="inlineStr">
        <is>
          <t>2.3.1.17.3</t>
        </is>
      </c>
      <c r="C982" s="18" t="inlineStr">
        <is>
          <t>Part 2 – Technical Systems</t>
        </is>
      </c>
      <c r="D982" s="18" t="inlineStr">
        <is>
          <t>2.3 INCIDENT AND RESOURCE MANAGEMENT SYSTEM (IRMS)</t>
        </is>
      </c>
      <c r="E982" s="18" t="inlineStr">
        <is>
          <t>2.3.1 OVERVIEW AND FUNCTIONAL REQUIREMENTS</t>
        </is>
      </c>
      <c r="F982" s="18" t="inlineStr">
        <is>
          <t>Send SMS if number of busy operators (Status in Rest ) is greater than threshold</t>
        </is>
      </c>
      <c r="G982" s="19" t="n"/>
      <c r="H982" s="20" t="n"/>
      <c r="I982" s="20" t="n"/>
      <c r="J982" s="19" t="n"/>
      <c r="K982" s="21" t="n"/>
      <c r="L982" s="22">
        <f>IF(OR(J982="",K982=""),"",J982*K982)</f>
        <v/>
      </c>
      <c r="M982" s="19" t="n"/>
      <c r="N982" s="20" t="n"/>
      <c r="O982" s="20" t="n"/>
    </row>
    <row r="983">
      <c r="A983" s="23" t="n">
        <v>980</v>
      </c>
      <c r="B983" s="23" t="inlineStr">
        <is>
          <t>2.3.1.17.4</t>
        </is>
      </c>
      <c r="C983" s="25" t="inlineStr">
        <is>
          <t>Part 2 – Technical Systems</t>
        </is>
      </c>
      <c r="D983" s="25" t="inlineStr">
        <is>
          <t>2.3 INCIDENT AND RESOURCE MANAGEMENT SYSTEM (IRMS)</t>
        </is>
      </c>
      <c r="E983" s="25" t="inlineStr">
        <is>
          <t>2.3.1 OVERVIEW AND FUNCTIONAL REQUIREMENTS</t>
        </is>
      </c>
      <c r="F983" s="25" t="inlineStr">
        <is>
          <t>Operator availability/busy time in a time period (example: in a shift).</t>
        </is>
      </c>
      <c r="G983" s="19" t="n"/>
      <c r="H983" s="20" t="n"/>
      <c r="I983" s="20" t="n"/>
      <c r="J983" s="19" t="n"/>
      <c r="K983" s="21" t="n"/>
      <c r="L983" s="22">
        <f>IF(OR(J983="",K983=""),"",J983*K983)</f>
        <v/>
      </c>
      <c r="M983" s="19" t="n"/>
      <c r="N983" s="20" t="n"/>
      <c r="O983" s="20" t="n"/>
    </row>
    <row r="984">
      <c r="A984" s="16" t="n">
        <v>981</v>
      </c>
      <c r="B984" s="16" t="inlineStr">
        <is>
          <t>2.3.1.17.5</t>
        </is>
      </c>
      <c r="C984" s="18" t="inlineStr">
        <is>
          <t>Part 2 – Technical Systems</t>
        </is>
      </c>
      <c r="D984" s="18" t="inlineStr">
        <is>
          <t>2.3 INCIDENT AND RESOURCE MANAGEMENT SYSTEM (IRMS)</t>
        </is>
      </c>
      <c r="E984" s="18" t="inlineStr">
        <is>
          <t>2.3.1 OVERVIEW AND FUNCTIONAL REQUIREMENTS</t>
        </is>
      </c>
      <c r="F984" s="18" t="inlineStr">
        <is>
          <t>Send a message When the Call taker reaches the Defined Rest (Busy) limit</t>
        </is>
      </c>
      <c r="G984" s="19" t="n"/>
      <c r="H984" s="20" t="n"/>
      <c r="I984" s="20" t="n"/>
      <c r="J984" s="19" t="n"/>
      <c r="K984" s="21" t="n"/>
      <c r="L984" s="22">
        <f>IF(OR(J984="",K984=""),"",J984*K984)</f>
        <v/>
      </c>
      <c r="M984" s="19" t="n"/>
      <c r="N984" s="20" t="n"/>
      <c r="O984" s="20" t="n"/>
    </row>
    <row r="985">
      <c r="A985" s="23" t="n">
        <v>982</v>
      </c>
      <c r="B985" s="23" t="inlineStr">
        <is>
          <t>2.3.1.17.6</t>
        </is>
      </c>
      <c r="C985" s="25" t="inlineStr">
        <is>
          <t>Part 2 – Technical Systems</t>
        </is>
      </c>
      <c r="D985" s="25" t="inlineStr">
        <is>
          <t>2.3 INCIDENT AND RESOURCE MANAGEMENT SYSTEM (IRMS)</t>
        </is>
      </c>
      <c r="E985" s="25" t="inlineStr">
        <is>
          <t>2.3.1 OVERVIEW AND FUNCTIONAL REQUIREMENTS</t>
        </is>
      </c>
      <c r="F985" s="25" t="inlineStr">
        <is>
          <t>Send a message when call taker is being Idle for more the threshold time</t>
        </is>
      </c>
      <c r="G985" s="19" t="n"/>
      <c r="H985" s="20" t="n"/>
      <c r="I985" s="20" t="n"/>
      <c r="J985" s="19" t="n"/>
      <c r="K985" s="21" t="n"/>
      <c r="L985" s="22">
        <f>IF(OR(J985="",K985=""),"",J985*K985)</f>
        <v/>
      </c>
      <c r="M985" s="19" t="n"/>
      <c r="N985" s="20" t="n"/>
      <c r="O985" s="20" t="n"/>
    </row>
    <row r="986">
      <c r="A986" s="16" t="n">
        <v>983</v>
      </c>
      <c r="B986" s="16" t="inlineStr">
        <is>
          <t>2.3.1.17.7</t>
        </is>
      </c>
      <c r="C986" s="18" t="inlineStr">
        <is>
          <t>Part 2 – Technical Systems</t>
        </is>
      </c>
      <c r="D986" s="18" t="inlineStr">
        <is>
          <t>2.3 INCIDENT AND RESOURCE MANAGEMENT SYSTEM (IRMS)</t>
        </is>
      </c>
      <c r="E986" s="18" t="inlineStr">
        <is>
          <t>2.3.1 OVERVIEW AND FUNCTIONAL REQUIREMENTS</t>
        </is>
      </c>
      <c r="F986" s="18" t="inlineStr">
        <is>
          <t>Number of calls in the queues waiting more than a time period (example: 10 seconds).</t>
        </is>
      </c>
      <c r="G986" s="19" t="n"/>
      <c r="H986" s="20" t="n"/>
      <c r="I986" s="20" t="n"/>
      <c r="J986" s="19" t="n"/>
      <c r="K986" s="21" t="n"/>
      <c r="L986" s="22">
        <f>IF(OR(J986="",K986=""),"",J986*K986)</f>
        <v/>
      </c>
      <c r="M986" s="19" t="n"/>
      <c r="N986" s="20" t="n"/>
      <c r="O986" s="20" t="n"/>
    </row>
    <row r="987">
      <c r="A987" s="23" t="n">
        <v>984</v>
      </c>
      <c r="B987" s="23" t="inlineStr">
        <is>
          <t>2.3.1.17.8</t>
        </is>
      </c>
      <c r="C987" s="25" t="inlineStr">
        <is>
          <t>Part 2 – Technical Systems</t>
        </is>
      </c>
      <c r="D987" s="25" t="inlineStr">
        <is>
          <t>2.3 INCIDENT AND RESOURCE MANAGEMENT SYSTEM (IRMS)</t>
        </is>
      </c>
      <c r="E987" s="25" t="inlineStr">
        <is>
          <t>2.3.1 OVERVIEW AND FUNCTIONAL REQUIREMENTS</t>
        </is>
      </c>
      <c r="F987" s="25" t="inlineStr">
        <is>
          <t>Send SMS if Certain Number of Calls X is waiting in the Y Queue for a period of Z Seconds</t>
        </is>
      </c>
      <c r="G987" s="19" t="n"/>
      <c r="H987" s="20" t="n"/>
      <c r="I987" s="20" t="n"/>
      <c r="J987" s="19" t="n"/>
      <c r="K987" s="21" t="n"/>
      <c r="L987" s="22">
        <f>IF(OR(J987="",K987=""),"",J987*K987)</f>
        <v/>
      </c>
      <c r="M987" s="19" t="n"/>
      <c r="N987" s="20" t="n"/>
      <c r="O987" s="20" t="n"/>
    </row>
    <row r="988">
      <c r="A988" s="16" t="n">
        <v>985</v>
      </c>
      <c r="B988" s="16" t="inlineStr">
        <is>
          <t>2.3.1.17.9</t>
        </is>
      </c>
      <c r="C988" s="18" t="inlineStr">
        <is>
          <t>Part 2 – Technical Systems</t>
        </is>
      </c>
      <c r="D988" s="18" t="inlineStr">
        <is>
          <t>2.3 INCIDENT AND RESOURCE MANAGEMENT SYSTEM (IRMS)</t>
        </is>
      </c>
      <c r="E988" s="18" t="inlineStr">
        <is>
          <t>2.3.1 OVERVIEW AND FUNCTIONAL REQUIREMENTS</t>
        </is>
      </c>
      <c r="F988" s="18" t="inlineStr">
        <is>
          <t>Number of dropped calls greater than a threshold/time period.</t>
        </is>
      </c>
      <c r="G988" s="19" t="n"/>
      <c r="H988" s="20" t="n"/>
      <c r="I988" s="20" t="n"/>
      <c r="J988" s="19" t="n"/>
      <c r="K988" s="21" t="n"/>
      <c r="L988" s="22">
        <f>IF(OR(J988="",K988=""),"",J988*K988)</f>
        <v/>
      </c>
      <c r="M988" s="19" t="n"/>
      <c r="N988" s="20" t="n"/>
      <c r="O988" s="20" t="n"/>
    </row>
    <row r="989">
      <c r="A989" s="23" t="n">
        <v>986</v>
      </c>
      <c r="B989" s="23" t="inlineStr">
        <is>
          <t>2.3.1.17.10</t>
        </is>
      </c>
      <c r="C989" s="25" t="inlineStr">
        <is>
          <t>Part 2 – Technical Systems</t>
        </is>
      </c>
      <c r="D989" s="25" t="inlineStr">
        <is>
          <t>2.3 INCIDENT AND RESOURCE MANAGEMENT SYSTEM (IRMS)</t>
        </is>
      </c>
      <c r="E989" s="25" t="inlineStr">
        <is>
          <t>2.3.1 OVERVIEW AND FUNCTIONAL REQUIREMENTS</t>
        </is>
      </c>
      <c r="F989" s="25" t="inlineStr">
        <is>
          <t>Non-receipt of any new emergency calls on the floor greater than X minutes (this will likely indicate to operations management a SIP failure or backend failure or campus network failure, thus requiring immediate attention and possible mitigations).</t>
        </is>
      </c>
      <c r="G989" s="19" t="n"/>
      <c r="H989" s="20" t="n"/>
      <c r="I989" s="20" t="n"/>
      <c r="J989" s="19" t="n"/>
      <c r="K989" s="21" t="n"/>
      <c r="L989" s="22">
        <f>IF(OR(J989="",K989=""),"",J989*K989)</f>
        <v/>
      </c>
      <c r="M989" s="19" t="n"/>
      <c r="N989" s="20" t="n"/>
      <c r="O989" s="20" t="n"/>
    </row>
    <row r="990">
      <c r="A990" s="16" t="n">
        <v>987</v>
      </c>
      <c r="B990" s="17" t="inlineStr">
        <is>
          <t>2.3.1.18</t>
        </is>
      </c>
      <c r="C990" s="18" t="inlineStr">
        <is>
          <t>Part 2 – Technical Systems</t>
        </is>
      </c>
      <c r="D990" s="18" t="inlineStr">
        <is>
          <t>2.3 INCIDENT AND RESOURCE MANAGEMENT SYSTEM (IRMS)</t>
        </is>
      </c>
      <c r="E990" s="18" t="inlineStr">
        <is>
          <t>2.3.1 OVERVIEW AND FUNCTIONAL REQUIREMENTS</t>
        </is>
      </c>
      <c r="F990" s="18" t="inlineStr">
        <is>
          <t>The CONTRACTOR shall include the in the central OSS911 database repository all interactions with SMS including the necessary associations with the related incidents to be thus treated as part of the incident record.</t>
        </is>
      </c>
      <c r="G990" s="19" t="n"/>
      <c r="H990" s="20" t="n"/>
      <c r="I990" s="20" t="n"/>
      <c r="J990" s="19" t="n"/>
      <c r="K990" s="21" t="n"/>
      <c r="L990" s="22">
        <f>IF(OR(J990="",K990=""),"",J990*K990)</f>
        <v/>
      </c>
      <c r="M990" s="19" t="n"/>
      <c r="N990" s="20" t="n"/>
      <c r="O990" s="20" t="n"/>
    </row>
    <row r="991">
      <c r="A991" s="23" t="n">
        <v>988</v>
      </c>
      <c r="B991" s="24" t="inlineStr">
        <is>
          <t>2.3.1.19</t>
        </is>
      </c>
      <c r="C991" s="25" t="inlineStr">
        <is>
          <t>Part 2 – Technical Systems</t>
        </is>
      </c>
      <c r="D991" s="25" t="inlineStr">
        <is>
          <t>2.3 INCIDENT AND RESOURCE MANAGEMENT SYSTEM (IRMS)</t>
        </is>
      </c>
      <c r="E991" s="25" t="inlineStr">
        <is>
          <t>2.3.1 OVERVIEW AND FUNCTIONAL REQUIREMENTS</t>
        </is>
      </c>
      <c r="F991" s="25" t="inlineStr">
        <is>
          <t>The CONTRACTOR shall deliver reports and dashboards relating to the SMS solution with details of these reports and dashboards to be agreed with the MOI during the implementation planning.</t>
        </is>
      </c>
      <c r="G991" s="19" t="n"/>
      <c r="H991" s="20" t="n"/>
      <c r="I991" s="20" t="n"/>
      <c r="J991" s="19" t="n"/>
      <c r="K991" s="21" t="n"/>
      <c r="L991" s="22">
        <f>IF(OR(J991="",K991=""),"",J991*K991)</f>
        <v/>
      </c>
      <c r="M991" s="19" t="n"/>
      <c r="N991" s="20" t="n"/>
      <c r="O991" s="20" t="n"/>
    </row>
    <row r="992">
      <c r="A992" s="16" t="n">
        <v>989</v>
      </c>
      <c r="B992" s="17" t="inlineStr">
        <is>
          <t>2.3.1.20</t>
        </is>
      </c>
      <c r="C992" s="18" t="inlineStr">
        <is>
          <t>Part 2 – Technical Systems</t>
        </is>
      </c>
      <c r="D992" s="18" t="inlineStr">
        <is>
          <t>2.3 INCIDENT AND RESOURCE MANAGEMENT SYSTEM (IRMS)</t>
        </is>
      </c>
      <c r="E992" s="18" t="inlineStr">
        <is>
          <t>2.3.1 OVERVIEW AND FUNCTIONAL REQUIREMENTS</t>
        </is>
      </c>
      <c r="F992" s="18" t="inlineStr">
        <is>
          <t>The CONTRACTOR shall deliver an OSS911 solution that shall be able to directly integrate with any GIS systems including maps and data or open sources that the MOI may desire to connect to.</t>
        </is>
      </c>
      <c r="G992" s="19" t="n"/>
      <c r="H992" s="20" t="n"/>
      <c r="I992" s="20" t="n"/>
      <c r="J992" s="19" t="n"/>
      <c r="K992" s="21" t="n"/>
      <c r="L992" s="22">
        <f>IF(OR(J992="",K992=""),"",J992*K992)</f>
        <v/>
      </c>
      <c r="M992" s="19" t="n"/>
      <c r="N992" s="20" t="n"/>
      <c r="O992" s="20" t="n"/>
    </row>
    <row r="993">
      <c r="A993" s="23" t="n">
        <v>990</v>
      </c>
      <c r="B993" s="24" t="inlineStr">
        <is>
          <t>2.3.1.21</t>
        </is>
      </c>
      <c r="C993" s="25" t="inlineStr">
        <is>
          <t>Part 2 – Technical Systems</t>
        </is>
      </c>
      <c r="D993" s="25" t="inlineStr">
        <is>
          <t>2.3 INCIDENT AND RESOURCE MANAGEMENT SYSTEM (IRMS)</t>
        </is>
      </c>
      <c r="E993" s="25" t="inlineStr">
        <is>
          <t>2.3.1 OVERVIEW AND FUNCTIONAL REQUIREMENTS</t>
        </is>
      </c>
      <c r="F993" s="25" t="inlineStr">
        <is>
          <t>The CONTRACTOR shall deliver an IRMS that shall integrate with video management system to receive alarms such as those from automatic number plate recognition, face recognition, crowd management, people counting, tripwire, geofencing etc., enabled cameras and then automatically create incidents in the IRMS.</t>
        </is>
      </c>
      <c r="G993" s="19" t="n"/>
      <c r="H993" s="20" t="n"/>
      <c r="I993" s="20" t="n"/>
      <c r="J993" s="19" t="n"/>
      <c r="K993" s="21" t="n"/>
      <c r="L993" s="22">
        <f>IF(OR(J993="",K993=""),"",J993*K993)</f>
        <v/>
      </c>
      <c r="M993" s="19" t="n"/>
      <c r="N993" s="20" t="n"/>
      <c r="O993" s="20" t="n"/>
    </row>
    <row r="994">
      <c r="A994" s="16" t="n">
        <v>991</v>
      </c>
      <c r="B994" s="17" t="inlineStr">
        <is>
          <t>2.3.1.22</t>
        </is>
      </c>
      <c r="C994" s="18" t="inlineStr">
        <is>
          <t>Part 2 – Technical Systems</t>
        </is>
      </c>
      <c r="D994" s="18" t="inlineStr">
        <is>
          <t>2.3 INCIDENT AND RESOURCE MANAGEMENT SYSTEM (IRMS)</t>
        </is>
      </c>
      <c r="E994" s="18" t="inlineStr">
        <is>
          <t>2.3.1 OVERVIEW AND FUNCTIONAL REQUIREMENTS</t>
        </is>
      </c>
      <c r="F994" s="18" t="inlineStr">
        <is>
          <t>The IRMS shall:</t>
        </is>
      </c>
      <c r="G994" s="19" t="n"/>
      <c r="H994" s="20" t="n"/>
      <c r="I994" s="20" t="n"/>
      <c r="J994" s="19" t="n"/>
      <c r="K994" s="21" t="n"/>
      <c r="L994" s="22">
        <f>IF(OR(J994="",K994=""),"",J994*K994)</f>
        <v/>
      </c>
      <c r="M994" s="19" t="n"/>
      <c r="N994" s="20" t="n"/>
      <c r="O994" s="20" t="n"/>
    </row>
    <row r="995">
      <c r="A995" s="23" t="n">
        <v>992</v>
      </c>
      <c r="B995" s="23" t="inlineStr">
        <is>
          <t>2.3.1.22.1</t>
        </is>
      </c>
      <c r="C995" s="25" t="inlineStr">
        <is>
          <t>Part 2 – Technical Systems</t>
        </is>
      </c>
      <c r="D995" s="25" t="inlineStr">
        <is>
          <t>2.3 INCIDENT AND RESOURCE MANAGEMENT SYSTEM (IRMS)</t>
        </is>
      </c>
      <c r="E995" s="25" t="inlineStr">
        <is>
          <t>2.3.1 OVERVIEW AND FUNCTIONAL REQUIREMENTS</t>
        </is>
      </c>
      <c r="F995" s="25" t="inlineStr">
        <is>
          <t>Create, manage, and archive Incidents using a variety of inputs and data sources, including automatic data acquisition and population into Incident Records and Incident Reports.</t>
        </is>
      </c>
      <c r="G995" s="19" t="n"/>
      <c r="H995" s="20" t="n"/>
      <c r="I995" s="20" t="n"/>
      <c r="J995" s="19" t="n"/>
      <c r="K995" s="21" t="n"/>
      <c r="L995" s="22">
        <f>IF(OR(J995="",K995=""),"",J995*K995)</f>
        <v/>
      </c>
      <c r="M995" s="19" t="n"/>
      <c r="N995" s="20" t="n"/>
      <c r="O995" s="20" t="n"/>
    </row>
    <row r="996">
      <c r="A996" s="16" t="n">
        <v>993</v>
      </c>
      <c r="B996" s="16" t="inlineStr">
        <is>
          <t>2.3.1.22.2</t>
        </is>
      </c>
      <c r="C996" s="18" t="inlineStr">
        <is>
          <t>Part 2 – Technical Systems</t>
        </is>
      </c>
      <c r="D996" s="18" t="inlineStr">
        <is>
          <t>2.3 INCIDENT AND RESOURCE MANAGEMENT SYSTEM (IRMS)</t>
        </is>
      </c>
      <c r="E996" s="18" t="inlineStr">
        <is>
          <t>2.3.1 OVERVIEW AND FUNCTIONAL REQUIREMENTS</t>
        </is>
      </c>
      <c r="F996" s="18" t="inlineStr">
        <is>
          <t>Identify to an agency dispatcher, incidents that require management and/or resolution</t>
        </is>
      </c>
      <c r="G996" s="19" t="n"/>
      <c r="H996" s="20" t="n"/>
      <c r="I996" s="20" t="n"/>
      <c r="J996" s="19" t="n"/>
      <c r="K996" s="21" t="n"/>
      <c r="L996" s="22">
        <f>IF(OR(J996="",K996=""),"",J996*K996)</f>
        <v/>
      </c>
      <c r="M996" s="19" t="n"/>
      <c r="N996" s="20" t="n"/>
      <c r="O996" s="20" t="n"/>
    </row>
    <row r="997">
      <c r="A997" s="23" t="n">
        <v>994</v>
      </c>
      <c r="B997" s="23" t="inlineStr">
        <is>
          <t>2.3.1.22.3</t>
        </is>
      </c>
      <c r="C997" s="25" t="inlineStr">
        <is>
          <t>Part 2 – Technical Systems</t>
        </is>
      </c>
      <c r="D997" s="25" t="inlineStr">
        <is>
          <t>2.3 INCIDENT AND RESOURCE MANAGEMENT SYSTEM (IRMS)</t>
        </is>
      </c>
      <c r="E997" s="25" t="inlineStr">
        <is>
          <t>2.3.1 OVERVIEW AND FUNCTIONAL REQUIREMENTS</t>
        </is>
      </c>
      <c r="F997" s="25" t="inlineStr">
        <is>
          <t>Identify and track resources that have been allocated to an incident</t>
        </is>
      </c>
      <c r="G997" s="19" t="n"/>
      <c r="H997" s="20" t="n"/>
      <c r="I997" s="20" t="n"/>
      <c r="J997" s="19" t="n"/>
      <c r="K997" s="21" t="n"/>
      <c r="L997" s="22">
        <f>IF(OR(J997="",K997=""),"",J997*K997)</f>
        <v/>
      </c>
      <c r="M997" s="19" t="n"/>
      <c r="N997" s="20" t="n"/>
      <c r="O997" s="20" t="n"/>
    </row>
    <row r="998">
      <c r="A998" s="16" t="n">
        <v>995</v>
      </c>
      <c r="B998" s="16" t="inlineStr">
        <is>
          <t>2.3.1.22.4</t>
        </is>
      </c>
      <c r="C998" s="18" t="inlineStr">
        <is>
          <t>Part 2 – Technical Systems</t>
        </is>
      </c>
      <c r="D998" s="18" t="inlineStr">
        <is>
          <t>2.3 INCIDENT AND RESOURCE MANAGEMENT SYSTEM (IRMS)</t>
        </is>
      </c>
      <c r="E998" s="18" t="inlineStr">
        <is>
          <t>2.3.1 OVERVIEW AND FUNCTIONAL REQUIREMENTS</t>
        </is>
      </c>
      <c r="F998" s="18" t="inlineStr">
        <is>
          <t>Support virtual partitioning by: a. Agencies b. Departments c. Geography d. Security classifications e. Dispatchers</t>
        </is>
      </c>
      <c r="G998" s="19" t="n"/>
      <c r="H998" s="20" t="n"/>
      <c r="I998" s="20" t="n"/>
      <c r="J998" s="19" t="n"/>
      <c r="K998" s="21" t="n"/>
      <c r="L998" s="22">
        <f>IF(OR(J998="",K998=""),"",J998*K998)</f>
        <v/>
      </c>
      <c r="M998" s="19" t="n"/>
      <c r="N998" s="20" t="n"/>
      <c r="O998" s="20" t="n"/>
    </row>
    <row r="999">
      <c r="A999" s="23" t="n">
        <v>996</v>
      </c>
      <c r="B999" s="23" t="inlineStr">
        <is>
          <t>2.3.1.22.5</t>
        </is>
      </c>
      <c r="C999" s="25" t="inlineStr">
        <is>
          <t>Part 2 – Technical Systems</t>
        </is>
      </c>
      <c r="D999" s="25" t="inlineStr">
        <is>
          <t>2.3 INCIDENT AND RESOURCE MANAGEMENT SYSTEM (IRMS)</t>
        </is>
      </c>
      <c r="E999" s="25" t="inlineStr">
        <is>
          <t>2.3.1 OVERVIEW AND FUNCTIONAL REQUIREMENTS</t>
        </is>
      </c>
      <c r="F999" s="25" t="inlineStr">
        <is>
          <t>Allow incidents to be accessed from one or more operating positions simultaneously</t>
        </is>
      </c>
      <c r="G999" s="19" t="n"/>
      <c r="H999" s="20" t="n"/>
      <c r="I999" s="20" t="n"/>
      <c r="J999" s="19" t="n"/>
      <c r="K999" s="21" t="n"/>
      <c r="L999" s="22">
        <f>IF(OR(J999="",K999=""),"",J999*K999)</f>
        <v/>
      </c>
      <c r="M999" s="19" t="n"/>
      <c r="N999" s="20" t="n"/>
      <c r="O999" s="20" t="n"/>
    </row>
    <row r="1000">
      <c r="A1000" s="16" t="n">
        <v>997</v>
      </c>
      <c r="B1000" s="17" t="inlineStr">
        <is>
          <t>2.3.1.23</t>
        </is>
      </c>
      <c r="C1000" s="18" t="inlineStr">
        <is>
          <t>Part 2 – Technical Systems</t>
        </is>
      </c>
      <c r="D1000" s="18" t="inlineStr">
        <is>
          <t>2.3 INCIDENT AND RESOURCE MANAGEMENT SYSTEM (IRMS)</t>
        </is>
      </c>
      <c r="E1000" s="18" t="inlineStr">
        <is>
          <t>2.3.1 OVERVIEW AND FUNCTIONAL REQUIREMENTS</t>
        </is>
      </c>
      <c r="F1000" s="18" t="inlineStr">
        <is>
          <t>The IRMS shall have the capability to display tickers with incident data, alerts and alarms on:</t>
        </is>
      </c>
      <c r="G1000" s="19" t="n"/>
      <c r="H1000" s="20" t="n"/>
      <c r="I1000" s="20" t="n"/>
      <c r="J1000" s="19" t="n"/>
      <c r="K1000" s="21" t="n"/>
      <c r="L1000" s="22">
        <f>IF(OR(J1000="",K1000=""),"",J1000*K1000)</f>
        <v/>
      </c>
      <c r="M1000" s="19" t="n"/>
      <c r="N1000" s="20" t="n"/>
      <c r="O1000" s="20" t="n"/>
    </row>
    <row r="1001">
      <c r="A1001" s="23" t="n">
        <v>998</v>
      </c>
      <c r="B1001" s="23" t="inlineStr">
        <is>
          <t>2.3.1.23.1</t>
        </is>
      </c>
      <c r="C1001" s="25" t="inlineStr">
        <is>
          <t>Part 2 – Technical Systems</t>
        </is>
      </c>
      <c r="D1001" s="25" t="inlineStr">
        <is>
          <t>2.3 INCIDENT AND RESOURCE MANAGEMENT SYSTEM (IRMS)</t>
        </is>
      </c>
      <c r="E1001" s="25" t="inlineStr">
        <is>
          <t>2.3.1 OVERVIEW AND FUNCTIONAL REQUIREMENTS</t>
        </is>
      </c>
      <c r="F1001" s="25" t="inlineStr">
        <is>
          <t>All operators’ and supervisors’ screens</t>
        </is>
      </c>
      <c r="G1001" s="19" t="n"/>
      <c r="H1001" s="20" t="n"/>
      <c r="I1001" s="20" t="n"/>
      <c r="J1001" s="19" t="n"/>
      <c r="K1001" s="21" t="n"/>
      <c r="L1001" s="22">
        <f>IF(OR(J1001="",K1001=""),"",J1001*K1001)</f>
        <v/>
      </c>
      <c r="M1001" s="19" t="n"/>
      <c r="N1001" s="20" t="n"/>
      <c r="O1001" s="20" t="n"/>
    </row>
    <row r="1002">
      <c r="A1002" s="16" t="n">
        <v>999</v>
      </c>
      <c r="B1002" s="16" t="inlineStr">
        <is>
          <t>2.3.1.23.2</t>
        </is>
      </c>
      <c r="C1002" s="18" t="inlineStr">
        <is>
          <t>Part 2 – Technical Systems</t>
        </is>
      </c>
      <c r="D1002" s="18" t="inlineStr">
        <is>
          <t>2.3 INCIDENT AND RESOURCE MANAGEMENT SYSTEM (IRMS)</t>
        </is>
      </c>
      <c r="E1002" s="18" t="inlineStr">
        <is>
          <t>2.3.1 OVERVIEW AND FUNCTIONAL REQUIREMENTS</t>
        </is>
      </c>
      <c r="F1002" s="18" t="inlineStr">
        <is>
          <t>Selected non-operators’ screens</t>
        </is>
      </c>
      <c r="G1002" s="19" t="n"/>
      <c r="H1002" s="20" t="n"/>
      <c r="I1002" s="20" t="n"/>
      <c r="J1002" s="19" t="n"/>
      <c r="K1002" s="21" t="n"/>
      <c r="L1002" s="22">
        <f>IF(OR(J1002="",K1002=""),"",J1002*K1002)</f>
        <v/>
      </c>
      <c r="M1002" s="19" t="n"/>
      <c r="N1002" s="20" t="n"/>
      <c r="O1002" s="20" t="n"/>
    </row>
    <row r="1003">
      <c r="A1003" s="23" t="n">
        <v>1000</v>
      </c>
      <c r="B1003" s="23" t="inlineStr">
        <is>
          <t>2.3.1.23.3</t>
        </is>
      </c>
      <c r="C1003" s="25" t="inlineStr">
        <is>
          <t>Part 2 – Technical Systems</t>
        </is>
      </c>
      <c r="D1003" s="25" t="inlineStr">
        <is>
          <t>2.3 INCIDENT AND RESOURCE MANAGEMENT SYSTEM (IRMS)</t>
        </is>
      </c>
      <c r="E1003" s="25" t="inlineStr">
        <is>
          <t>2.3.1 OVERVIEW AND FUNCTIONAL REQUIREMENTS</t>
        </is>
      </c>
      <c r="F1003" s="25" t="inlineStr">
        <is>
          <t>All video walls screens</t>
        </is>
      </c>
      <c r="G1003" s="19" t="n"/>
      <c r="H1003" s="20" t="n"/>
      <c r="I1003" s="20" t="n"/>
      <c r="J1003" s="19" t="n"/>
      <c r="K1003" s="21" t="n"/>
      <c r="L1003" s="22">
        <f>IF(OR(J1003="",K1003=""),"",J1003*K1003)</f>
        <v/>
      </c>
      <c r="M1003" s="19" t="n"/>
      <c r="N1003" s="20" t="n"/>
      <c r="O1003" s="20" t="n"/>
    </row>
    <row r="1004">
      <c r="A1004" s="16" t="n">
        <v>1001</v>
      </c>
      <c r="B1004" s="16" t="inlineStr">
        <is>
          <t>2.3.1.23.4</t>
        </is>
      </c>
      <c r="C1004" s="18" t="inlineStr">
        <is>
          <t>Part 2 – Technical Systems</t>
        </is>
      </c>
      <c r="D1004" s="18" t="inlineStr">
        <is>
          <t>2.3 INCIDENT AND RESOURCE MANAGEMENT SYSTEM (IRMS)</t>
        </is>
      </c>
      <c r="E1004" s="18" t="inlineStr">
        <is>
          <t>2.3.1 OVERVIEW AND FUNCTIONAL REQUIREMENTS</t>
        </is>
      </c>
      <c r="F1004" s="18" t="inlineStr">
        <is>
          <t>All MDCs and handheld terminals</t>
        </is>
      </c>
      <c r="G1004" s="19" t="n"/>
      <c r="H1004" s="20" t="n"/>
      <c r="I1004" s="20" t="n"/>
      <c r="J1004" s="19" t="n"/>
      <c r="K1004" s="21" t="n"/>
      <c r="L1004" s="22">
        <f>IF(OR(J1004="",K1004=""),"",J1004*K1004)</f>
        <v/>
      </c>
      <c r="M1004" s="19" t="n"/>
      <c r="N1004" s="20" t="n"/>
      <c r="O1004" s="20" t="n"/>
    </row>
    <row r="1005">
      <c r="A1005" s="23" t="n">
        <v>1002</v>
      </c>
      <c r="B1005" s="23" t="inlineStr">
        <is>
          <t>2.3.1.23.5</t>
        </is>
      </c>
      <c r="C1005" s="25" t="inlineStr">
        <is>
          <t>Part 2 – Technical Systems</t>
        </is>
      </c>
      <c r="D1005" s="25" t="inlineStr">
        <is>
          <t>2.3 INCIDENT AND RESOURCE MANAGEMENT SYSTEM (IRMS)</t>
        </is>
      </c>
      <c r="E1005" s="25" t="inlineStr">
        <is>
          <t>2.3.1 OVERVIEW AND FUNCTIONAL REQUIREMENTS</t>
        </is>
      </c>
      <c r="F1005" s="25" t="inlineStr">
        <is>
          <t>Updates to tickers shall be configured to be performed by authorized OSS911 personnel.</t>
        </is>
      </c>
      <c r="G1005" s="19" t="n"/>
      <c r="H1005" s="20" t="n"/>
      <c r="I1005" s="20" t="n"/>
      <c r="J1005" s="19" t="n"/>
      <c r="K1005" s="21" t="n"/>
      <c r="L1005" s="22">
        <f>IF(OR(J1005="",K1005=""),"",J1005*K1005)</f>
        <v/>
      </c>
      <c r="M1005" s="19" t="n"/>
      <c r="N1005" s="20" t="n"/>
      <c r="O1005" s="20" t="n"/>
    </row>
    <row r="1006">
      <c r="A1006" s="16" t="n">
        <v>1003</v>
      </c>
      <c r="B1006" s="17" t="inlineStr">
        <is>
          <t>2.3.1.24</t>
        </is>
      </c>
      <c r="C1006" s="18" t="inlineStr">
        <is>
          <t>Part 2 – Technical Systems</t>
        </is>
      </c>
      <c r="D1006" s="18" t="inlineStr">
        <is>
          <t>2.3 INCIDENT AND RESOURCE MANAGEMENT SYSTEM (IRMS)</t>
        </is>
      </c>
      <c r="E1006" s="18" t="inlineStr">
        <is>
          <t>2.3.1 OVERVIEW AND FUNCTIONAL REQUIREMENTS</t>
        </is>
      </c>
      <c r="F1006" s="18" t="inlineStr">
        <is>
          <t>The IRMS shall have the capability to display alert messages on authorized operators’ and supervisors’ screens in case incident service levels threshold are exceeded.</t>
        </is>
      </c>
      <c r="G1006" s="19" t="n"/>
      <c r="H1006" s="20" t="n"/>
      <c r="I1006" s="20" t="n"/>
      <c r="J1006" s="19" t="n"/>
      <c r="K1006" s="21" t="n"/>
      <c r="L1006" s="22">
        <f>IF(OR(J1006="",K1006=""),"",J1006*K1006)</f>
        <v/>
      </c>
      <c r="M1006" s="19" t="n"/>
      <c r="N1006" s="20" t="n"/>
      <c r="O1006" s="20" t="n"/>
    </row>
    <row r="1007">
      <c r="A1007" s="23" t="n">
        <v>1004</v>
      </c>
      <c r="B1007" s="23" t="inlineStr">
        <is>
          <t>2.3.1.24.1</t>
        </is>
      </c>
      <c r="C1007" s="25" t="inlineStr">
        <is>
          <t>Part 2 – Technical Systems</t>
        </is>
      </c>
      <c r="D1007" s="25" t="inlineStr">
        <is>
          <t>2.3 INCIDENT AND RESOURCE MANAGEMENT SYSTEM (IRMS)</t>
        </is>
      </c>
      <c r="E1007" s="25" t="inlineStr">
        <is>
          <t>2.3.1 OVERVIEW AND FUNCTIONAL REQUIREMENTS</t>
        </is>
      </c>
      <c r="F1007" s="25" t="inlineStr">
        <is>
          <t>The alert message shall be configured to stay on screen until action is acknowledged by an authorized operator or the supervisor.</t>
        </is>
      </c>
      <c r="G1007" s="19" t="n"/>
      <c r="H1007" s="20" t="n"/>
      <c r="I1007" s="20" t="n"/>
      <c r="J1007" s="19" t="n"/>
      <c r="K1007" s="21" t="n"/>
      <c r="L1007" s="22">
        <f>IF(OR(J1007="",K1007=""),"",J1007*K1007)</f>
        <v/>
      </c>
      <c r="M1007" s="19" t="n"/>
      <c r="N1007" s="20" t="n"/>
      <c r="O1007" s="20" t="n"/>
    </row>
    <row r="1008">
      <c r="A1008" s="16" t="n">
        <v>1005</v>
      </c>
      <c r="B1008" s="16" t="inlineStr">
        <is>
          <t>2.3.1.24.2</t>
        </is>
      </c>
      <c r="C1008" s="18" t="inlineStr">
        <is>
          <t>Part 2 – Technical Systems</t>
        </is>
      </c>
      <c r="D1008" s="18" t="inlineStr">
        <is>
          <t>2.3 INCIDENT AND RESOURCE MANAGEMENT SYSTEM (IRMS)</t>
        </is>
      </c>
      <c r="E1008" s="18" t="inlineStr">
        <is>
          <t>2.3.1 OVERVIEW AND FUNCTIONAL REQUIREMENTS</t>
        </is>
      </c>
      <c r="F1008" s="18" t="inlineStr">
        <is>
          <t>For example, if in a shift, when number of operators on duty fall below a threshold (threshold to be customizable by authorized personnel), automatic alerts and SMS to be sent to authorized officers' terminals and phones respectively.</t>
        </is>
      </c>
      <c r="G1008" s="19" t="n"/>
      <c r="H1008" s="20" t="n"/>
      <c r="I1008" s="20" t="n"/>
      <c r="J1008" s="19" t="n"/>
      <c r="K1008" s="21" t="n"/>
      <c r="L1008" s="22">
        <f>IF(OR(J1008="",K1008=""),"",J1008*K1008)</f>
        <v/>
      </c>
      <c r="M1008" s="19" t="n"/>
      <c r="N1008" s="20" t="n"/>
      <c r="O1008" s="20" t="n"/>
    </row>
    <row r="1009">
      <c r="A1009" s="23" t="n">
        <v>1006</v>
      </c>
      <c r="B1009" s="24" t="inlineStr">
        <is>
          <t>2.3.1.25</t>
        </is>
      </c>
      <c r="C1009" s="25" t="inlineStr">
        <is>
          <t>Part 2 – Technical Systems</t>
        </is>
      </c>
      <c r="D1009" s="25" t="inlineStr">
        <is>
          <t>2.3 INCIDENT AND RESOURCE MANAGEMENT SYSTEM (IRMS)</t>
        </is>
      </c>
      <c r="E1009" s="25" t="inlineStr">
        <is>
          <t>2.3.1 OVERVIEW AND FUNCTIONAL REQUIREMENTS</t>
        </is>
      </c>
      <c r="F1009" s="25" t="inlineStr">
        <is>
          <t>The IRMS solution shall provide authorized OSS911 employees the capability to monitor in a log, all events pertaining to operator actions on the systems.</t>
        </is>
      </c>
      <c r="G1009" s="19" t="n"/>
      <c r="H1009" s="20" t="n"/>
      <c r="I1009" s="20" t="n"/>
      <c r="J1009" s="19" t="n"/>
      <c r="K1009" s="21" t="n"/>
      <c r="L1009" s="22">
        <f>IF(OR(J1009="",K1009=""),"",J1009*K1009)</f>
        <v/>
      </c>
      <c r="M1009" s="19" t="n"/>
      <c r="N1009" s="20" t="n"/>
      <c r="O1009" s="20" t="n"/>
    </row>
    <row r="1010">
      <c r="A1010" s="16" t="n">
        <v>1007</v>
      </c>
      <c r="B1010" s="17" t="inlineStr">
        <is>
          <t>2.3.2.1</t>
        </is>
      </c>
      <c r="C1010" s="18" t="inlineStr">
        <is>
          <t>Part 2 – Technical Systems</t>
        </is>
      </c>
      <c r="D1010" s="18" t="inlineStr">
        <is>
          <t>2.3 INCIDENT AND RESOURCE MANAGEMENT SYSTEM (IRMS)</t>
        </is>
      </c>
      <c r="E1010" s="18" t="inlineStr">
        <is>
          <t>2.3.2 INCIDENT REGISTERING</t>
        </is>
      </c>
      <c r="F1010" s="18" t="inlineStr">
        <is>
          <t>The IRMS shall fully support multi-agency unified call handling. Multi- agency unified call handling implies that any call taker is able to receive calls for any of the agencies under the scope of this RFP.</t>
        </is>
      </c>
      <c r="G1010" s="19" t="n"/>
      <c r="H1010" s="20" t="n"/>
      <c r="I1010" s="20" t="n"/>
      <c r="J1010" s="19" t="n"/>
      <c r="K1010" s="21" t="n"/>
      <c r="L1010" s="22">
        <f>IF(OR(J1010="",K1010=""),"",J1010*K1010)</f>
        <v/>
      </c>
      <c r="M1010" s="19" t="n"/>
      <c r="N1010" s="20" t="n"/>
      <c r="O1010" s="20" t="n"/>
    </row>
    <row r="1011">
      <c r="A1011" s="23" t="n">
        <v>1008</v>
      </c>
      <c r="B1011" s="24" t="inlineStr">
        <is>
          <t>2.3.2.2</t>
        </is>
      </c>
      <c r="C1011" s="25" t="inlineStr">
        <is>
          <t>Part 2 – Technical Systems</t>
        </is>
      </c>
      <c r="D1011" s="25" t="inlineStr">
        <is>
          <t>2.3 INCIDENT AND RESOURCE MANAGEMENT SYSTEM (IRMS)</t>
        </is>
      </c>
      <c r="E1011" s="25" t="inlineStr">
        <is>
          <t>2.3.2 INCIDENT REGISTERING</t>
        </is>
      </c>
      <c r="F1011" s="25" t="inlineStr">
        <is>
          <t>The IRMS shall fully support receiving and registering emergency calls from a single emergency number or from multiple emergency numbers.</t>
        </is>
      </c>
      <c r="G1011" s="19" t="n"/>
      <c r="H1011" s="20" t="n"/>
      <c r="I1011" s="20" t="n"/>
      <c r="J1011" s="19" t="n"/>
      <c r="K1011" s="21" t="n"/>
      <c r="L1011" s="22">
        <f>IF(OR(J1011="",K1011=""),"",J1011*K1011)</f>
        <v/>
      </c>
      <c r="M1011" s="19" t="n"/>
      <c r="N1011" s="20" t="n"/>
      <c r="O1011" s="20" t="n"/>
    </row>
    <row r="1012">
      <c r="A1012" s="16" t="n">
        <v>1009</v>
      </c>
      <c r="B1012" s="17" t="inlineStr">
        <is>
          <t>2.3.2.3</t>
        </is>
      </c>
      <c r="C1012" s="18" t="inlineStr">
        <is>
          <t>Part 2 – Technical Systems</t>
        </is>
      </c>
      <c r="D1012" s="18" t="inlineStr">
        <is>
          <t>2.3 INCIDENT AND RESOURCE MANAGEMENT SYSTEM (IRMS)</t>
        </is>
      </c>
      <c r="E1012" s="18" t="inlineStr">
        <is>
          <t>2.3.2 INCIDENT REGISTERING</t>
        </is>
      </c>
      <c r="F1012" s="18" t="inlineStr">
        <is>
          <t>The IRMS shall fully support receiving and registering emergency calls through video calls.</t>
        </is>
      </c>
      <c r="G1012" s="19" t="n"/>
      <c r="H1012" s="20" t="n"/>
      <c r="I1012" s="20" t="n"/>
      <c r="J1012" s="19" t="n"/>
      <c r="K1012" s="21" t="n"/>
      <c r="L1012" s="22">
        <f>IF(OR(J1012="",K1012=""),"",J1012*K1012)</f>
        <v/>
      </c>
      <c r="M1012" s="19" t="n"/>
      <c r="N1012" s="20" t="n"/>
      <c r="O1012" s="20" t="n"/>
    </row>
    <row r="1013">
      <c r="A1013" s="23" t="n">
        <v>1010</v>
      </c>
      <c r="B1013" s="24" t="inlineStr">
        <is>
          <t>2.3.2.4</t>
        </is>
      </c>
      <c r="C1013" s="25" t="inlineStr">
        <is>
          <t>Part 2 – Technical Systems</t>
        </is>
      </c>
      <c r="D1013" s="25" t="inlineStr">
        <is>
          <t>2.3 INCIDENT AND RESOURCE MANAGEMENT SYSTEM (IRMS)</t>
        </is>
      </c>
      <c r="E1013" s="25" t="inlineStr">
        <is>
          <t>2.3.2 INCIDENT REGISTERING</t>
        </is>
      </c>
      <c r="F1013" s="25" t="inlineStr">
        <is>
          <t>The IRMS shall support the following:</t>
        </is>
      </c>
      <c r="G1013" s="19" t="n"/>
      <c r="H1013" s="20" t="n"/>
      <c r="I1013" s="20" t="n"/>
      <c r="J1013" s="19" t="n"/>
      <c r="K1013" s="21" t="n"/>
      <c r="L1013" s="22">
        <f>IF(OR(J1013="",K1013=""),"",J1013*K1013)</f>
        <v/>
      </c>
      <c r="M1013" s="19" t="n"/>
      <c r="N1013" s="20" t="n"/>
      <c r="O1013" s="20" t="n"/>
    </row>
    <row r="1014">
      <c r="A1014" s="16" t="n">
        <v>1011</v>
      </c>
      <c r="B1014" s="16" t="inlineStr">
        <is>
          <t>2.3.2.4.1</t>
        </is>
      </c>
      <c r="C1014" s="18" t="inlineStr">
        <is>
          <t>Part 2 – Technical Systems</t>
        </is>
      </c>
      <c r="D1014" s="18" t="inlineStr">
        <is>
          <t>2.3 INCIDENT AND RESOURCE MANAGEMENT SYSTEM (IRMS)</t>
        </is>
      </c>
      <c r="E1014" s="18" t="inlineStr">
        <is>
          <t>2.3.2 INCIDENT REGISTERING</t>
        </is>
      </c>
      <c r="F1014" s="18" t="inlineStr">
        <is>
          <t>A new and unique electronic record shall be created when an incident is first reported.</t>
        </is>
      </c>
      <c r="G1014" s="19" t="n"/>
      <c r="H1014" s="20" t="n"/>
      <c r="I1014" s="20" t="n"/>
      <c r="J1014" s="19" t="n"/>
      <c r="K1014" s="21" t="n"/>
      <c r="L1014" s="22">
        <f>IF(OR(J1014="",K1014=""),"",J1014*K1014)</f>
        <v/>
      </c>
      <c r="M1014" s="19" t="n"/>
      <c r="N1014" s="20" t="n"/>
      <c r="O1014" s="20" t="n"/>
    </row>
    <row r="1015">
      <c r="A1015" s="23" t="n">
        <v>1012</v>
      </c>
      <c r="B1015" s="23" t="inlineStr">
        <is>
          <t>2.3.2.4.2</t>
        </is>
      </c>
      <c r="C1015" s="25" t="inlineStr">
        <is>
          <t>Part 2 – Technical Systems</t>
        </is>
      </c>
      <c r="D1015" s="25" t="inlineStr">
        <is>
          <t>2.3 INCIDENT AND RESOURCE MANAGEMENT SYSTEM (IRMS)</t>
        </is>
      </c>
      <c r="E1015" s="25" t="inlineStr">
        <is>
          <t>2.3.2 INCIDENT REGISTERING</t>
        </is>
      </c>
      <c r="F1015" s="25" t="inlineStr">
        <is>
          <t>The incident record shall remain open and active through the life of the incident.</t>
        </is>
      </c>
      <c r="G1015" s="19" t="n"/>
      <c r="H1015" s="20" t="n"/>
      <c r="I1015" s="20" t="n"/>
      <c r="J1015" s="19" t="n"/>
      <c r="K1015" s="21" t="n"/>
      <c r="L1015" s="22">
        <f>IF(OR(J1015="",K1015=""),"",J1015*K1015)</f>
        <v/>
      </c>
      <c r="M1015" s="19" t="n"/>
      <c r="N1015" s="20" t="n"/>
      <c r="O1015" s="20" t="n"/>
    </row>
    <row r="1016">
      <c r="A1016" s="16" t="n">
        <v>1013</v>
      </c>
      <c r="B1016" s="16" t="inlineStr">
        <is>
          <t>2.3.2.4.3</t>
        </is>
      </c>
      <c r="C1016" s="18" t="inlineStr">
        <is>
          <t>Part 2 – Technical Systems</t>
        </is>
      </c>
      <c r="D1016" s="18" t="inlineStr">
        <is>
          <t>2.3 INCIDENT AND RESOURCE MANAGEMENT SYSTEM (IRMS)</t>
        </is>
      </c>
      <c r="E1016" s="18" t="inlineStr">
        <is>
          <t>2.3.2 INCIDENT REGISTERING</t>
        </is>
      </c>
      <c r="F1016" s="18" t="inlineStr">
        <is>
          <t>Once an incident record has been created it shall not be possible to delete that record.</t>
        </is>
      </c>
      <c r="G1016" s="19" t="n"/>
      <c r="H1016" s="20" t="n"/>
      <c r="I1016" s="20" t="n"/>
      <c r="J1016" s="19" t="n"/>
      <c r="K1016" s="21" t="n"/>
      <c r="L1016" s="22">
        <f>IF(OR(J1016="",K1016=""),"",J1016*K1016)</f>
        <v/>
      </c>
      <c r="M1016" s="19" t="n"/>
      <c r="N1016" s="20" t="n"/>
      <c r="O1016" s="20" t="n"/>
    </row>
    <row r="1017">
      <c r="A1017" s="23" t="n">
        <v>1014</v>
      </c>
      <c r="B1017" s="23" t="inlineStr">
        <is>
          <t>2.3.2.4.4</t>
        </is>
      </c>
      <c r="C1017" s="25" t="inlineStr">
        <is>
          <t>Part 2 – Technical Systems</t>
        </is>
      </c>
      <c r="D1017" s="25" t="inlineStr">
        <is>
          <t>2.3 INCIDENT AND RESOURCE MANAGEMENT SYSTEM (IRMS)</t>
        </is>
      </c>
      <c r="E1017" s="25" t="inlineStr">
        <is>
          <t>2.3.2 INCIDENT REGISTERING</t>
        </is>
      </c>
      <c r="F1017" s="25" t="inlineStr">
        <is>
          <t>Alert operator that an incident could be a duplicate and provide details for confirmation to prevent a duplicate record creation.</t>
        </is>
      </c>
      <c r="G1017" s="19" t="n"/>
      <c r="H1017" s="20" t="n"/>
      <c r="I1017" s="20" t="n"/>
      <c r="J1017" s="19" t="n"/>
      <c r="K1017" s="21" t="n"/>
      <c r="L1017" s="22">
        <f>IF(OR(J1017="",K1017=""),"",J1017*K1017)</f>
        <v/>
      </c>
      <c r="M1017" s="19" t="n"/>
      <c r="N1017" s="20" t="n"/>
      <c r="O1017" s="20" t="n"/>
    </row>
    <row r="1018">
      <c r="A1018" s="16" t="n">
        <v>1015</v>
      </c>
      <c r="B1018" s="16" t="inlineStr">
        <is>
          <t>2.3.2.4.5</t>
        </is>
      </c>
      <c r="C1018" s="18" t="inlineStr">
        <is>
          <t>Part 2 – Technical Systems</t>
        </is>
      </c>
      <c r="D1018" s="18" t="inlineStr">
        <is>
          <t>2.3 INCIDENT AND RESOURCE MANAGEMENT SYSTEM (IRMS)</t>
        </is>
      </c>
      <c r="E1018" s="18" t="inlineStr">
        <is>
          <t>2.3.2 INCIDENT REGISTERING</t>
        </is>
      </c>
      <c r="F1018" s="18" t="inlineStr">
        <is>
          <t>Changes to records shall be limited to specific fields. No changes shall be allowed to the incident log.</t>
        </is>
      </c>
      <c r="G1018" s="19" t="n"/>
      <c r="H1018" s="20" t="n"/>
      <c r="I1018" s="20" t="n"/>
      <c r="J1018" s="19" t="n"/>
      <c r="K1018" s="21" t="n"/>
      <c r="L1018" s="22">
        <f>IF(OR(J1018="",K1018=""),"",J1018*K1018)</f>
        <v/>
      </c>
      <c r="M1018" s="19" t="n"/>
      <c r="N1018" s="20" t="n"/>
      <c r="O1018" s="20" t="n"/>
    </row>
    <row r="1019">
      <c r="A1019" s="23" t="n">
        <v>1016</v>
      </c>
      <c r="B1019" s="24" t="inlineStr">
        <is>
          <t>2.3.2.5</t>
        </is>
      </c>
      <c r="C1019" s="25" t="inlineStr">
        <is>
          <t>Part 2 – Technical Systems</t>
        </is>
      </c>
      <c r="D1019" s="25" t="inlineStr">
        <is>
          <t>2.3 INCIDENT AND RESOURCE MANAGEMENT SYSTEM (IRMS)</t>
        </is>
      </c>
      <c r="E1019" s="25" t="inlineStr">
        <is>
          <t>2.3.2 INCIDENT REGISTERING</t>
        </is>
      </c>
      <c r="F1019" s="25" t="inlineStr">
        <is>
          <t>The IRMS shall support incidents regardless of how the information is initially received. Registering mechanisms will include but not be limited to the following:</t>
        </is>
      </c>
      <c r="G1019" s="19" t="n"/>
      <c r="H1019" s="20" t="n"/>
      <c r="I1019" s="20" t="n"/>
      <c r="J1019" s="19" t="n"/>
      <c r="K1019" s="21" t="n"/>
      <c r="L1019" s="22">
        <f>IF(OR(J1019="",K1019=""),"",J1019*K1019)</f>
        <v/>
      </c>
      <c r="M1019" s="19" t="n"/>
      <c r="N1019" s="20" t="n"/>
      <c r="O1019" s="20" t="n"/>
    </row>
    <row r="1020">
      <c r="A1020" s="16" t="n">
        <v>1017</v>
      </c>
      <c r="B1020" s="16" t="inlineStr">
        <is>
          <t>2.3.2.5.1</t>
        </is>
      </c>
      <c r="C1020" s="18" t="inlineStr">
        <is>
          <t>Part 2 – Technical Systems</t>
        </is>
      </c>
      <c r="D1020" s="18" t="inlineStr">
        <is>
          <t>2.3 INCIDENT AND RESOURCE MANAGEMENT SYSTEM (IRMS)</t>
        </is>
      </c>
      <c r="E1020" s="18" t="inlineStr">
        <is>
          <t>2.3.2 INCIDENT REGISTERING</t>
        </is>
      </c>
      <c r="F1020" s="18" t="inlineStr">
        <is>
          <t>The general public through the emergency service numbers</t>
        </is>
      </c>
      <c r="G1020" s="19" t="n"/>
      <c r="H1020" s="20" t="n"/>
      <c r="I1020" s="20" t="n"/>
      <c r="J1020" s="19" t="n"/>
      <c r="K1020" s="21" t="n"/>
      <c r="L1020" s="22">
        <f>IF(OR(J1020="",K1020=""),"",J1020*K1020)</f>
        <v/>
      </c>
      <c r="M1020" s="19" t="n"/>
      <c r="N1020" s="20" t="n"/>
      <c r="O1020" s="20" t="n"/>
    </row>
    <row r="1021">
      <c r="A1021" s="23" t="n">
        <v>1018</v>
      </c>
      <c r="B1021" s="23" t="inlineStr">
        <is>
          <t>2.3.2.5.2</t>
        </is>
      </c>
      <c r="C1021" s="25" t="inlineStr">
        <is>
          <t>Part 2 – Technical Systems</t>
        </is>
      </c>
      <c r="D1021" s="25" t="inlineStr">
        <is>
          <t>2.3 INCIDENT AND RESOURCE MANAGEMENT SYSTEM (IRMS)</t>
        </is>
      </c>
      <c r="E1021" s="25" t="inlineStr">
        <is>
          <t>2.3.2 INCIDENT REGISTERING</t>
        </is>
      </c>
      <c r="F1021" s="25" t="inlineStr">
        <is>
          <t>The general public contacting the operations rooms of the OSS911 Center through a general admin number or central Telephony number</t>
        </is>
      </c>
      <c r="G1021" s="19" t="n"/>
      <c r="H1021" s="20" t="n"/>
      <c r="I1021" s="20" t="n"/>
      <c r="J1021" s="19" t="n"/>
      <c r="K1021" s="21" t="n"/>
      <c r="L1021" s="22">
        <f>IF(OR(J1021="",K1021=""),"",J1021*K1021)</f>
        <v/>
      </c>
      <c r="M1021" s="19" t="n"/>
      <c r="N1021" s="20" t="n"/>
      <c r="O1021" s="20" t="n"/>
    </row>
    <row r="1022">
      <c r="A1022" s="16" t="n">
        <v>1019</v>
      </c>
      <c r="B1022" s="16" t="inlineStr">
        <is>
          <t>2.3.2.5.3</t>
        </is>
      </c>
      <c r="C1022" s="18" t="inlineStr">
        <is>
          <t>Part 2 – Technical Systems</t>
        </is>
      </c>
      <c r="D1022" s="18" t="inlineStr">
        <is>
          <t>2.3 INCIDENT AND RESOURCE MANAGEMENT SYSTEM (IRMS)</t>
        </is>
      </c>
      <c r="E1022" s="18" t="inlineStr">
        <is>
          <t>2.3.2 INCIDENT REGISTERING</t>
        </is>
      </c>
      <c r="F1022" s="18" t="inlineStr">
        <is>
          <t>A walk-in report at an emergency service facility (example: local police station)</t>
        </is>
      </c>
      <c r="G1022" s="19" t="n"/>
      <c r="H1022" s="20" t="n"/>
      <c r="I1022" s="20" t="n"/>
      <c r="J1022" s="19" t="n"/>
      <c r="K1022" s="21" t="n"/>
      <c r="L1022" s="22">
        <f>IF(OR(J1022="",K1022=""),"",J1022*K1022)</f>
        <v/>
      </c>
      <c r="M1022" s="19" t="n"/>
      <c r="N1022" s="20" t="n"/>
      <c r="O1022" s="20" t="n"/>
    </row>
    <row r="1023">
      <c r="A1023" s="23" t="n">
        <v>1020</v>
      </c>
      <c r="B1023" s="23" t="inlineStr">
        <is>
          <t>2.3.2.5.4</t>
        </is>
      </c>
      <c r="C1023" s="25" t="inlineStr">
        <is>
          <t>Part 2 – Technical Systems</t>
        </is>
      </c>
      <c r="D1023" s="25" t="inlineStr">
        <is>
          <t>2.3 INCIDENT AND RESOURCE MANAGEMENT SYSTEM (IRMS)</t>
        </is>
      </c>
      <c r="E1023" s="25" t="inlineStr">
        <is>
          <t>2.3.2 INCIDENT REGISTERING</t>
        </is>
      </c>
      <c r="F1023" s="25" t="inlineStr">
        <is>
          <t>A radio report from field staff</t>
        </is>
      </c>
      <c r="G1023" s="19" t="n"/>
      <c r="H1023" s="20" t="n"/>
      <c r="I1023" s="20" t="n"/>
      <c r="J1023" s="19" t="n"/>
      <c r="K1023" s="21" t="n"/>
      <c r="L1023" s="22">
        <f>IF(OR(J1023="",K1023=""),"",J1023*K1023)</f>
        <v/>
      </c>
      <c r="M1023" s="19" t="n"/>
      <c r="N1023" s="20" t="n"/>
      <c r="O1023" s="20" t="n"/>
    </row>
    <row r="1024">
      <c r="A1024" s="16" t="n">
        <v>1021</v>
      </c>
      <c r="B1024" s="16" t="inlineStr">
        <is>
          <t>2.3.2.5.5</t>
        </is>
      </c>
      <c r="C1024" s="18" t="inlineStr">
        <is>
          <t>Part 2 – Technical Systems</t>
        </is>
      </c>
      <c r="D1024" s="18" t="inlineStr">
        <is>
          <t>2.3 INCIDENT AND RESOURCE MANAGEMENT SYSTEM (IRMS)</t>
        </is>
      </c>
      <c r="E1024" s="18" t="inlineStr">
        <is>
          <t>2.3.2 INCIDENT REGISTERING</t>
        </is>
      </c>
      <c r="F1024" s="18" t="inlineStr">
        <is>
          <t>General public contacting the OSS911 center IRMS from SMS, and/or Smartphones application that is integrated with the IRMS</t>
        </is>
      </c>
      <c r="G1024" s="19" t="n"/>
      <c r="H1024" s="20" t="n"/>
      <c r="I1024" s="20" t="n"/>
      <c r="J1024" s="19" t="n"/>
      <c r="K1024" s="21" t="n"/>
      <c r="L1024" s="22">
        <f>IF(OR(J1024="",K1024=""),"",J1024*K1024)</f>
        <v/>
      </c>
      <c r="M1024" s="19" t="n"/>
      <c r="N1024" s="20" t="n"/>
      <c r="O1024" s="20" t="n"/>
    </row>
    <row r="1025">
      <c r="A1025" s="23" t="n">
        <v>1022</v>
      </c>
      <c r="B1025" s="24" t="inlineStr">
        <is>
          <t>2.3.2.6</t>
        </is>
      </c>
      <c r="C1025" s="25" t="inlineStr">
        <is>
          <t>Part 2 – Technical Systems</t>
        </is>
      </c>
      <c r="D1025" s="25" t="inlineStr">
        <is>
          <t>2.3 INCIDENT AND RESOURCE MANAGEMENT SYSTEM (IRMS)</t>
        </is>
      </c>
      <c r="E1025" s="25" t="inlineStr">
        <is>
          <t>2.3.2 INCIDENT REGISTERING</t>
        </is>
      </c>
      <c r="F1025" s="25" t="inlineStr">
        <is>
          <t>For incidents registering through applications on other MOI platforms like Maidan and through other MOI-advised Smartphone applications, integrations will be provided by the CONTRACTOR as per MOI concept of operations.</t>
        </is>
      </c>
      <c r="G1025" s="19" t="n"/>
      <c r="H1025" s="20" t="n"/>
      <c r="I1025" s="20" t="n"/>
      <c r="J1025" s="19" t="n"/>
      <c r="K1025" s="21" t="n"/>
      <c r="L1025" s="22">
        <f>IF(OR(J1025="",K1025=""),"",J1025*K1025)</f>
        <v/>
      </c>
      <c r="M1025" s="19" t="n"/>
      <c r="N1025" s="20" t="n"/>
      <c r="O1025" s="20" t="n"/>
    </row>
    <row r="1026">
      <c r="A1026" s="16" t="n">
        <v>1023</v>
      </c>
      <c r="B1026" s="17" t="inlineStr">
        <is>
          <t>2.3.2.7</t>
        </is>
      </c>
      <c r="C1026" s="18" t="inlineStr">
        <is>
          <t>Part 2 – Technical Systems</t>
        </is>
      </c>
      <c r="D1026" s="18" t="inlineStr">
        <is>
          <t>2.3 INCIDENT AND RESOURCE MANAGEMENT SYSTEM (IRMS)</t>
        </is>
      </c>
      <c r="E1026" s="18" t="inlineStr">
        <is>
          <t>2.3.2 INCIDENT REGISTERING</t>
        </is>
      </c>
      <c r="F1026" s="18" t="inlineStr">
        <is>
          <t>The IRMS will be required to support the following actions with regard to telephone calls accepted by or delivered to a call taker:</t>
        </is>
      </c>
      <c r="G1026" s="19" t="n"/>
      <c r="H1026" s="20" t="n"/>
      <c r="I1026" s="20" t="n"/>
      <c r="J1026" s="19" t="n"/>
      <c r="K1026" s="21" t="n"/>
      <c r="L1026" s="22">
        <f>IF(OR(J1026="",K1026=""),"",J1026*K1026)</f>
        <v/>
      </c>
      <c r="M1026" s="19" t="n"/>
      <c r="N1026" s="20" t="n"/>
      <c r="O1026" s="20" t="n"/>
    </row>
    <row r="1027">
      <c r="A1027" s="23" t="n">
        <v>1024</v>
      </c>
      <c r="B1027" s="23" t="inlineStr">
        <is>
          <t>2.3.2.7.1</t>
        </is>
      </c>
      <c r="C1027" s="25" t="inlineStr">
        <is>
          <t>Part 2 – Technical Systems</t>
        </is>
      </c>
      <c r="D1027" s="25" t="inlineStr">
        <is>
          <t>2.3 INCIDENT AND RESOURCE MANAGEMENT SYSTEM (IRMS)</t>
        </is>
      </c>
      <c r="E1027" s="25" t="inlineStr">
        <is>
          <t>2.3.2 INCIDENT REGISTERING</t>
        </is>
      </c>
      <c r="F1027" s="25" t="inlineStr">
        <is>
          <t>Operator can do an immediate transfer to: A language translator within or at any other OSS911 Center if required; A call taker with language translator qualification preforming the translator role ; alternatively, if required, a language translator may be a part of the call and involved in a multi-party call with the call taker and the calling party.</t>
        </is>
      </c>
      <c r="G1027" s="19" t="n"/>
      <c r="H1027" s="20" t="n"/>
      <c r="I1027" s="20" t="n"/>
      <c r="J1027" s="19" t="n"/>
      <c r="K1027" s="21" t="n"/>
      <c r="L1027" s="22">
        <f>IF(OR(J1027="",K1027=""),"",J1027*K1027)</f>
        <v/>
      </c>
      <c r="M1027" s="19" t="n"/>
      <c r="N1027" s="20" t="n"/>
      <c r="O1027" s="20" t="n"/>
    </row>
    <row r="1028">
      <c r="A1028" s="16" t="n">
        <v>1025</v>
      </c>
      <c r="B1028" s="16" t="inlineStr">
        <is>
          <t>2.3.2.7.2</t>
        </is>
      </c>
      <c r="C1028" s="18" t="inlineStr">
        <is>
          <t>Part 2 – Technical Systems</t>
        </is>
      </c>
      <c r="D1028" s="18" t="inlineStr">
        <is>
          <t>2.3 INCIDENT AND RESOURCE MANAGEMENT SYSTEM (IRMS)</t>
        </is>
      </c>
      <c r="E1028" s="18" t="inlineStr">
        <is>
          <t>2.3.2 INCIDENT REGISTERING</t>
        </is>
      </c>
      <c r="F1028" s="18" t="inlineStr">
        <is>
          <t>Transfer caller using conference call capability to a non- emergency point of contact if the call is classified as not an emergency and does not require response through OSS911 solution.</t>
        </is>
      </c>
      <c r="G1028" s="19" t="n"/>
      <c r="H1028" s="20" t="n"/>
      <c r="I1028" s="20" t="n"/>
      <c r="J1028" s="19" t="n"/>
      <c r="K1028" s="21" t="n"/>
      <c r="L1028" s="22">
        <f>IF(OR(J1028="",K1028=""),"",J1028*K1028)</f>
        <v/>
      </c>
      <c r="M1028" s="19" t="n"/>
      <c r="N1028" s="20" t="n"/>
      <c r="O1028" s="20" t="n"/>
    </row>
    <row r="1029">
      <c r="A1029" s="23" t="n">
        <v>1026</v>
      </c>
      <c r="B1029" s="23" t="inlineStr">
        <is>
          <t>2.3.2.7.3</t>
        </is>
      </c>
      <c r="C1029" s="25" t="inlineStr">
        <is>
          <t>Part 2 – Technical Systems</t>
        </is>
      </c>
      <c r="D1029" s="25" t="inlineStr">
        <is>
          <t>2.3 INCIDENT AND RESOURCE MANAGEMENT SYSTEM (IRMS)</t>
        </is>
      </c>
      <c r="E1029" s="25" t="inlineStr">
        <is>
          <t>2.3.2 INCIDENT REGISTERING</t>
        </is>
      </c>
      <c r="F1029" s="25" t="inlineStr">
        <is>
          <t>Transfer caller using conference call capability to the relevant Agency when the call is not dispatched by OSS911 agencies – for example an ill person who requires a Saudi Red Crescent Authority response.</t>
        </is>
      </c>
      <c r="G1029" s="19" t="n"/>
      <c r="H1029" s="20" t="n"/>
      <c r="I1029" s="20" t="n"/>
      <c r="J1029" s="19" t="n"/>
      <c r="K1029" s="21" t="n"/>
      <c r="L1029" s="22">
        <f>IF(OR(J1029="",K1029=""),"",J1029*K1029)</f>
        <v/>
      </c>
      <c r="M1029" s="19" t="n"/>
      <c r="N1029" s="20" t="n"/>
      <c r="O1029" s="20" t="n"/>
    </row>
    <row r="1030">
      <c r="A1030" s="16" t="n">
        <v>1027</v>
      </c>
      <c r="B1030" s="16" t="inlineStr">
        <is>
          <t>2.3.2.7.4</t>
        </is>
      </c>
      <c r="C1030" s="18" t="inlineStr">
        <is>
          <t>Part 2 – Technical Systems</t>
        </is>
      </c>
      <c r="D1030" s="18" t="inlineStr">
        <is>
          <t>2.3 INCIDENT AND RESOURCE MANAGEMENT SYSTEM (IRMS)</t>
        </is>
      </c>
      <c r="E1030" s="18" t="inlineStr">
        <is>
          <t>2.3.2 INCIDENT REGISTERING</t>
        </is>
      </c>
      <c r="F1030" s="18" t="inlineStr">
        <is>
          <t>Maintain a recording of received inbound call and call transfers.</t>
        </is>
      </c>
      <c r="G1030" s="19" t="n"/>
      <c r="H1030" s="20" t="n"/>
      <c r="I1030" s="20" t="n"/>
      <c r="J1030" s="19" t="n"/>
      <c r="K1030" s="21" t="n"/>
      <c r="L1030" s="22">
        <f>IF(OR(J1030="",K1030=""),"",J1030*K1030)</f>
        <v/>
      </c>
      <c r="M1030" s="19" t="n"/>
      <c r="N1030" s="20" t="n"/>
      <c r="O1030" s="20" t="n"/>
    </row>
    <row r="1031">
      <c r="A1031" s="23" t="n">
        <v>1028</v>
      </c>
      <c r="B1031" s="24" t="inlineStr">
        <is>
          <t>2.3.2.8</t>
        </is>
      </c>
      <c r="C1031" s="25" t="inlineStr">
        <is>
          <t>Part 2 – Technical Systems</t>
        </is>
      </c>
      <c r="D1031" s="25" t="inlineStr">
        <is>
          <t>2.3 INCIDENT AND RESOURCE MANAGEMENT SYSTEM (IRMS)</t>
        </is>
      </c>
      <c r="E1031" s="25" t="inlineStr">
        <is>
          <t>2.3.2 INCIDENT REGISTERING</t>
        </is>
      </c>
      <c r="F1031" s="25" t="inlineStr">
        <is>
          <t>The IRMS shall be deliver the functionality of business intelligence (with reports, statistics and dashboards) and decision support.</t>
        </is>
      </c>
      <c r="G1031" s="19" t="n"/>
      <c r="H1031" s="20" t="n"/>
      <c r="I1031" s="20" t="n"/>
      <c r="J1031" s="19" t="n"/>
      <c r="K1031" s="21" t="n"/>
      <c r="L1031" s="22">
        <f>IF(OR(J1031="",K1031=""),"",J1031*K1031)</f>
        <v/>
      </c>
      <c r="M1031" s="19" t="n"/>
      <c r="N1031" s="20" t="n"/>
      <c r="O1031" s="20" t="n"/>
    </row>
    <row r="1032">
      <c r="A1032" s="16" t="n">
        <v>1029</v>
      </c>
      <c r="B1032" s="17" t="inlineStr">
        <is>
          <t>2.3.2.9</t>
        </is>
      </c>
      <c r="C1032" s="18" t="inlineStr">
        <is>
          <t>Part 2 – Technical Systems</t>
        </is>
      </c>
      <c r="D1032" s="18" t="inlineStr">
        <is>
          <t>2.3 INCIDENT AND RESOURCE MANAGEMENT SYSTEM (IRMS)</t>
        </is>
      </c>
      <c r="E1032" s="18" t="inlineStr">
        <is>
          <t>2.3.2 INCIDENT REGISTERING</t>
        </is>
      </c>
      <c r="F1032" s="18" t="inlineStr">
        <is>
          <t>The interface to the telephony system shall allow call details to be passed automatically to the IRMS.</t>
        </is>
      </c>
      <c r="G1032" s="19" t="n"/>
      <c r="H1032" s="20" t="n"/>
      <c r="I1032" s="20" t="n"/>
      <c r="J1032" s="19" t="n"/>
      <c r="K1032" s="21" t="n"/>
      <c r="L1032" s="22">
        <f>IF(OR(J1032="",K1032=""),"",J1032*K1032)</f>
        <v/>
      </c>
      <c r="M1032" s="19" t="n"/>
      <c r="N1032" s="20" t="n"/>
      <c r="O1032" s="20" t="n"/>
    </row>
    <row r="1033">
      <c r="A1033" s="23" t="n">
        <v>1030</v>
      </c>
      <c r="B1033" s="24" t="inlineStr">
        <is>
          <t>2.3.2.10</t>
        </is>
      </c>
      <c r="C1033" s="25" t="inlineStr">
        <is>
          <t>Part 2 – Technical Systems</t>
        </is>
      </c>
      <c r="D1033" s="25" t="inlineStr">
        <is>
          <t>2.3 INCIDENT AND RESOURCE MANAGEMENT SYSTEM (IRMS)</t>
        </is>
      </c>
      <c r="E1033" s="25" t="inlineStr">
        <is>
          <t>2.3.2 INCIDENT REGISTERING</t>
        </is>
      </c>
      <c r="F1033" s="25" t="inlineStr">
        <is>
          <t>The interface to MOI radio communications networks will allow silent (text) dispatching and provision of background information to support incident response. It will also allow for auto updating through the use of status messaging and field access to incident records.</t>
        </is>
      </c>
      <c r="G1033" s="19" t="n"/>
      <c r="H1033" s="20" t="n"/>
      <c r="I1033" s="20" t="n"/>
      <c r="J1033" s="19" t="n"/>
      <c r="K1033" s="21" t="n"/>
      <c r="L1033" s="22">
        <f>IF(OR(J1033="",K1033=""),"",J1033*K1033)</f>
        <v/>
      </c>
      <c r="M1033" s="19" t="n"/>
      <c r="N1033" s="20" t="n"/>
      <c r="O1033" s="20" t="n"/>
    </row>
    <row r="1034">
      <c r="A1034" s="16" t="n">
        <v>1031</v>
      </c>
      <c r="B1034" s="17" t="inlineStr">
        <is>
          <t>2.3.2.11</t>
        </is>
      </c>
      <c r="C1034" s="18" t="inlineStr">
        <is>
          <t>Part 2 – Technical Systems</t>
        </is>
      </c>
      <c r="D1034" s="18" t="inlineStr">
        <is>
          <t>2.3 INCIDENT AND RESOURCE MANAGEMENT SYSTEM (IRMS)</t>
        </is>
      </c>
      <c r="E1034" s="18" t="inlineStr">
        <is>
          <t>2.3.2 INCIDENT REGISTERING</t>
        </is>
      </c>
      <c r="F1034" s="18" t="inlineStr">
        <is>
          <t>Where an incident is automatically created as a result of an incoming call via the telephone system, on receipt of the call details, the IRMS shall generate a new unique record, date and time stamp the call and give the input screen to the operator.</t>
        </is>
      </c>
      <c r="G1034" s="19" t="n"/>
      <c r="H1034" s="20" t="n"/>
      <c r="I1034" s="20" t="n"/>
      <c r="J1034" s="19" t="n"/>
      <c r="K1034" s="21" t="n"/>
      <c r="L1034" s="22">
        <f>IF(OR(J1034="",K1034=""),"",J1034*K1034)</f>
        <v/>
      </c>
      <c r="M1034" s="19" t="n"/>
      <c r="N1034" s="20" t="n"/>
      <c r="O1034" s="20" t="n"/>
    </row>
    <row r="1035">
      <c r="A1035" s="23" t="n">
        <v>1032</v>
      </c>
      <c r="B1035" s="24" t="inlineStr">
        <is>
          <t>2.3.2.12</t>
        </is>
      </c>
      <c r="C1035" s="25" t="inlineStr">
        <is>
          <t>Part 2 – Technical Systems</t>
        </is>
      </c>
      <c r="D1035" s="25" t="inlineStr">
        <is>
          <t>2.3 INCIDENT AND RESOURCE MANAGEMENT SYSTEM (IRMS)</t>
        </is>
      </c>
      <c r="E1035" s="25" t="inlineStr">
        <is>
          <t>2.3.2 INCIDENT REGISTERING</t>
        </is>
      </c>
      <c r="F1035" s="25" t="inlineStr">
        <is>
          <t>The system shall allow the operator to commence filling the input forms and provide:</t>
        </is>
      </c>
      <c r="G1035" s="19" t="n"/>
      <c r="H1035" s="20" t="n"/>
      <c r="I1035" s="20" t="n"/>
      <c r="J1035" s="19" t="n"/>
      <c r="K1035" s="21" t="n"/>
      <c r="L1035" s="22">
        <f>IF(OR(J1035="",K1035=""),"",J1035*K1035)</f>
        <v/>
      </c>
      <c r="M1035" s="19" t="n"/>
      <c r="N1035" s="20" t="n"/>
      <c r="O1035" s="20" t="n"/>
    </row>
    <row r="1036">
      <c r="A1036" s="16" t="n">
        <v>1033</v>
      </c>
      <c r="B1036" s="16" t="inlineStr">
        <is>
          <t>2.3.2.12.1</t>
        </is>
      </c>
      <c r="C1036" s="18" t="inlineStr">
        <is>
          <t>Part 2 – Technical Systems</t>
        </is>
      </c>
      <c r="D1036" s="18" t="inlineStr">
        <is>
          <t>2.3 INCIDENT AND RESOURCE MANAGEMENT SYSTEM (IRMS)</t>
        </is>
      </c>
      <c r="E1036" s="18" t="inlineStr">
        <is>
          <t>2.3.2 INCIDENT REGISTERING</t>
        </is>
      </c>
      <c r="F1036" s="18" t="inlineStr">
        <is>
          <t>Visual alert to an open incident record, or a closed record created within a user configurable time frame which already exists from the calling number</t>
        </is>
      </c>
      <c r="G1036" s="19" t="n"/>
      <c r="H1036" s="20" t="n"/>
      <c r="I1036" s="20" t="n"/>
      <c r="J1036" s="19" t="n"/>
      <c r="K1036" s="21" t="n"/>
      <c r="L1036" s="22">
        <f>IF(OR(J1036="",K1036=""),"",J1036*K1036)</f>
        <v/>
      </c>
      <c r="M1036" s="19" t="n"/>
      <c r="N1036" s="20" t="n"/>
      <c r="O1036" s="20" t="n"/>
    </row>
    <row r="1037">
      <c r="A1037" s="23" t="n">
        <v>1034</v>
      </c>
      <c r="B1037" s="23" t="inlineStr">
        <is>
          <t>2.3.2.12.2</t>
        </is>
      </c>
      <c r="C1037" s="25" t="inlineStr">
        <is>
          <t>Part 2 – Technical Systems</t>
        </is>
      </c>
      <c r="D1037" s="25" t="inlineStr">
        <is>
          <t>2.3 INCIDENT AND RESOURCE MANAGEMENT SYSTEM (IRMS)</t>
        </is>
      </c>
      <c r="E1037" s="25" t="inlineStr">
        <is>
          <t>2.3.2 INCIDENT REGISTERING</t>
        </is>
      </c>
      <c r="F1037" s="25" t="inlineStr">
        <is>
          <t>Visual alert of an open incident record, or a closed record created within a system configurable time frame which already exists within a system configurable distance from the incident location.</t>
        </is>
      </c>
      <c r="G1037" s="19" t="n"/>
      <c r="H1037" s="20" t="n"/>
      <c r="I1037" s="20" t="n"/>
      <c r="J1037" s="19" t="n"/>
      <c r="K1037" s="21" t="n"/>
      <c r="L1037" s="22">
        <f>IF(OR(J1037="",K1037=""),"",J1037*K1037)</f>
        <v/>
      </c>
      <c r="M1037" s="19" t="n"/>
      <c r="N1037" s="20" t="n"/>
      <c r="O1037" s="20" t="n"/>
    </row>
    <row r="1038">
      <c r="A1038" s="16" t="n">
        <v>1035</v>
      </c>
      <c r="B1038" s="16" t="inlineStr">
        <is>
          <t>2.3.2.12.3</t>
        </is>
      </c>
      <c r="C1038" s="18" t="inlineStr">
        <is>
          <t>Part 2 – Technical Systems</t>
        </is>
      </c>
      <c r="D1038" s="18" t="inlineStr">
        <is>
          <t>2.3 INCIDENT AND RESOURCE MANAGEMENT SYSTEM (IRMS)</t>
        </is>
      </c>
      <c r="E1038" s="18" t="inlineStr">
        <is>
          <t>2.3.2 INCIDENT REGISTERING</t>
        </is>
      </c>
      <c r="F1038" s="18" t="inlineStr">
        <is>
          <t>Access to such an incident record and a summary of those record(s) shall be viewable to the operator. The operator shall be able to interrogate full record details.</t>
        </is>
      </c>
      <c r="G1038" s="19" t="n"/>
      <c r="H1038" s="20" t="n"/>
      <c r="I1038" s="20" t="n"/>
      <c r="J1038" s="19" t="n"/>
      <c r="K1038" s="21" t="n"/>
      <c r="L1038" s="22">
        <f>IF(OR(J1038="",K1038=""),"",J1038*K1038)</f>
        <v/>
      </c>
      <c r="M1038" s="19" t="n"/>
      <c r="N1038" s="20" t="n"/>
      <c r="O1038" s="20" t="n"/>
    </row>
    <row r="1039">
      <c r="A1039" s="23" t="n">
        <v>1036</v>
      </c>
      <c r="B1039" s="24" t="inlineStr">
        <is>
          <t>2.3.2.13</t>
        </is>
      </c>
      <c r="C1039" s="25" t="inlineStr">
        <is>
          <t>Part 2 – Technical Systems</t>
        </is>
      </c>
      <c r="D1039" s="25" t="inlineStr">
        <is>
          <t>2.3 INCIDENT AND RESOURCE MANAGEMENT SYSTEM (IRMS)</t>
        </is>
      </c>
      <c r="E1039" s="25" t="inlineStr">
        <is>
          <t>2.3.2 INCIDENT REGISTERING</t>
        </is>
      </c>
      <c r="F1039" s="25" t="inlineStr">
        <is>
          <t>If the incident is confirmed by the operator to be a duplicate the details from the new incident are copied to the master where different and the duplicate is closed.</t>
        </is>
      </c>
      <c r="G1039" s="19" t="n"/>
      <c r="H1039" s="20" t="n"/>
      <c r="I1039" s="20" t="n"/>
      <c r="J1039" s="19" t="n"/>
      <c r="K1039" s="21" t="n"/>
      <c r="L1039" s="22">
        <f>IF(OR(J1039="",K1039=""),"",J1039*K1039)</f>
        <v/>
      </c>
      <c r="M1039" s="19" t="n"/>
      <c r="N1039" s="20" t="n"/>
      <c r="O1039" s="20" t="n"/>
    </row>
    <row r="1040">
      <c r="A1040" s="16" t="n">
        <v>1037</v>
      </c>
      <c r="B1040" s="17" t="inlineStr">
        <is>
          <t>2.3.2.14</t>
        </is>
      </c>
      <c r="C1040" s="18" t="inlineStr">
        <is>
          <t>Part 2 – Technical Systems</t>
        </is>
      </c>
      <c r="D1040" s="18" t="inlineStr">
        <is>
          <t>2.3 INCIDENT AND RESOURCE MANAGEMENT SYSTEM (IRMS)</t>
        </is>
      </c>
      <c r="E1040" s="18" t="inlineStr">
        <is>
          <t>2.3.2 INCIDENT REGISTERING</t>
        </is>
      </c>
      <c r="F1040" s="18" t="inlineStr">
        <is>
          <t>The IRMS shall:</t>
        </is>
      </c>
      <c r="G1040" s="19" t="n"/>
      <c r="H1040" s="20" t="n"/>
      <c r="I1040" s="20" t="n"/>
      <c r="J1040" s="19" t="n"/>
      <c r="K1040" s="21" t="n"/>
      <c r="L1040" s="22">
        <f>IF(OR(J1040="",K1040=""),"",J1040*K1040)</f>
        <v/>
      </c>
      <c r="M1040" s="19" t="n"/>
      <c r="N1040" s="20" t="n"/>
      <c r="O1040" s="20" t="n"/>
    </row>
    <row r="1041">
      <c r="A1041" s="23" t="n">
        <v>1038</v>
      </c>
      <c r="B1041" s="23" t="inlineStr">
        <is>
          <t>2.3.2.14.1</t>
        </is>
      </c>
      <c r="C1041" s="25" t="inlineStr">
        <is>
          <t>Part 2 – Technical Systems</t>
        </is>
      </c>
      <c r="D1041" s="25" t="inlineStr">
        <is>
          <t>2.3 INCIDENT AND RESOURCE MANAGEMENT SYSTEM (IRMS)</t>
        </is>
      </c>
      <c r="E1041" s="25" t="inlineStr">
        <is>
          <t>2.3.2 INCIDENT REGISTERING</t>
        </is>
      </c>
      <c r="F1041" s="25" t="inlineStr">
        <is>
          <t>Pass the phone number data from the CONTRACTOR provided telephony solution to the IRMS on reception of an emergency call.</t>
        </is>
      </c>
      <c r="G1041" s="19" t="n"/>
      <c r="H1041" s="20" t="n"/>
      <c r="I1041" s="20" t="n"/>
      <c r="J1041" s="19" t="n"/>
      <c r="K1041" s="21" t="n"/>
      <c r="L1041" s="22">
        <f>IF(OR(J1041="",K1041=""),"",J1041*K1041)</f>
        <v/>
      </c>
      <c r="M1041" s="19" t="n"/>
      <c r="N1041" s="20" t="n"/>
      <c r="O1041" s="20" t="n"/>
    </row>
    <row r="1042">
      <c r="A1042" s="16" t="n">
        <v>1039</v>
      </c>
      <c r="B1042" s="16" t="inlineStr">
        <is>
          <t>2.3.2.14.2</t>
        </is>
      </c>
      <c r="C1042" s="18" t="inlineStr">
        <is>
          <t>Part 2 – Technical Systems</t>
        </is>
      </c>
      <c r="D1042" s="18" t="inlineStr">
        <is>
          <t>2.3 INCIDENT AND RESOURCE MANAGEMENT SYSTEM (IRMS)</t>
        </is>
      </c>
      <c r="E1042" s="18" t="inlineStr">
        <is>
          <t>2.3.2 INCIDENT REGISTERING</t>
        </is>
      </c>
      <c r="F1042" s="18" t="inlineStr">
        <is>
          <t>Automatically query the ANI/ALI records and the caller profile information through the integration provided by the CONTRACTOR to the caller location and caller information service providers as determined by the MOI.</t>
        </is>
      </c>
      <c r="G1042" s="19" t="n"/>
      <c r="H1042" s="20" t="n"/>
      <c r="I1042" s="20" t="n"/>
      <c r="J1042" s="19" t="n"/>
      <c r="K1042" s="21" t="n"/>
      <c r="L1042" s="22">
        <f>IF(OR(J1042="",K1042=""),"",J1042*K1042)</f>
        <v/>
      </c>
      <c r="M1042" s="19" t="n"/>
      <c r="N1042" s="20" t="n"/>
      <c r="O1042" s="20" t="n"/>
    </row>
    <row r="1043">
      <c r="A1043" s="23" t="n">
        <v>1040</v>
      </c>
      <c r="B1043" s="23" t="inlineStr">
        <is>
          <t>2.3.2.14.3</t>
        </is>
      </c>
      <c r="C1043" s="25" t="inlineStr">
        <is>
          <t>Part 2 – Technical Systems</t>
        </is>
      </c>
      <c r="D1043" s="25" t="inlineStr">
        <is>
          <t>2.3 INCIDENT AND RESOURCE MANAGEMENT SYSTEM (IRMS)</t>
        </is>
      </c>
      <c r="E1043" s="25" t="inlineStr">
        <is>
          <t>2.3.2 INCIDENT REGISTERING</t>
        </is>
      </c>
      <c r="F1043" s="25" t="inlineStr">
        <is>
          <t>Populate distinct fields in the incident record (event) form and all the databases with returned caller location information from this query such that the operator is able to determine and use the best caller location from the different caller location sources and compare it with the information provided by the caller.</t>
        </is>
      </c>
      <c r="G1043" s="19" t="n"/>
      <c r="H1043" s="20" t="n"/>
      <c r="I1043" s="20" t="n"/>
      <c r="J1043" s="19" t="n"/>
      <c r="K1043" s="21" t="n"/>
      <c r="L1043" s="22">
        <f>IF(OR(J1043="",K1043=""),"",J1043*K1043)</f>
        <v/>
      </c>
      <c r="M1043" s="19" t="n"/>
      <c r="N1043" s="20" t="n"/>
      <c r="O1043" s="20" t="n"/>
    </row>
    <row r="1044">
      <c r="A1044" s="16" t="n">
        <v>1041</v>
      </c>
      <c r="B1044" s="16" t="inlineStr">
        <is>
          <t>2.3.2.14.4</t>
        </is>
      </c>
      <c r="C1044" s="18" t="inlineStr">
        <is>
          <t>Part 2 – Technical Systems</t>
        </is>
      </c>
      <c r="D1044" s="18" t="inlineStr">
        <is>
          <t>2.3 INCIDENT AND RESOURCE MANAGEMENT SYSTEM (IRMS)</t>
        </is>
      </c>
      <c r="E1044" s="18" t="inlineStr">
        <is>
          <t>2.3.2 INCIDENT REGISTERING</t>
        </is>
      </c>
      <c r="F1044" s="18" t="inlineStr">
        <is>
          <t>Provide two caller location fields within the IRMS solutions in each of the applications in the IRMS solution including but not limited to the computer aided dispatch solution and IP telephony softphone / software telephone console.</t>
        </is>
      </c>
      <c r="G1044" s="19" t="n"/>
      <c r="H1044" s="20" t="n"/>
      <c r="I1044" s="20" t="n"/>
      <c r="J1044" s="19" t="n"/>
      <c r="K1044" s="21" t="n"/>
      <c r="L1044" s="22">
        <f>IF(OR(J1044="",K1044=""),"",J1044*K1044)</f>
        <v/>
      </c>
      <c r="M1044" s="19" t="n"/>
      <c r="N1044" s="20" t="n"/>
      <c r="O1044" s="20" t="n"/>
    </row>
    <row r="1045">
      <c r="A1045" s="23" t="n">
        <v>1042</v>
      </c>
      <c r="B1045" s="23" t="inlineStr">
        <is>
          <t>2.3.2.14.5</t>
        </is>
      </c>
      <c r="C1045" s="25" t="inlineStr">
        <is>
          <t>Part 2 – Technical Systems</t>
        </is>
      </c>
      <c r="D1045" s="25" t="inlineStr">
        <is>
          <t>2.3 INCIDENT AND RESOURCE MANAGEMENT SYSTEM (IRMS)</t>
        </is>
      </c>
      <c r="E1045" s="25" t="inlineStr">
        <is>
          <t>2.3.2 INCIDENT REGISTERING</t>
        </is>
      </c>
      <c r="F1045" s="25" t="inlineStr">
        <is>
          <t>Populate distinct fields in the incident record (event) form and all the databases with returned caller profile information returned from this query.</t>
        </is>
      </c>
      <c r="G1045" s="19" t="n"/>
      <c r="H1045" s="20" t="n"/>
      <c r="I1045" s="20" t="n"/>
      <c r="J1045" s="19" t="n"/>
      <c r="K1045" s="21" t="n"/>
      <c r="L1045" s="22">
        <f>IF(OR(J1045="",K1045=""),"",J1045*K1045)</f>
        <v/>
      </c>
      <c r="M1045" s="19" t="n"/>
      <c r="N1045" s="20" t="n"/>
      <c r="O1045" s="20" t="n"/>
    </row>
    <row r="1046">
      <c r="A1046" s="16" t="n">
        <v>1043</v>
      </c>
      <c r="B1046" s="16" t="inlineStr">
        <is>
          <t>2.3.2.14.6</t>
        </is>
      </c>
      <c r="C1046" s="18" t="inlineStr">
        <is>
          <t>Part 2 – Technical Systems</t>
        </is>
      </c>
      <c r="D1046" s="18" t="inlineStr">
        <is>
          <t>2.3 INCIDENT AND RESOURCE MANAGEMENT SYSTEM (IRMS)</t>
        </is>
      </c>
      <c r="E1046" s="18" t="inlineStr">
        <is>
          <t>2.3.2 INCIDENT REGISTERING</t>
        </is>
      </c>
      <c r="F1046" s="18" t="inlineStr">
        <is>
          <t>Interface with MOI identified web services to obtain the emergency information (relative name, relative telephone number, addresses, blood group, known medical history etc.) for each person and populate the corresponding fields in IRMS and store the obtained data as part of the incident record within the databases to be utilized by concerned personnel including dispatch, field responders, quality team, center management among others.</t>
        </is>
      </c>
      <c r="G1046" s="19" t="n"/>
      <c r="H1046" s="20" t="n"/>
      <c r="I1046" s="20" t="n"/>
      <c r="J1046" s="19" t="n"/>
      <c r="K1046" s="21" t="n"/>
      <c r="L1046" s="22">
        <f>IF(OR(J1046="",K1046=""),"",J1046*K1046)</f>
        <v/>
      </c>
      <c r="M1046" s="19" t="n"/>
      <c r="N1046" s="20" t="n"/>
      <c r="O1046" s="20" t="n"/>
    </row>
    <row r="1047">
      <c r="A1047" s="23" t="n">
        <v>1044</v>
      </c>
      <c r="B1047" s="23" t="inlineStr">
        <is>
          <t>2.3.2.14.7</t>
        </is>
      </c>
      <c r="C1047" s="25" t="inlineStr">
        <is>
          <t>Part 2 – Technical Systems</t>
        </is>
      </c>
      <c r="D1047" s="25" t="inlineStr">
        <is>
          <t>2.3 INCIDENT AND RESOURCE MANAGEMENT SYSTEM (IRMS)</t>
        </is>
      </c>
      <c r="E1047" s="25" t="inlineStr">
        <is>
          <t>2.3.2 INCIDENT REGISTERING</t>
        </is>
      </c>
      <c r="F1047" s="25" t="inlineStr">
        <is>
          <t>Perform an association of the Incident Record to the call so that if the call is transferred, the incident record with ANI/ALI information and caller profile information can be automatically associated with the call at the receiving operator’s workstation</t>
        </is>
      </c>
      <c r="G1047" s="19" t="n"/>
      <c r="H1047" s="20" t="n"/>
      <c r="I1047" s="20" t="n"/>
      <c r="J1047" s="19" t="n"/>
      <c r="K1047" s="21" t="n"/>
      <c r="L1047" s="22">
        <f>IF(OR(J1047="",K1047=""),"",J1047*K1047)</f>
        <v/>
      </c>
      <c r="M1047" s="19" t="n"/>
      <c r="N1047" s="20" t="n"/>
      <c r="O1047" s="20" t="n"/>
    </row>
    <row r="1048">
      <c r="A1048" s="16" t="n">
        <v>1045</v>
      </c>
      <c r="B1048" s="16" t="inlineStr">
        <is>
          <t>2.3.2.14.8</t>
        </is>
      </c>
      <c r="C1048" s="18" t="inlineStr">
        <is>
          <t>Part 2 – Technical Systems</t>
        </is>
      </c>
      <c r="D1048" s="18" t="inlineStr">
        <is>
          <t>2.3 INCIDENT AND RESOURCE MANAGEMENT SYSTEM (IRMS)</t>
        </is>
      </c>
      <c r="E1048" s="18" t="inlineStr">
        <is>
          <t>2.3.2 INCIDENT REGISTERING</t>
        </is>
      </c>
      <c r="F1048" s="18" t="inlineStr">
        <is>
          <t>In a separate window, plot the location of the caller on an IRMS map display</t>
        </is>
      </c>
      <c r="G1048" s="19" t="n"/>
      <c r="H1048" s="20" t="n"/>
      <c r="I1048" s="20" t="n"/>
      <c r="J1048" s="19" t="n"/>
      <c r="K1048" s="21" t="n"/>
      <c r="L1048" s="22">
        <f>IF(OR(J1048="",K1048=""),"",J1048*K1048)</f>
        <v/>
      </c>
      <c r="M1048" s="19" t="n"/>
      <c r="N1048" s="20" t="n"/>
      <c r="O1048" s="20" t="n"/>
    </row>
    <row r="1049">
      <c r="A1049" s="23" t="n">
        <v>1046</v>
      </c>
      <c r="B1049" s="23" t="inlineStr">
        <is>
          <t>2.3.2.14.9</t>
        </is>
      </c>
      <c r="C1049" s="25" t="inlineStr">
        <is>
          <t>Part 2 – Technical Systems</t>
        </is>
      </c>
      <c r="D1049" s="25" t="inlineStr">
        <is>
          <t>2.3 INCIDENT AND RESOURCE MANAGEMENT SYSTEM (IRMS)</t>
        </is>
      </c>
      <c r="E1049" s="25" t="inlineStr">
        <is>
          <t>2.3.2 INCIDENT REGISTERING</t>
        </is>
      </c>
      <c r="F1049" s="25" t="inlineStr">
        <is>
          <t>Based on the incident type and location, the IRMS shall automatically determine which agency, and if relevant the geographic area within that agency that will be responsible for handling the incident.</t>
        </is>
      </c>
      <c r="G1049" s="19" t="n"/>
      <c r="H1049" s="20" t="n"/>
      <c r="I1049" s="20" t="n"/>
      <c r="J1049" s="19" t="n"/>
      <c r="K1049" s="21" t="n"/>
      <c r="L1049" s="22">
        <f>IF(OR(J1049="",K1049=""),"",J1049*K1049)</f>
        <v/>
      </c>
      <c r="M1049" s="19" t="n"/>
      <c r="N1049" s="20" t="n"/>
      <c r="O1049" s="20" t="n"/>
    </row>
    <row r="1050">
      <c r="A1050" s="16" t="n">
        <v>1047</v>
      </c>
      <c r="B1050" s="16" t="inlineStr">
        <is>
          <t>2.3.2.14.10</t>
        </is>
      </c>
      <c r="C1050" s="18" t="inlineStr">
        <is>
          <t>Part 2 – Technical Systems</t>
        </is>
      </c>
      <c r="D1050" s="18" t="inlineStr">
        <is>
          <t>2.3 INCIDENT AND RESOURCE MANAGEMENT SYSTEM (IRMS)</t>
        </is>
      </c>
      <c r="E1050" s="18" t="inlineStr">
        <is>
          <t>2.3.2 INCIDENT REGISTERING</t>
        </is>
      </c>
      <c r="F1050" s="18" t="inlineStr">
        <is>
          <t>Integrate with the record management system in the NIC and the MOI through the related web service provided by them.</t>
        </is>
      </c>
      <c r="G1050" s="19" t="n"/>
      <c r="H1050" s="20" t="n"/>
      <c r="I1050" s="20" t="n"/>
      <c r="J1050" s="19" t="n"/>
      <c r="K1050" s="21" t="n"/>
      <c r="L1050" s="22">
        <f>IF(OR(J1050="",K1050=""),"",J1050*K1050)</f>
        <v/>
      </c>
      <c r="M1050" s="19" t="n"/>
      <c r="N1050" s="20" t="n"/>
      <c r="O1050" s="20" t="n"/>
    </row>
    <row r="1051">
      <c r="A1051" s="23" t="n">
        <v>1048</v>
      </c>
      <c r="B1051" s="23" t="inlineStr">
        <is>
          <t>2.3.2.14.11</t>
        </is>
      </c>
      <c r="C1051" s="25" t="inlineStr">
        <is>
          <t>Part 2 – Technical Systems</t>
        </is>
      </c>
      <c r="D1051" s="25" t="inlineStr">
        <is>
          <t>2.3 INCIDENT AND RESOURCE MANAGEMENT SYSTEM (IRMS)</t>
        </is>
      </c>
      <c r="E1051" s="25" t="inlineStr">
        <is>
          <t>2.3.2 INCIDENT REGISTERING</t>
        </is>
      </c>
      <c r="F1051" s="25" t="inlineStr">
        <is>
          <t>Integrate with different agencies information systems through IRMS web services to share the incident and/or event information, statistics and reports.</t>
        </is>
      </c>
      <c r="G1051" s="19" t="n"/>
      <c r="H1051" s="20" t="n"/>
      <c r="I1051" s="20" t="n"/>
      <c r="J1051" s="19" t="n"/>
      <c r="K1051" s="21" t="n"/>
      <c r="L1051" s="22">
        <f>IF(OR(J1051="",K1051=""),"",J1051*K1051)</f>
        <v/>
      </c>
      <c r="M1051" s="19" t="n"/>
      <c r="N1051" s="20" t="n"/>
      <c r="O1051" s="20" t="n"/>
    </row>
    <row r="1052">
      <c r="A1052" s="16" t="n">
        <v>1049</v>
      </c>
      <c r="B1052" s="17" t="inlineStr">
        <is>
          <t>2.3.2.15</t>
        </is>
      </c>
      <c r="C1052" s="18" t="inlineStr">
        <is>
          <t>Part 2 – Technical Systems</t>
        </is>
      </c>
      <c r="D1052" s="18" t="inlineStr">
        <is>
          <t>2.3 INCIDENT AND RESOURCE MANAGEMENT SYSTEM (IRMS)</t>
        </is>
      </c>
      <c r="E1052" s="18" t="inlineStr">
        <is>
          <t>2.3.2 INCIDENT REGISTERING</t>
        </is>
      </c>
      <c r="F1052" s="18" t="inlineStr">
        <is>
          <t>The IRMS shall allow a call taker to send updates related to the incident to dispatch immediately in some cases while continuing to engage the call taker and take additional details. It shall include update details in the call record. The OSS911 solution shall have the capability to report the use of this feature.</t>
        </is>
      </c>
      <c r="G1052" s="19" t="n"/>
      <c r="H1052" s="20" t="n"/>
      <c r="I1052" s="20" t="n"/>
      <c r="J1052" s="19" t="n"/>
      <c r="K1052" s="21" t="n"/>
      <c r="L1052" s="22">
        <f>IF(OR(J1052="",K1052=""),"",J1052*K1052)</f>
        <v/>
      </c>
      <c r="M1052" s="19" t="n"/>
      <c r="N1052" s="20" t="n"/>
      <c r="O1052" s="20" t="n"/>
    </row>
    <row r="1053">
      <c r="A1053" s="23" t="n">
        <v>1050</v>
      </c>
      <c r="B1053" s="24" t="inlineStr">
        <is>
          <t>2.3.2.16</t>
        </is>
      </c>
      <c r="C1053" s="25" t="inlineStr">
        <is>
          <t>Part 2 – Technical Systems</t>
        </is>
      </c>
      <c r="D1053" s="25" t="inlineStr">
        <is>
          <t>2.3 INCIDENT AND RESOURCE MANAGEMENT SYSTEM (IRMS)</t>
        </is>
      </c>
      <c r="E1053" s="25" t="inlineStr">
        <is>
          <t>2.3.2 INCIDENT REGISTERING</t>
        </is>
      </c>
      <c r="F1053" s="25" t="inlineStr">
        <is>
          <t>For incidents registered through integration of IRMS with video management system (VMS) and video analytics (VA), within the IRMS the received video is tagged (linked) to the incident (event) created and a pointer to the video is stored as part of the incident (event) record in all the databases for live and for historical reporting.</t>
        </is>
      </c>
      <c r="G1053" s="19" t="n"/>
      <c r="H1053" s="20" t="n"/>
      <c r="I1053" s="20" t="n"/>
      <c r="J1053" s="19" t="n"/>
      <c r="K1053" s="21" t="n"/>
      <c r="L1053" s="22">
        <f>IF(OR(J1053="",K1053=""),"",J1053*K1053)</f>
        <v/>
      </c>
      <c r="M1053" s="19" t="n"/>
      <c r="N1053" s="20" t="n"/>
      <c r="O1053" s="20" t="n"/>
    </row>
    <row r="1054">
      <c r="A1054" s="16" t="n">
        <v>1051</v>
      </c>
      <c r="B1054" s="17" t="inlineStr">
        <is>
          <t>2.3.3.1</t>
        </is>
      </c>
      <c r="C1054" s="18" t="inlineStr">
        <is>
          <t>Part 2 – Technical Systems</t>
        </is>
      </c>
      <c r="D1054" s="18" t="inlineStr">
        <is>
          <t>2.3 INCIDENT AND RESOURCE MANAGEMENT SYSTEM (IRMS)</t>
        </is>
      </c>
      <c r="E1054" s="18" t="inlineStr">
        <is>
          <t>2.3.3 OPERATOR CAPABILITIES</t>
        </is>
      </c>
      <c r="F1054" s="18" t="inlineStr">
        <is>
          <t>It shall be possible for an operator to manually create an incident.</t>
        </is>
      </c>
      <c r="G1054" s="19" t="n"/>
      <c r="H1054" s="20" t="n"/>
      <c r="I1054" s="20" t="n"/>
      <c r="J1054" s="19" t="n"/>
      <c r="K1054" s="21" t="n"/>
      <c r="L1054" s="22">
        <f>IF(OR(J1054="",K1054=""),"",J1054*K1054)</f>
        <v/>
      </c>
      <c r="M1054" s="19" t="n"/>
      <c r="N1054" s="20" t="n"/>
      <c r="O1054" s="20" t="n"/>
    </row>
    <row r="1055">
      <c r="A1055" s="23" t="n">
        <v>1052</v>
      </c>
      <c r="B1055" s="24" t="inlineStr">
        <is>
          <t>2.3.3.2</t>
        </is>
      </c>
      <c r="C1055" s="25" t="inlineStr">
        <is>
          <t>Part 2 – Technical Systems</t>
        </is>
      </c>
      <c r="D1055" s="25" t="inlineStr">
        <is>
          <t>2.3 INCIDENT AND RESOURCE MANAGEMENT SYSTEM (IRMS)</t>
        </is>
      </c>
      <c r="E1055" s="25" t="inlineStr">
        <is>
          <t>2.3.3 OPERATOR CAPABILITIES</t>
        </is>
      </c>
      <c r="F1055" s="25" t="inlineStr">
        <is>
          <t>It shall be possible for the operator to create and forward incident to a dispatcher for action whilst retaining the template on screen to capture further information from the caller.</t>
        </is>
      </c>
      <c r="G1055" s="19" t="n"/>
      <c r="H1055" s="20" t="n"/>
      <c r="I1055" s="20" t="n"/>
      <c r="J1055" s="19" t="n"/>
      <c r="K1055" s="21" t="n"/>
      <c r="L1055" s="22">
        <f>IF(OR(J1055="",K1055=""),"",J1055*K1055)</f>
        <v/>
      </c>
      <c r="M1055" s="19" t="n"/>
      <c r="N1055" s="20" t="n"/>
      <c r="O1055" s="20" t="n"/>
    </row>
    <row r="1056">
      <c r="A1056" s="16" t="n">
        <v>1053</v>
      </c>
      <c r="B1056" s="17" t="inlineStr">
        <is>
          <t>2.3.3.3</t>
        </is>
      </c>
      <c r="C1056" s="18" t="inlineStr">
        <is>
          <t>Part 2 – Technical Systems</t>
        </is>
      </c>
      <c r="D1056" s="18" t="inlineStr">
        <is>
          <t>2.3 INCIDENT AND RESOURCE MANAGEMENT SYSTEM (IRMS)</t>
        </is>
      </c>
      <c r="E1056" s="18" t="inlineStr">
        <is>
          <t>2.3.3 OPERATOR CAPABILITIES</t>
        </is>
      </c>
      <c r="F1056" s="18" t="inlineStr">
        <is>
          <t>It shall be possible for an operator to manually geographically re- locate the incident that had previously been automatically identified by the system.</t>
        </is>
      </c>
      <c r="G1056" s="19" t="n"/>
      <c r="H1056" s="20" t="n"/>
      <c r="I1056" s="20" t="n"/>
      <c r="J1056" s="19" t="n"/>
      <c r="K1056" s="21" t="n"/>
      <c r="L1056" s="22">
        <f>IF(OR(J1056="",K1056=""),"",J1056*K1056)</f>
        <v/>
      </c>
      <c r="M1056" s="19" t="n"/>
      <c r="N1056" s="20" t="n"/>
      <c r="O1056" s="20" t="n"/>
    </row>
    <row r="1057">
      <c r="A1057" s="23" t="n">
        <v>1054</v>
      </c>
      <c r="B1057" s="24" t="inlineStr">
        <is>
          <t>2.3.3.4</t>
        </is>
      </c>
      <c r="C1057" s="25" t="inlineStr">
        <is>
          <t>Part 2 – Technical Systems</t>
        </is>
      </c>
      <c r="D1057" s="25" t="inlineStr">
        <is>
          <t>2.3 INCIDENT AND RESOURCE MANAGEMENT SYSTEM (IRMS)</t>
        </is>
      </c>
      <c r="E1057" s="25" t="inlineStr">
        <is>
          <t>2.3.3 OPERATOR CAPABILITIES</t>
        </is>
      </c>
      <c r="F1057" s="25" t="inlineStr">
        <is>
          <t>The operator shall be able to separately record details of the caller location and the incident location in different, searchable fields within the incident record.</t>
        </is>
      </c>
      <c r="G1057" s="19" t="n"/>
      <c r="H1057" s="20" t="n"/>
      <c r="I1057" s="20" t="n"/>
      <c r="J1057" s="19" t="n"/>
      <c r="K1057" s="21" t="n"/>
      <c r="L1057" s="22">
        <f>IF(OR(J1057="",K1057=""),"",J1057*K1057)</f>
        <v/>
      </c>
      <c r="M1057" s="19" t="n"/>
      <c r="N1057" s="20" t="n"/>
      <c r="O1057" s="20" t="n"/>
    </row>
    <row r="1058">
      <c r="A1058" s="16" t="n">
        <v>1055</v>
      </c>
      <c r="B1058" s="17" t="inlineStr">
        <is>
          <t>2.3.3.5</t>
        </is>
      </c>
      <c r="C1058" s="18" t="inlineStr">
        <is>
          <t>Part 2 – Technical Systems</t>
        </is>
      </c>
      <c r="D1058" s="18" t="inlineStr">
        <is>
          <t>2.3 INCIDENT AND RESOURCE MANAGEMENT SYSTEM (IRMS)</t>
        </is>
      </c>
      <c r="E1058" s="18" t="inlineStr">
        <is>
          <t>2.3.3 OPERATOR CAPABILITIES</t>
        </is>
      </c>
      <c r="F1058" s="18" t="inlineStr">
        <is>
          <t>Access and view of an incident record shall be limited to authorized operators and operator roles.</t>
        </is>
      </c>
      <c r="G1058" s="19" t="n"/>
      <c r="H1058" s="20" t="n"/>
      <c r="I1058" s="20" t="n"/>
      <c r="J1058" s="19" t="n"/>
      <c r="K1058" s="21" t="n"/>
      <c r="L1058" s="22">
        <f>IF(OR(J1058="",K1058=""),"",J1058*K1058)</f>
        <v/>
      </c>
      <c r="M1058" s="19" t="n"/>
      <c r="N1058" s="20" t="n"/>
      <c r="O1058" s="20" t="n"/>
    </row>
    <row r="1059">
      <c r="A1059" s="23" t="n">
        <v>1056</v>
      </c>
      <c r="B1059" s="24" t="inlineStr">
        <is>
          <t>2.3.3.6</t>
        </is>
      </c>
      <c r="C1059" s="25" t="inlineStr">
        <is>
          <t>Part 2 – Technical Systems</t>
        </is>
      </c>
      <c r="D1059" s="25" t="inlineStr">
        <is>
          <t>2.3 INCIDENT AND RESOURCE MANAGEMENT SYSTEM (IRMS)</t>
        </is>
      </c>
      <c r="E1059" s="25" t="inlineStr">
        <is>
          <t>2.3.3 OPERATOR CAPABILITIES</t>
        </is>
      </c>
      <c r="F1059" s="25" t="inlineStr">
        <is>
          <t>Within the IRMS, it shall also be possible for the supervisors to apply limits to what period of incident-related action reports an operator can view on the incident record – for example, the supervisor may decide that an operator for a given shift is only able to see the updates of the previous two shifts.</t>
        </is>
      </c>
      <c r="G1059" s="19" t="n"/>
      <c r="H1059" s="20" t="n"/>
      <c r="I1059" s="20" t="n"/>
      <c r="J1059" s="19" t="n"/>
      <c r="K1059" s="21" t="n"/>
      <c r="L1059" s="22">
        <f>IF(OR(J1059="",K1059=""),"",J1059*K1059)</f>
        <v/>
      </c>
      <c r="M1059" s="19" t="n"/>
      <c r="N1059" s="20" t="n"/>
      <c r="O1059" s="20" t="n"/>
    </row>
    <row r="1060">
      <c r="A1060" s="16" t="n">
        <v>1057</v>
      </c>
      <c r="B1060" s="17" t="inlineStr">
        <is>
          <t>2.3.3.7</t>
        </is>
      </c>
      <c r="C1060" s="18" t="inlineStr">
        <is>
          <t>Part 2 – Technical Systems</t>
        </is>
      </c>
      <c r="D1060" s="18" t="inlineStr">
        <is>
          <t>2.3 INCIDENT AND RESOURCE MANAGEMENT SYSTEM (IRMS)</t>
        </is>
      </c>
      <c r="E1060" s="18" t="inlineStr">
        <is>
          <t>2.3.3 OPERATOR CAPABILITIES</t>
        </is>
      </c>
      <c r="F1060" s="18" t="inlineStr">
        <is>
          <t>It shall be possible for high priority or critical incidents, that they should automatically be displayed in a portion / the entire video wall in the main operation room, and the solution shall be such that the video feed from the camera nearest to the incident scene and within 200 meters is automatically selected and displayed.</t>
        </is>
      </c>
      <c r="G1060" s="19" t="n"/>
      <c r="H1060" s="20" t="n"/>
      <c r="I1060" s="20" t="n"/>
      <c r="J1060" s="19" t="n"/>
      <c r="K1060" s="21" t="n"/>
      <c r="L1060" s="22">
        <f>IF(OR(J1060="",K1060=""),"",J1060*K1060)</f>
        <v/>
      </c>
      <c r="M1060" s="19" t="n"/>
      <c r="N1060" s="20" t="n"/>
      <c r="O1060" s="20" t="n"/>
    </row>
    <row r="1061">
      <c r="A1061" s="23" t="n">
        <v>1058</v>
      </c>
      <c r="B1061" s="24" t="inlineStr">
        <is>
          <t>2.3.3.8</t>
        </is>
      </c>
      <c r="C1061" s="25" t="inlineStr">
        <is>
          <t>Part 2 – Technical Systems</t>
        </is>
      </c>
      <c r="D1061" s="25" t="inlineStr">
        <is>
          <t>2.3 INCIDENT AND RESOURCE MANAGEMENT SYSTEM (IRMS)</t>
        </is>
      </c>
      <c r="E1061" s="25" t="inlineStr">
        <is>
          <t>2.3.3 OPERATOR CAPABILITIES</t>
        </is>
      </c>
      <c r="F1061" s="25" t="inlineStr">
        <is>
          <t>The IRMS shall provide the ability to record information from callers about particular situations or incidents that do not require the dispatching of any public safety resources. These incidents shall be recorded and retrievable from the history files for later access and information analysis.</t>
        </is>
      </c>
      <c r="G1061" s="19" t="n"/>
      <c r="H1061" s="20" t="n"/>
      <c r="I1061" s="20" t="n"/>
      <c r="J1061" s="19" t="n"/>
      <c r="K1061" s="21" t="n"/>
      <c r="L1061" s="22">
        <f>IF(OR(J1061="",K1061=""),"",J1061*K1061)</f>
        <v/>
      </c>
      <c r="M1061" s="19" t="n"/>
      <c r="N1061" s="20" t="n"/>
      <c r="O1061" s="20" t="n"/>
    </row>
    <row r="1062">
      <c r="A1062" s="16" t="n">
        <v>1059</v>
      </c>
      <c r="B1062" s="17" t="inlineStr">
        <is>
          <t>2.3.4.1</t>
        </is>
      </c>
      <c r="C1062" s="18" t="inlineStr">
        <is>
          <t>Part 2 – Technical Systems</t>
        </is>
      </c>
      <c r="D1062" s="18" t="inlineStr">
        <is>
          <t>2.3 INCIDENT AND RESOURCE MANAGEMENT SYSTEM (IRMS)</t>
        </is>
      </c>
      <c r="E1062" s="18" t="inlineStr">
        <is>
          <t>2.3.4 LOCATION INFORMATION</t>
        </is>
      </c>
      <c r="F1062" s="18" t="inlineStr">
        <is>
          <t>Once sufficient location information has been entered into the incident report (either manually or automatically), the location of the incident shall be displayed on a map.</t>
        </is>
      </c>
      <c r="G1062" s="19" t="n"/>
      <c r="H1062" s="20" t="n"/>
      <c r="I1062" s="20" t="n"/>
      <c r="J1062" s="19" t="n"/>
      <c r="K1062" s="21" t="n"/>
      <c r="L1062" s="22">
        <f>IF(OR(J1062="",K1062=""),"",J1062*K1062)</f>
        <v/>
      </c>
      <c r="M1062" s="19" t="n"/>
      <c r="N1062" s="20" t="n"/>
      <c r="O1062" s="20" t="n"/>
    </row>
    <row r="1063">
      <c r="A1063" s="23" t="n">
        <v>1060</v>
      </c>
      <c r="B1063" s="24" t="inlineStr">
        <is>
          <t>2.3.4.2</t>
        </is>
      </c>
      <c r="C1063" s="25" t="inlineStr">
        <is>
          <t>Part 2 – Technical Systems</t>
        </is>
      </c>
      <c r="D1063" s="25" t="inlineStr">
        <is>
          <t>2.3 INCIDENT AND RESOURCE MANAGEMENT SYSTEM (IRMS)</t>
        </is>
      </c>
      <c r="E1063" s="25" t="inlineStr">
        <is>
          <t>2.3.4 LOCATION INFORMATION</t>
        </is>
      </c>
      <c r="F1063" s="25" t="inlineStr">
        <is>
          <t>Once the location of the caller has been automatically identified by the telephony system or has been selected by an operator from the map, all the location details including (Region, City, District, Street, Parcel, Postal number, and Coordinates, etc.) shall be generated automatically from whatever spatial layers available.</t>
        </is>
      </c>
      <c r="G1063" s="19" t="n"/>
      <c r="H1063" s="20" t="n"/>
      <c r="I1063" s="20" t="n"/>
      <c r="J1063" s="19" t="n"/>
      <c r="K1063" s="21" t="n"/>
      <c r="L1063" s="22">
        <f>IF(OR(J1063="",K1063=""),"",J1063*K1063)</f>
        <v/>
      </c>
      <c r="M1063" s="19" t="n"/>
      <c r="N1063" s="20" t="n"/>
      <c r="O1063" s="20" t="n"/>
    </row>
    <row r="1064">
      <c r="A1064" s="16" t="n">
        <v>1061</v>
      </c>
      <c r="B1064" s="17" t="inlineStr">
        <is>
          <t>2.3.4.3</t>
        </is>
      </c>
      <c r="C1064" s="18" t="inlineStr">
        <is>
          <t>Part 2 – Technical Systems</t>
        </is>
      </c>
      <c r="D1064" s="18" t="inlineStr">
        <is>
          <t>2.3 INCIDENT AND RESOURCE MANAGEMENT SYSTEM (IRMS)</t>
        </is>
      </c>
      <c r="E1064" s="18" t="inlineStr">
        <is>
          <t>2.3.4 LOCATION INFORMATION</t>
        </is>
      </c>
      <c r="F1064" s="18" t="inlineStr">
        <is>
          <t>The IRMS shall be capable of receiving this information and updating the incident record with the all the location data received from any source.</t>
        </is>
      </c>
      <c r="G1064" s="19" t="n"/>
      <c r="H1064" s="20" t="n"/>
      <c r="I1064" s="20" t="n"/>
      <c r="J1064" s="19" t="n"/>
      <c r="K1064" s="21" t="n"/>
      <c r="L1064" s="22">
        <f>IF(OR(J1064="",K1064=""),"",J1064*K1064)</f>
        <v/>
      </c>
      <c r="M1064" s="19" t="n"/>
      <c r="N1064" s="20" t="n"/>
      <c r="O1064" s="20" t="n"/>
    </row>
    <row r="1065">
      <c r="A1065" s="23" t="n">
        <v>1062</v>
      </c>
      <c r="B1065" s="24" t="inlineStr">
        <is>
          <t>2.3.4.4</t>
        </is>
      </c>
      <c r="C1065" s="25" t="inlineStr">
        <is>
          <t>Part 2 – Technical Systems</t>
        </is>
      </c>
      <c r="D1065" s="25" t="inlineStr">
        <is>
          <t>2.3 INCIDENT AND RESOURCE MANAGEMENT SYSTEM (IRMS)</t>
        </is>
      </c>
      <c r="E1065" s="25" t="inlineStr">
        <is>
          <t>2.3.4 LOCATION INFORMATION</t>
        </is>
      </c>
      <c r="F1065" s="25" t="inlineStr">
        <is>
          <t>The CONTRACTOR shall deliver an IRMS solution that shall be integrated with the Automatic Location Identification (ALI) information available from the sources defined by MOI which include but are not limited to the National Information Center (NIC), the National Center for Security Operations (NCSO) and any third-party service provider that include technologies such as Advanced Mobile Location (AML), Enhanced Location Services (ELS) and eCall Minimum Set of Data (MSD).</t>
        </is>
      </c>
      <c r="G1065" s="19" t="n"/>
      <c r="H1065" s="20" t="n"/>
      <c r="I1065" s="20" t="n"/>
      <c r="J1065" s="19" t="n"/>
      <c r="K1065" s="21" t="n"/>
      <c r="L1065" s="22">
        <f>IF(OR(J1065="",K1065=""),"",J1065*K1065)</f>
        <v/>
      </c>
      <c r="M1065" s="19" t="n"/>
      <c r="N1065" s="20" t="n"/>
      <c r="O1065" s="20" t="n"/>
    </row>
    <row r="1066">
      <c r="A1066" s="16" t="n">
        <v>1063</v>
      </c>
      <c r="B1066" s="17" t="inlineStr">
        <is>
          <t>2.3.4.5</t>
        </is>
      </c>
      <c r="C1066" s="18" t="inlineStr">
        <is>
          <t>Part 2 – Technical Systems</t>
        </is>
      </c>
      <c r="D1066" s="18" t="inlineStr">
        <is>
          <t>2.3 INCIDENT AND RESOURCE MANAGEMENT SYSTEM (IRMS)</t>
        </is>
      </c>
      <c r="E1066" s="18" t="inlineStr">
        <is>
          <t>2.3.4 LOCATION INFORMATION</t>
        </is>
      </c>
      <c r="F1066" s="18" t="inlineStr">
        <is>
          <t>The word “location” as mentioned in this document anywhere includes the location returned from any of the sources authorized by the MOI using any of the technology mentioned above.</t>
        </is>
      </c>
      <c r="G1066" s="19" t="n"/>
      <c r="H1066" s="20" t="n"/>
      <c r="I1066" s="20" t="n"/>
      <c r="J1066" s="19" t="n"/>
      <c r="K1066" s="21" t="n"/>
      <c r="L1066" s="22">
        <f>IF(OR(J1066="",K1066=""),"",J1066*K1066)</f>
        <v/>
      </c>
      <c r="M1066" s="19" t="n"/>
      <c r="N1066" s="20" t="n"/>
      <c r="O1066" s="20" t="n"/>
    </row>
    <row r="1067">
      <c r="A1067" s="23" t="n">
        <v>1064</v>
      </c>
      <c r="B1067" s="24" t="inlineStr">
        <is>
          <t>2.3.4.6</t>
        </is>
      </c>
      <c r="C1067" s="25" t="inlineStr">
        <is>
          <t>Part 2 – Technical Systems</t>
        </is>
      </c>
      <c r="D1067" s="25" t="inlineStr">
        <is>
          <t>2.3 INCIDENT AND RESOURCE MANAGEMENT SYSTEM (IRMS)</t>
        </is>
      </c>
      <c r="E1067" s="25" t="inlineStr">
        <is>
          <t>2.3.4 LOCATION INFORMATION</t>
        </is>
      </c>
      <c r="F1067" s="25" t="inlineStr">
        <is>
          <t>The CONTRACTOR solution shall ensure that all the location data returned from any location source including the latitude, longitude, radius, time of positioning and level of confidence, and the eCall MSD is presented on the IRMS and stored in all the databases and tagged to the related calls and incidents in the call and incident records.</t>
        </is>
      </c>
      <c r="G1067" s="19" t="n"/>
      <c r="H1067" s="20" t="n"/>
      <c r="I1067" s="20" t="n"/>
      <c r="J1067" s="19" t="n"/>
      <c r="K1067" s="21" t="n"/>
      <c r="L1067" s="22">
        <f>IF(OR(J1067="",K1067=""),"",J1067*K1067)</f>
        <v/>
      </c>
      <c r="M1067" s="19" t="n"/>
      <c r="N1067" s="20" t="n"/>
      <c r="O1067" s="20" t="n"/>
    </row>
    <row r="1068">
      <c r="A1068" s="16" t="n">
        <v>1065</v>
      </c>
      <c r="B1068" s="17" t="inlineStr">
        <is>
          <t>2.3.4.7</t>
        </is>
      </c>
      <c r="C1068" s="18" t="inlineStr">
        <is>
          <t>Part 2 – Technical Systems</t>
        </is>
      </c>
      <c r="D1068" s="18" t="inlineStr">
        <is>
          <t>2.3 INCIDENT AND RESOURCE MANAGEMENT SYSTEM (IRMS)</t>
        </is>
      </c>
      <c r="E1068" s="18" t="inlineStr">
        <is>
          <t>2.3.4 LOCATION INFORMATION</t>
        </is>
      </c>
      <c r="F1068" s="18" t="inlineStr">
        <is>
          <t>The CONTRACTOR solution shall ensure that all the location data as above is presented to the operator in IRMS within the incident forms of the computer aided dispatch solution and within the softphone / software telephony console that receives the emergency call at the operator.</t>
        </is>
      </c>
      <c r="G1068" s="19" t="n"/>
      <c r="H1068" s="20" t="n"/>
      <c r="I1068" s="20" t="n"/>
      <c r="J1068" s="19" t="n"/>
      <c r="K1068" s="21" t="n"/>
      <c r="L1068" s="22">
        <f>IF(OR(J1068="",K1068=""),"",J1068*K1068)</f>
        <v/>
      </c>
      <c r="M1068" s="19" t="n"/>
      <c r="N1068" s="20" t="n"/>
      <c r="O1068" s="20" t="n"/>
    </row>
    <row r="1069">
      <c r="A1069" s="23" t="n">
        <v>1066</v>
      </c>
      <c r="B1069" s="24" t="inlineStr">
        <is>
          <t>2.3.4.8</t>
        </is>
      </c>
      <c r="C1069" s="25" t="inlineStr">
        <is>
          <t>Part 2 – Technical Systems</t>
        </is>
      </c>
      <c r="D1069" s="25" t="inlineStr">
        <is>
          <t>2.3 INCIDENT AND RESOURCE MANAGEMENT SYSTEM (IRMS)</t>
        </is>
      </c>
      <c r="E1069" s="25" t="inlineStr">
        <is>
          <t>2.3.4 LOCATION INFORMATION</t>
        </is>
      </c>
      <c r="F1069" s="25" t="inlineStr">
        <is>
          <t>The CONTRACTOR solution shall ensure that all the location data as above is presented to the operator in IRMS within the incident forms of the computer aided dispatch solution and within the softphone / software telephony console that receives the emergency call at the operator.</t>
        </is>
      </c>
      <c r="G1069" s="19" t="n"/>
      <c r="H1069" s="20" t="n"/>
      <c r="I1069" s="20" t="n"/>
      <c r="J1069" s="19" t="n"/>
      <c r="K1069" s="21" t="n"/>
      <c r="L1069" s="22">
        <f>IF(OR(J1069="",K1069=""),"",J1069*K1069)</f>
        <v/>
      </c>
      <c r="M1069" s="19" t="n"/>
      <c r="N1069" s="20" t="n"/>
      <c r="O1069" s="20" t="n"/>
    </row>
    <row r="1070">
      <c r="A1070" s="16" t="n">
        <v>1067</v>
      </c>
      <c r="B1070" s="17" t="inlineStr">
        <is>
          <t>2.3.4.9</t>
        </is>
      </c>
      <c r="C1070" s="18" t="inlineStr">
        <is>
          <t>Part 2 – Technical Systems</t>
        </is>
      </c>
      <c r="D1070" s="18" t="inlineStr">
        <is>
          <t>2.3 INCIDENT AND RESOURCE MANAGEMENT SYSTEM (IRMS)</t>
        </is>
      </c>
      <c r="E1070" s="18" t="inlineStr">
        <is>
          <t>2.3.4 LOCATION INFORMATION</t>
        </is>
      </c>
      <c r="F1070" s="18" t="inlineStr">
        <is>
          <t>In the case of operational OSS911 Center workstations where two screens are installed on a PC the map shall be displayed on a separate screen to the Incident Record.</t>
        </is>
      </c>
      <c r="G1070" s="19" t="n"/>
      <c r="H1070" s="20" t="n"/>
      <c r="I1070" s="20" t="n"/>
      <c r="J1070" s="19" t="n"/>
      <c r="K1070" s="21" t="n"/>
      <c r="L1070" s="22">
        <f>IF(OR(J1070="",K1070=""),"",J1070*K1070)</f>
        <v/>
      </c>
      <c r="M1070" s="19" t="n"/>
      <c r="N1070" s="20" t="n"/>
      <c r="O1070" s="20" t="n"/>
    </row>
    <row r="1071">
      <c r="A1071" s="23" t="n">
        <v>1068</v>
      </c>
      <c r="B1071" s="24" t="inlineStr">
        <is>
          <t>2.3.4.10</t>
        </is>
      </c>
      <c r="C1071" s="25" t="inlineStr">
        <is>
          <t>Part 2 – Technical Systems</t>
        </is>
      </c>
      <c r="D1071" s="25" t="inlineStr">
        <is>
          <t>2.3 INCIDENT AND RESOURCE MANAGEMENT SYSTEM (IRMS)</t>
        </is>
      </c>
      <c r="E1071" s="25" t="inlineStr">
        <is>
          <t>2.3.4 LOCATION INFORMATION</t>
        </is>
      </c>
      <c r="F1071" s="25" t="inlineStr">
        <is>
          <t>The Call Taker or Dispatcher shall be able to correct the location by updating the location fields in the incident form and in the incident record and incident report.</t>
        </is>
      </c>
      <c r="G1071" s="19" t="n"/>
      <c r="H1071" s="20" t="n"/>
      <c r="I1071" s="20" t="n"/>
      <c r="J1071" s="19" t="n"/>
      <c r="K1071" s="21" t="n"/>
      <c r="L1071" s="22">
        <f>IF(OR(J1071="",K1071=""),"",J1071*K1071)</f>
        <v/>
      </c>
      <c r="M1071" s="19" t="n"/>
      <c r="N1071" s="20" t="n"/>
      <c r="O1071" s="20" t="n"/>
    </row>
    <row r="1072">
      <c r="A1072" s="16" t="n">
        <v>1069</v>
      </c>
      <c r="B1072" s="17" t="inlineStr">
        <is>
          <t>2.3.4.11</t>
        </is>
      </c>
      <c r="C1072" s="18" t="inlineStr">
        <is>
          <t>Part 2 – Technical Systems</t>
        </is>
      </c>
      <c r="D1072" s="18" t="inlineStr">
        <is>
          <t>2.3 INCIDENT AND RESOURCE MANAGEMENT SYSTEM (IRMS)</t>
        </is>
      </c>
      <c r="E1072" s="18" t="inlineStr">
        <is>
          <t>2.3.4 LOCATION INFORMATION</t>
        </is>
      </c>
      <c r="F1072" s="18" t="inlineStr">
        <is>
          <t>The telephone operator shall be able to correct the location by identifying the location on the map. In this case the mapping application shall be capable of sending data back to the IRMS. The IRMS shall be capable of receiving this information and updating the record.</t>
        </is>
      </c>
      <c r="G1072" s="19" t="n"/>
      <c r="H1072" s="20" t="n"/>
      <c r="I1072" s="20" t="n"/>
      <c r="J1072" s="19" t="n"/>
      <c r="K1072" s="21" t="n"/>
      <c r="L1072" s="22">
        <f>IF(OR(J1072="",K1072=""),"",J1072*K1072)</f>
        <v/>
      </c>
      <c r="M1072" s="19" t="n"/>
      <c r="N1072" s="20" t="n"/>
      <c r="O1072" s="20" t="n"/>
    </row>
    <row r="1073">
      <c r="A1073" s="23" t="n">
        <v>1070</v>
      </c>
      <c r="B1073" s="24" t="inlineStr">
        <is>
          <t>2.3.5.1</t>
        </is>
      </c>
      <c r="C1073" s="25" t="inlineStr">
        <is>
          <t>Part 2 – Technical Systems</t>
        </is>
      </c>
      <c r="D1073" s="25" t="inlineStr">
        <is>
          <t>2.3 INCIDENT AND RESOURCE MANAGEMENT SYSTEM (IRMS)</t>
        </is>
      </c>
      <c r="E1073" s="25" t="inlineStr">
        <is>
          <t>2.3.5 DATA SOURCES AND SEARCHES</t>
        </is>
      </c>
      <c r="F1073" s="25" t="inlineStr">
        <is>
          <t>Where entries are made in any fields relating to data that is held in external databases, e.g., car license numbers, then the system shall validate the entered data against this data from available databases and highlight to the operator any conflicts and automatically populate the other related attributes that shall be captured in the incident log.</t>
        </is>
      </c>
      <c r="G1073" s="19" t="n"/>
      <c r="H1073" s="20" t="n"/>
      <c r="I1073" s="20" t="n"/>
      <c r="J1073" s="19" t="n"/>
      <c r="K1073" s="21" t="n"/>
      <c r="L1073" s="22">
        <f>IF(OR(J1073="",K1073=""),"",J1073*K1073)</f>
        <v/>
      </c>
      <c r="M1073" s="19" t="n"/>
      <c r="N1073" s="20" t="n"/>
      <c r="O1073" s="20" t="n"/>
    </row>
    <row r="1074">
      <c r="A1074" s="16" t="n">
        <v>1071</v>
      </c>
      <c r="B1074" s="17" t="inlineStr">
        <is>
          <t>2.3.5.2</t>
        </is>
      </c>
      <c r="C1074" s="18" t="inlineStr">
        <is>
          <t>Part 2 – Technical Systems</t>
        </is>
      </c>
      <c r="D1074" s="18" t="inlineStr">
        <is>
          <t>2.3 INCIDENT AND RESOURCE MANAGEMENT SYSTEM (IRMS)</t>
        </is>
      </c>
      <c r="E1074" s="18" t="inlineStr">
        <is>
          <t>2.3.5 DATA SOURCES AND SEARCHES</t>
        </is>
      </c>
      <c r="F1074" s="18" t="inlineStr">
        <is>
          <t>The IRMS shall also search for previous incidents relating to the callers’ telephone number or post code and bring these to the attention of the call taker.</t>
        </is>
      </c>
      <c r="G1074" s="19" t="n"/>
      <c r="H1074" s="20" t="n"/>
      <c r="I1074" s="20" t="n"/>
      <c r="J1074" s="19" t="n"/>
      <c r="K1074" s="21" t="n"/>
      <c r="L1074" s="22">
        <f>IF(OR(J1074="",K1074=""),"",J1074*K1074)</f>
        <v/>
      </c>
      <c r="M1074" s="19" t="n"/>
      <c r="N1074" s="20" t="n"/>
      <c r="O1074" s="20" t="n"/>
    </row>
    <row r="1075">
      <c r="A1075" s="23" t="n">
        <v>1072</v>
      </c>
      <c r="B1075" s="24" t="inlineStr">
        <is>
          <t>2.3.5.3</t>
        </is>
      </c>
      <c r="C1075" s="25" t="inlineStr">
        <is>
          <t>Part 2 – Technical Systems</t>
        </is>
      </c>
      <c r="D1075" s="25" t="inlineStr">
        <is>
          <t>2.3 INCIDENT AND RESOURCE MANAGEMENT SYSTEM (IRMS)</t>
        </is>
      </c>
      <c r="E1075" s="25" t="inlineStr">
        <is>
          <t>2.3.5 DATA SOURCES AND SEARCHES</t>
        </is>
      </c>
      <c r="F1075" s="25" t="inlineStr">
        <is>
          <t>The IRMS shall also be able to perform supplementary searches of the NIC and other MOI databases with the same caller information to provide additional and relevant cross reference information to the call takers. Any resulting warnings or indicators shall be attached to the incident log.</t>
        </is>
      </c>
      <c r="G1075" s="19" t="n"/>
      <c r="H1075" s="20" t="n"/>
      <c r="I1075" s="20" t="n"/>
      <c r="J1075" s="19" t="n"/>
      <c r="K1075" s="21" t="n"/>
      <c r="L1075" s="22">
        <f>IF(OR(J1075="",K1075=""),"",J1075*K1075)</f>
        <v/>
      </c>
      <c r="M1075" s="19" t="n"/>
      <c r="N1075" s="20" t="n"/>
      <c r="O1075" s="20" t="n"/>
    </row>
    <row r="1076">
      <c r="A1076" s="16" t="n">
        <v>1073</v>
      </c>
      <c r="B1076" s="17" t="inlineStr">
        <is>
          <t>2.3.6.1</t>
        </is>
      </c>
      <c r="C1076" s="18" t="inlineStr">
        <is>
          <t>Part 2 – Technical Systems</t>
        </is>
      </c>
      <c r="D1076" s="18" t="inlineStr">
        <is>
          <t>2.3 INCIDENT AND RESOURCE MANAGEMENT SYSTEM (IRMS)</t>
        </is>
      </c>
      <c r="E1076" s="18" t="inlineStr">
        <is>
          <t>2.3.6 INCIDENT TIMERS</t>
        </is>
      </c>
      <c r="F1076" s="18" t="inlineStr">
        <is>
          <t>When an incident is created, timers, configurable through system configuration, shall be started to ensure that entry of incident information and dispatching occurs within set parameters.</t>
        </is>
      </c>
      <c r="G1076" s="19" t="n"/>
      <c r="H1076" s="20" t="n"/>
      <c r="I1076" s="20" t="n"/>
      <c r="J1076" s="19" t="n"/>
      <c r="K1076" s="21" t="n"/>
      <c r="L1076" s="22">
        <f>IF(OR(J1076="",K1076=""),"",J1076*K1076)</f>
        <v/>
      </c>
      <c r="M1076" s="19" t="n"/>
      <c r="N1076" s="20" t="n"/>
      <c r="O1076" s="20" t="n"/>
    </row>
    <row r="1077">
      <c r="A1077" s="23" t="n">
        <v>1074</v>
      </c>
      <c r="B1077" s="24" t="inlineStr">
        <is>
          <t>2.3.6.2</t>
        </is>
      </c>
      <c r="C1077" s="25" t="inlineStr">
        <is>
          <t>Part 2 – Technical Systems</t>
        </is>
      </c>
      <c r="D1077" s="25" t="inlineStr">
        <is>
          <t>2.3 INCIDENT AND RESOURCE MANAGEMENT SYSTEM (IRMS)</t>
        </is>
      </c>
      <c r="E1077" s="25" t="inlineStr">
        <is>
          <t>2.3.6 INCIDENT TIMERS</t>
        </is>
      </c>
      <c r="F1077" s="25" t="inlineStr">
        <is>
          <t>It shall be possible to set a start timer at some time in the future so that the incident does not appear to be outstanding.</t>
        </is>
      </c>
      <c r="G1077" s="19" t="n"/>
      <c r="H1077" s="20" t="n"/>
      <c r="I1077" s="20" t="n"/>
      <c r="J1077" s="19" t="n"/>
      <c r="K1077" s="21" t="n"/>
      <c r="L1077" s="22">
        <f>IF(OR(J1077="",K1077=""),"",J1077*K1077)</f>
        <v/>
      </c>
      <c r="M1077" s="19" t="n"/>
      <c r="N1077" s="20" t="n"/>
      <c r="O1077" s="20" t="n"/>
    </row>
    <row r="1078">
      <c r="A1078" s="16" t="n">
        <v>1075</v>
      </c>
      <c r="B1078" s="17" t="inlineStr">
        <is>
          <t>2.3.6.3</t>
        </is>
      </c>
      <c r="C1078" s="18" t="inlineStr">
        <is>
          <t>Part 2 – Technical Systems</t>
        </is>
      </c>
      <c r="D1078" s="18" t="inlineStr">
        <is>
          <t>2.3 INCIDENT AND RESOURCE MANAGEMENT SYSTEM (IRMS)</t>
        </is>
      </c>
      <c r="E1078" s="18" t="inlineStr">
        <is>
          <t>2.3.6 INCIDENT TIMERS</t>
        </is>
      </c>
      <c r="F1078" s="18" t="inlineStr">
        <is>
          <t>Timers shall be automatically reset once the required action has been carried out, i.e., incident information has been entered or dispatching has occurred.</t>
        </is>
      </c>
      <c r="G1078" s="19" t="n"/>
      <c r="H1078" s="20" t="n"/>
      <c r="I1078" s="20" t="n"/>
      <c r="J1078" s="19" t="n"/>
      <c r="K1078" s="21" t="n"/>
      <c r="L1078" s="22">
        <f>IF(OR(J1078="",K1078=""),"",J1078*K1078)</f>
        <v/>
      </c>
      <c r="M1078" s="19" t="n"/>
      <c r="N1078" s="20" t="n"/>
      <c r="O1078" s="20" t="n"/>
    </row>
    <row r="1079">
      <c r="A1079" s="23" t="n">
        <v>1076</v>
      </c>
      <c r="B1079" s="24" t="inlineStr">
        <is>
          <t>2.3.6.4</t>
        </is>
      </c>
      <c r="C1079" s="25" t="inlineStr">
        <is>
          <t>Part 2 – Technical Systems</t>
        </is>
      </c>
      <c r="D1079" s="25" t="inlineStr">
        <is>
          <t>2.3 INCIDENT AND RESOURCE MANAGEMENT SYSTEM (IRMS)</t>
        </is>
      </c>
      <c r="E1079" s="25" t="inlineStr">
        <is>
          <t>2.3.6 INCIDENT TIMERS</t>
        </is>
      </c>
      <c r="F1079" s="25" t="inlineStr">
        <is>
          <t>On expiry of each timer a message with visual and audible alert shall be automatically sent by the system to a supervisor in order to alert them to a potential problem. It shall be possible to turn on / turn off the alerts for specific users.</t>
        </is>
      </c>
      <c r="G1079" s="19" t="n"/>
      <c r="H1079" s="20" t="n"/>
      <c r="I1079" s="20" t="n"/>
      <c r="J1079" s="19" t="n"/>
      <c r="K1079" s="21" t="n"/>
      <c r="L1079" s="22">
        <f>IF(OR(J1079="",K1079=""),"",J1079*K1079)</f>
        <v/>
      </c>
      <c r="M1079" s="19" t="n"/>
      <c r="N1079" s="20" t="n"/>
      <c r="O1079" s="20" t="n"/>
    </row>
    <row r="1080">
      <c r="A1080" s="16" t="n">
        <v>1077</v>
      </c>
      <c r="B1080" s="17" t="inlineStr">
        <is>
          <t>2.3.6.5</t>
        </is>
      </c>
      <c r="C1080" s="18" t="inlineStr">
        <is>
          <t>Part 2 – Technical Systems</t>
        </is>
      </c>
      <c r="D1080" s="18" t="inlineStr">
        <is>
          <t>2.3 INCIDENT AND RESOURCE MANAGEMENT SYSTEM (IRMS)</t>
        </is>
      </c>
      <c r="E1080" s="18" t="inlineStr">
        <is>
          <t>2.3.6 INCIDENT TIMERS</t>
        </is>
      </c>
      <c r="F1080" s="18" t="inlineStr">
        <is>
          <t>The alert shall continue until acknowledged by the Supervisor. (Operator performance related alerts should continue to stay until acknowledged by the supervisor. Unit status alerts are not necessarily required to continue to stay until acknowledged by the supervisor).</t>
        </is>
      </c>
      <c r="G1080" s="19" t="n"/>
      <c r="H1080" s="20" t="n"/>
      <c r="I1080" s="20" t="n"/>
      <c r="J1080" s="19" t="n"/>
      <c r="K1080" s="21" t="n"/>
      <c r="L1080" s="22">
        <f>IF(OR(J1080="",K1080=""),"",J1080*K1080)</f>
        <v/>
      </c>
      <c r="M1080" s="19" t="n"/>
      <c r="N1080" s="20" t="n"/>
      <c r="O1080" s="20" t="n"/>
    </row>
    <row r="1081">
      <c r="A1081" s="23" t="n">
        <v>1078</v>
      </c>
      <c r="B1081" s="24" t="inlineStr">
        <is>
          <t>2.3.7.1</t>
        </is>
      </c>
      <c r="C1081" s="25" t="inlineStr">
        <is>
          <t>Part 2 – Technical Systems</t>
        </is>
      </c>
      <c r="D1081" s="25" t="inlineStr">
        <is>
          <t>2.3 INCIDENT AND RESOURCE MANAGEMENT SYSTEM (IRMS)</t>
        </is>
      </c>
      <c r="E1081" s="25" t="inlineStr">
        <is>
          <t>2.3.7 OPERATOR DECISION SUPPORT FUNCTION</t>
        </is>
      </c>
      <c r="F1081" s="25" t="inlineStr">
        <is>
          <t>As an aid to call-taking, the system shall provide a configurable set of questions and prompts which shall relate to incident types and incident response procedures and plans. This is particularly important with regard to incidents that appear to be serious or involve high profile people or locations.</t>
        </is>
      </c>
      <c r="G1081" s="19" t="n"/>
      <c r="H1081" s="20" t="n"/>
      <c r="I1081" s="20" t="n"/>
      <c r="J1081" s="19" t="n"/>
      <c r="K1081" s="21" t="n"/>
      <c r="L1081" s="22">
        <f>IF(OR(J1081="",K1081=""),"",J1081*K1081)</f>
        <v/>
      </c>
      <c r="M1081" s="19" t="n"/>
      <c r="N1081" s="20" t="n"/>
      <c r="O1081" s="20" t="n"/>
    </row>
    <row r="1082">
      <c r="A1082" s="16" t="n">
        <v>1079</v>
      </c>
      <c r="B1082" s="17" t="inlineStr">
        <is>
          <t>2.3.7.2</t>
        </is>
      </c>
      <c r="C1082" s="18" t="inlineStr">
        <is>
          <t>Part 2 – Technical Systems</t>
        </is>
      </c>
      <c r="D1082" s="18" t="inlineStr">
        <is>
          <t>2.3 INCIDENT AND RESOURCE MANAGEMENT SYSTEM (IRMS)</t>
        </is>
      </c>
      <c r="E1082" s="18" t="inlineStr">
        <is>
          <t>2.3.7 OPERATOR DECISION SUPPORT FUNCTION</t>
        </is>
      </c>
      <c r="F1082" s="18" t="inlineStr">
        <is>
          <t>The system shall be able to present further questions, depending on the data that is input as a result of the previous set of questions to ensure all available and appropriate incident information is obtained and recorded.</t>
        </is>
      </c>
      <c r="G1082" s="19" t="n"/>
      <c r="H1082" s="20" t="n"/>
      <c r="I1082" s="20" t="n"/>
      <c r="J1082" s="19" t="n"/>
      <c r="K1082" s="21" t="n"/>
      <c r="L1082" s="22">
        <f>IF(OR(J1082="",K1082=""),"",J1082*K1082)</f>
        <v/>
      </c>
      <c r="M1082" s="19" t="n"/>
      <c r="N1082" s="20" t="n"/>
      <c r="O1082" s="20" t="n"/>
    </row>
    <row r="1083">
      <c r="A1083" s="23" t="n">
        <v>1080</v>
      </c>
      <c r="B1083" s="24" t="inlineStr">
        <is>
          <t>2.3.7.3</t>
        </is>
      </c>
      <c r="C1083" s="25" t="inlineStr">
        <is>
          <t>Part 2 – Technical Systems</t>
        </is>
      </c>
      <c r="D1083" s="25" t="inlineStr">
        <is>
          <t>2.3 INCIDENT AND RESOURCE MANAGEMENT SYSTEM (IRMS)</t>
        </is>
      </c>
      <c r="E1083" s="25" t="inlineStr">
        <is>
          <t>2.3.7 OPERATOR DECISION SUPPORT FUNCTION</t>
        </is>
      </c>
      <c r="F1083" s="25" t="inlineStr">
        <is>
          <t>The system shall be configured by the CONTRACTOR to contain questions and prompts for all incident types. These questions and prompts shall be based on the SOPs and response plans approved by the MOI.</t>
        </is>
      </c>
      <c r="G1083" s="19" t="n"/>
      <c r="H1083" s="20" t="n"/>
      <c r="I1083" s="20" t="n"/>
      <c r="J1083" s="19" t="n"/>
      <c r="K1083" s="21" t="n"/>
      <c r="L1083" s="22">
        <f>IF(OR(J1083="",K1083=""),"",J1083*K1083)</f>
        <v/>
      </c>
      <c r="M1083" s="19" t="n"/>
      <c r="N1083" s="20" t="n"/>
      <c r="O1083" s="20" t="n"/>
    </row>
    <row r="1084">
      <c r="A1084" s="16" t="n">
        <v>1081</v>
      </c>
      <c r="B1084" s="17" t="inlineStr">
        <is>
          <t>2.3.7.4</t>
        </is>
      </c>
      <c r="C1084" s="18" t="inlineStr">
        <is>
          <t>Part 2 – Technical Systems</t>
        </is>
      </c>
      <c r="D1084" s="18" t="inlineStr">
        <is>
          <t>2.3 INCIDENT AND RESOURCE MANAGEMENT SYSTEM (IRMS)</t>
        </is>
      </c>
      <c r="E1084" s="18" t="inlineStr">
        <is>
          <t>2.3.7 OPERATOR DECISION SUPPORT FUNCTION</t>
        </is>
      </c>
      <c r="F1084" s="18" t="inlineStr">
        <is>
          <t>This list shall identify a series of tasks or actions (Incident Response Procedures) which must be carried out before an incident can be closed.</t>
        </is>
      </c>
      <c r="G1084" s="19" t="n"/>
      <c r="H1084" s="20" t="n"/>
      <c r="I1084" s="20" t="n"/>
      <c r="J1084" s="19" t="n"/>
      <c r="K1084" s="21" t="n"/>
      <c r="L1084" s="22">
        <f>IF(OR(J1084="",K1084=""),"",J1084*K1084)</f>
        <v/>
      </c>
      <c r="M1084" s="19" t="n"/>
      <c r="N1084" s="20" t="n"/>
      <c r="O1084" s="20" t="n"/>
    </row>
    <row r="1085">
      <c r="A1085" s="23" t="n">
        <v>1082</v>
      </c>
      <c r="B1085" s="24" t="inlineStr">
        <is>
          <t>2.3.7.5</t>
        </is>
      </c>
      <c r="C1085" s="25" t="inlineStr">
        <is>
          <t>Part 2 – Technical Systems</t>
        </is>
      </c>
      <c r="D1085" s="25" t="inlineStr">
        <is>
          <t>2.3 INCIDENT AND RESOURCE MANAGEMENT SYSTEM (IRMS)</t>
        </is>
      </c>
      <c r="E1085" s="25" t="inlineStr">
        <is>
          <t>2.3.7 OPERATOR DECISION SUPPORT FUNCTION</t>
        </is>
      </c>
      <c r="F1085" s="25" t="inlineStr">
        <is>
          <t>The BIDDER shall confirm their understanding of the SOPs definition as being the reference checklists showing how each organization or agency will accomplish its assigned tasks for pre-defined incident from call receipt to call closure. SOPs and response plans shall also describe who will be responsible for dealing with incidents, how they shall be informed, what information is required, what escalation measures are available and what performance targets have been set for responding and dealing.</t>
        </is>
      </c>
      <c r="G1085" s="19" t="n"/>
      <c r="H1085" s="20" t="n"/>
      <c r="I1085" s="20" t="n"/>
      <c r="J1085" s="19" t="n"/>
      <c r="K1085" s="21" t="n"/>
      <c r="L1085" s="22">
        <f>IF(OR(J1085="",K1085=""),"",J1085*K1085)</f>
        <v/>
      </c>
      <c r="M1085" s="19" t="n"/>
      <c r="N1085" s="20" t="n"/>
      <c r="O1085" s="20" t="n"/>
    </row>
    <row r="1086">
      <c r="A1086" s="16" t="n">
        <v>1083</v>
      </c>
      <c r="B1086" s="17" t="inlineStr">
        <is>
          <t>2.3.7.6</t>
        </is>
      </c>
      <c r="C1086" s="18" t="inlineStr">
        <is>
          <t>Part 2 – Technical Systems</t>
        </is>
      </c>
      <c r="D1086" s="18" t="inlineStr">
        <is>
          <t>2.3 INCIDENT AND RESOURCE MANAGEMENT SYSTEM (IRMS)</t>
        </is>
      </c>
      <c r="E1086" s="18" t="inlineStr">
        <is>
          <t>2.3.7 OPERATOR DECISION SUPPORT FUNCTION</t>
        </is>
      </c>
      <c r="F1086" s="18" t="inlineStr">
        <is>
          <t>The IRMS shall be supported by a decision support function based upon the MOI approved Standard Operating Procedures (SOPs) and response plans. The CONTRACTOR shall work with the MOI to create the workflow of the decision support function using the roles configured in the system. The procedures to be followed by operational personnel will be provided by the MOI.</t>
        </is>
      </c>
      <c r="G1086" s="19" t="n"/>
      <c r="H1086" s="20" t="n"/>
      <c r="I1086" s="20" t="n"/>
      <c r="J1086" s="19" t="n"/>
      <c r="K1086" s="21" t="n"/>
      <c r="L1086" s="22">
        <f>IF(OR(J1086="",K1086=""),"",J1086*K1086)</f>
        <v/>
      </c>
      <c r="M1086" s="19" t="n"/>
      <c r="N1086" s="20" t="n"/>
      <c r="O1086" s="20" t="n"/>
    </row>
    <row r="1087">
      <c r="A1087" s="23" t="n">
        <v>1084</v>
      </c>
      <c r="B1087" s="24" t="inlineStr">
        <is>
          <t>2.3.7.7</t>
        </is>
      </c>
      <c r="C1087" s="25" t="inlineStr">
        <is>
          <t>Part 2 – Technical Systems</t>
        </is>
      </c>
      <c r="D1087" s="25" t="inlineStr">
        <is>
          <t>2.3 INCIDENT AND RESOURCE MANAGEMENT SYSTEM (IRMS)</t>
        </is>
      </c>
      <c r="E1087" s="25" t="inlineStr">
        <is>
          <t>2.3.7 OPERATOR DECISION SUPPORT FUNCTION</t>
        </is>
      </c>
      <c r="F1087" s="25" t="inlineStr">
        <is>
          <t>The CONTRACTOR shall deliver SOPs and response plan databases as described above and already populated in the IRMS for each agency operating in the OSS911 Center. These SOPs and response plan databases shall be integrated with the CONTRACTOR supplied IRMS.</t>
        </is>
      </c>
      <c r="G1087" s="19" t="n"/>
      <c r="H1087" s="20" t="n"/>
      <c r="I1087" s="20" t="n"/>
      <c r="J1087" s="19" t="n"/>
      <c r="K1087" s="21" t="n"/>
      <c r="L1087" s="22">
        <f>IF(OR(J1087="",K1087=""),"",J1087*K1087)</f>
        <v/>
      </c>
      <c r="M1087" s="19" t="n"/>
      <c r="N1087" s="20" t="n"/>
      <c r="O1087" s="20" t="n"/>
    </row>
    <row r="1088">
      <c r="A1088" s="16" t="n">
        <v>1085</v>
      </c>
      <c r="B1088" s="17" t="inlineStr">
        <is>
          <t>2.3.7.8</t>
        </is>
      </c>
      <c r="C1088" s="18" t="inlineStr">
        <is>
          <t>Part 2 – Technical Systems</t>
        </is>
      </c>
      <c r="D1088" s="18" t="inlineStr">
        <is>
          <t>2.3 INCIDENT AND RESOURCE MANAGEMENT SYSTEM (IRMS)</t>
        </is>
      </c>
      <c r="E1088" s="18" t="inlineStr">
        <is>
          <t>2.3.7 OPERATOR DECISION SUPPORT FUNCTION</t>
        </is>
      </c>
      <c r="F1088" s="18" t="inlineStr">
        <is>
          <t>The CONTRACTOR shall liaise with the MOI to obtain, update and program the SOPs and response plans that provide the optimum decision support for all OSS911 staff involved in the OSS911 process. Sources of this information will include, but not be limited to:</t>
        </is>
      </c>
      <c r="G1088" s="19" t="n"/>
      <c r="H1088" s="20" t="n"/>
      <c r="I1088" s="20" t="n"/>
      <c r="J1088" s="19" t="n"/>
      <c r="K1088" s="21" t="n"/>
      <c r="L1088" s="22">
        <f>IF(OR(J1088="",K1088=""),"",J1088*K1088)</f>
        <v/>
      </c>
      <c r="M1088" s="19" t="n"/>
      <c r="N1088" s="20" t="n"/>
      <c r="O1088" s="20" t="n"/>
    </row>
    <row r="1089">
      <c r="A1089" s="23" t="n">
        <v>1086</v>
      </c>
      <c r="B1089" s="23" t="inlineStr">
        <is>
          <t>2.3.7.8.1</t>
        </is>
      </c>
      <c r="C1089" s="25" t="inlineStr">
        <is>
          <t>Part 2 – Technical Systems</t>
        </is>
      </c>
      <c r="D1089" s="25" t="inlineStr">
        <is>
          <t>2.3 INCIDENT AND RESOURCE MANAGEMENT SYSTEM (IRMS)</t>
        </is>
      </c>
      <c r="E1089" s="25" t="inlineStr">
        <is>
          <t>2.3.7 OPERATOR DECISION SUPPORT FUNCTION</t>
        </is>
      </c>
      <c r="F1089" s="25" t="inlineStr">
        <is>
          <t>Existing agency policies &amp; procedures defined to support MOI strategies which if available, will be shared by the MOI</t>
        </is>
      </c>
      <c r="G1089" s="19" t="n"/>
      <c r="H1089" s="20" t="n"/>
      <c r="I1089" s="20" t="n"/>
      <c r="J1089" s="19" t="n"/>
      <c r="K1089" s="21" t="n"/>
      <c r="L1089" s="22">
        <f>IF(OR(J1089="",K1089=""),"",J1089*K1089)</f>
        <v/>
      </c>
      <c r="M1089" s="19" t="n"/>
      <c r="N1089" s="20" t="n"/>
      <c r="O1089" s="20" t="n"/>
    </row>
    <row r="1090">
      <c r="A1090" s="16" t="n">
        <v>1087</v>
      </c>
      <c r="B1090" s="16" t="inlineStr">
        <is>
          <t>2.3.7.8.2</t>
        </is>
      </c>
      <c r="C1090" s="18" t="inlineStr">
        <is>
          <t>Part 2 – Technical Systems</t>
        </is>
      </c>
      <c r="D1090" s="18" t="inlineStr">
        <is>
          <t>2.3 INCIDENT AND RESOURCE MANAGEMENT SYSTEM (IRMS)</t>
        </is>
      </c>
      <c r="E1090" s="18" t="inlineStr">
        <is>
          <t>2.3.7 OPERATOR DECISION SUPPORT FUNCTION</t>
        </is>
      </c>
      <c r="F1090" s="18" t="inlineStr">
        <is>
          <t>Processes or common practices that have evolved institutionally over the years which if available, will be shared by the MOI</t>
        </is>
      </c>
      <c r="G1090" s="19" t="n"/>
      <c r="H1090" s="20" t="n"/>
      <c r="I1090" s="20" t="n"/>
      <c r="J1090" s="19" t="n"/>
      <c r="K1090" s="21" t="n"/>
      <c r="L1090" s="22">
        <f>IF(OR(J1090="",K1090=""),"",J1090*K1090)</f>
        <v/>
      </c>
      <c r="M1090" s="19" t="n"/>
      <c r="N1090" s="20" t="n"/>
      <c r="O1090" s="20" t="n"/>
    </row>
    <row r="1091">
      <c r="A1091" s="23" t="n">
        <v>1088</v>
      </c>
      <c r="B1091" s="23" t="inlineStr">
        <is>
          <t>2.3.7.8.3</t>
        </is>
      </c>
      <c r="C1091" s="25" t="inlineStr">
        <is>
          <t>Part 2 – Technical Systems</t>
        </is>
      </c>
      <c r="D1091" s="25" t="inlineStr">
        <is>
          <t>2.3 INCIDENT AND RESOURCE MANAGEMENT SYSTEM (IRMS)</t>
        </is>
      </c>
      <c r="E1091" s="25" t="inlineStr">
        <is>
          <t>2.3.7 OPERATOR DECISION SUPPORT FUNCTION</t>
        </is>
      </c>
      <c r="F1091" s="25" t="inlineStr">
        <is>
          <t>Best practice observed or reported in other PSSA environments. The CONTRACTOR shall evaluate the SOPs provided by MOI against best practices observed by them in other public safety environments and shall advise to the MOI any feedback that they may have.</t>
        </is>
      </c>
      <c r="G1091" s="19" t="n"/>
      <c r="H1091" s="20" t="n"/>
      <c r="I1091" s="20" t="n"/>
      <c r="J1091" s="19" t="n"/>
      <c r="K1091" s="21" t="n"/>
      <c r="L1091" s="22">
        <f>IF(OR(J1091="",K1091=""),"",J1091*K1091)</f>
        <v/>
      </c>
      <c r="M1091" s="19" t="n"/>
      <c r="N1091" s="20" t="n"/>
      <c r="O1091" s="20" t="n"/>
    </row>
    <row r="1092">
      <c r="A1092" s="16" t="n">
        <v>1089</v>
      </c>
      <c r="B1092" s="17" t="inlineStr">
        <is>
          <t>2.3.7.9</t>
        </is>
      </c>
      <c r="C1092" s="18" t="inlineStr">
        <is>
          <t>Part 2 – Technical Systems</t>
        </is>
      </c>
      <c r="D1092" s="18" t="inlineStr">
        <is>
          <t>2.3 INCIDENT AND RESOURCE MANAGEMENT SYSTEM (IRMS)</t>
        </is>
      </c>
      <c r="E1092" s="18" t="inlineStr">
        <is>
          <t>2.3.7 OPERATOR DECISION SUPPORT FUNCTION</t>
        </is>
      </c>
      <c r="F1092" s="18" t="inlineStr">
        <is>
          <t>The CONTRACTOR shall update the locally developed SOPs and response plans in the system, when such updates are shared by the MOI.</t>
        </is>
      </c>
      <c r="G1092" s="19" t="n"/>
      <c r="H1092" s="20" t="n"/>
      <c r="I1092" s="20" t="n"/>
      <c r="J1092" s="19" t="n"/>
      <c r="K1092" s="21" t="n"/>
      <c r="L1092" s="22">
        <f>IF(OR(J1092="",K1092=""),"",J1092*K1092)</f>
        <v/>
      </c>
      <c r="M1092" s="19" t="n"/>
      <c r="N1092" s="20" t="n"/>
      <c r="O1092" s="20" t="n"/>
    </row>
    <row r="1093">
      <c r="A1093" s="23" t="n">
        <v>1090</v>
      </c>
      <c r="B1093" s="24" t="inlineStr">
        <is>
          <t>2.3.7.10</t>
        </is>
      </c>
      <c r="C1093" s="25" t="inlineStr">
        <is>
          <t>Part 2 – Technical Systems</t>
        </is>
      </c>
      <c r="D1093" s="25" t="inlineStr">
        <is>
          <t>2.3 INCIDENT AND RESOURCE MANAGEMENT SYSTEM (IRMS)</t>
        </is>
      </c>
      <c r="E1093" s="25" t="inlineStr">
        <is>
          <t>2.3.7 OPERATOR DECISION SUPPORT FUNCTION</t>
        </is>
      </c>
      <c r="F1093" s="25" t="inlineStr">
        <is>
          <t>The CONTRACTOR shall document the SOPs and the response plans such that they are included in the IRMS decision support function.</t>
        </is>
      </c>
      <c r="G1093" s="19" t="n"/>
      <c r="H1093" s="20" t="n"/>
      <c r="I1093" s="20" t="n"/>
      <c r="J1093" s="19" t="n"/>
      <c r="K1093" s="21" t="n"/>
      <c r="L1093" s="22">
        <f>IF(OR(J1093="",K1093=""),"",J1093*K1093)</f>
        <v/>
      </c>
      <c r="M1093" s="19" t="n"/>
      <c r="N1093" s="20" t="n"/>
      <c r="O1093" s="20" t="n"/>
    </row>
    <row r="1094">
      <c r="A1094" s="16" t="n">
        <v>1091</v>
      </c>
      <c r="B1094" s="17" t="inlineStr">
        <is>
          <t>2.3.7.11</t>
        </is>
      </c>
      <c r="C1094" s="18" t="inlineStr">
        <is>
          <t>Part 2 – Technical Systems</t>
        </is>
      </c>
      <c r="D1094" s="18" t="inlineStr">
        <is>
          <t>2.3 INCIDENT AND RESOURCE MANAGEMENT SYSTEM (IRMS)</t>
        </is>
      </c>
      <c r="E1094" s="18" t="inlineStr">
        <is>
          <t>2.3.7 OPERATOR DECISION SUPPORT FUNCTION</t>
        </is>
      </c>
      <c r="F1094" s="18" t="inlineStr">
        <is>
          <t>The CONTRACTOR shall configure the SOPs and response plans for all incident types and for all incident priorities and integrate them into the IRMS.</t>
        </is>
      </c>
      <c r="G1094" s="19" t="n"/>
      <c r="H1094" s="20" t="n"/>
      <c r="I1094" s="20" t="n"/>
      <c r="J1094" s="19" t="n"/>
      <c r="K1094" s="21" t="n"/>
      <c r="L1094" s="22">
        <f>IF(OR(J1094="",K1094=""),"",J1094*K1094)</f>
        <v/>
      </c>
      <c r="M1094" s="19" t="n"/>
      <c r="N1094" s="20" t="n"/>
      <c r="O1094" s="20" t="n"/>
    </row>
    <row r="1095">
      <c r="A1095" s="23" t="n">
        <v>1092</v>
      </c>
      <c r="B1095" s="24" t="inlineStr">
        <is>
          <t>2.3.8.1</t>
        </is>
      </c>
      <c r="C1095" s="25" t="inlineStr">
        <is>
          <t>Part 2 – Technical Systems</t>
        </is>
      </c>
      <c r="D1095" s="25" t="inlineStr">
        <is>
          <t>2.3 INCIDENT AND RESOURCE MANAGEMENT SYSTEM (IRMS)</t>
        </is>
      </c>
      <c r="E1095" s="25" t="inlineStr">
        <is>
          <t>2.3.8 SECURITY RELATED CALLS HANDLING</t>
        </is>
      </c>
      <c r="F1095" s="25" t="inlineStr">
        <is>
          <t>The CONTRACTOR shall create a secure and isolated solution for handling national security related calls.</t>
        </is>
      </c>
      <c r="G1095" s="19" t="n"/>
      <c r="H1095" s="20" t="n"/>
      <c r="I1095" s="20" t="n"/>
      <c r="J1095" s="19" t="n"/>
      <c r="K1095" s="21" t="n"/>
      <c r="L1095" s="22">
        <f>IF(OR(J1095="",K1095=""),"",J1095*K1095)</f>
        <v/>
      </c>
      <c r="M1095" s="19" t="n"/>
      <c r="N1095" s="20" t="n"/>
      <c r="O1095" s="20" t="n"/>
    </row>
    <row r="1096">
      <c r="A1096" s="16" t="n">
        <v>1093</v>
      </c>
      <c r="B1096" s="17" t="inlineStr">
        <is>
          <t>2.3.8.2</t>
        </is>
      </c>
      <c r="C1096" s="18" t="inlineStr">
        <is>
          <t>Part 2 – Technical Systems</t>
        </is>
      </c>
      <c r="D1096" s="18" t="inlineStr">
        <is>
          <t>2.3 INCIDENT AND RESOURCE MANAGEMENT SYSTEM (IRMS)</t>
        </is>
      </c>
      <c r="E1096" s="18" t="inlineStr">
        <is>
          <t>2.3.8 SECURITY RELATED CALLS HANDLING</t>
        </is>
      </c>
      <c r="F1096" s="18" t="inlineStr">
        <is>
          <t>The CONTRACTOR’s solution for handling such calls shall ensure that all related information is handled with utmost security. There shall be no sharing of any information unless authorized by MOI.</t>
        </is>
      </c>
      <c r="G1096" s="19" t="n"/>
      <c r="H1096" s="20" t="n"/>
      <c r="I1096" s="20" t="n"/>
      <c r="J1096" s="19" t="n"/>
      <c r="K1096" s="21" t="n"/>
      <c r="L1096" s="22">
        <f>IF(OR(J1096="",K1096=""),"",J1096*K1096)</f>
        <v/>
      </c>
      <c r="M1096" s="19" t="n"/>
      <c r="N1096" s="20" t="n"/>
      <c r="O1096" s="20" t="n"/>
    </row>
    <row r="1097">
      <c r="A1097" s="23" t="n">
        <v>1094</v>
      </c>
      <c r="B1097" s="24" t="inlineStr">
        <is>
          <t>2.3.8.3</t>
        </is>
      </c>
      <c r="C1097" s="25" t="inlineStr">
        <is>
          <t>Part 2 – Technical Systems</t>
        </is>
      </c>
      <c r="D1097" s="25" t="inlineStr">
        <is>
          <t>2.3 INCIDENT AND RESOURCE MANAGEMENT SYSTEM (IRMS)</t>
        </is>
      </c>
      <c r="E1097" s="25" t="inlineStr">
        <is>
          <t>2.3.8 SECURITY RELATED CALLS HANDLING</t>
        </is>
      </c>
      <c r="F1097" s="25" t="inlineStr">
        <is>
          <t>All such call information shall be saved in a secure and isolated database that is accessible only by authorized operators. This database shall have the highest security and shall have highly restricted access that is determined by MOI.</t>
        </is>
      </c>
      <c r="G1097" s="19" t="n"/>
      <c r="H1097" s="20" t="n"/>
      <c r="I1097" s="20" t="n"/>
      <c r="J1097" s="19" t="n"/>
      <c r="K1097" s="21" t="n"/>
      <c r="L1097" s="22">
        <f>IF(OR(J1097="",K1097=""),"",J1097*K1097)</f>
        <v/>
      </c>
      <c r="M1097" s="19" t="n"/>
      <c r="N1097" s="20" t="n"/>
      <c r="O1097" s="20" t="n"/>
    </row>
    <row r="1098">
      <c r="A1098" s="16" t="n">
        <v>1095</v>
      </c>
      <c r="B1098" s="17" t="inlineStr">
        <is>
          <t>2.3.8.4</t>
        </is>
      </c>
      <c r="C1098" s="18" t="inlineStr">
        <is>
          <t>Part 2 – Technical Systems</t>
        </is>
      </c>
      <c r="D1098" s="18" t="inlineStr">
        <is>
          <t>2.3 INCIDENT AND RESOURCE MANAGEMENT SYSTEM (IRMS)</t>
        </is>
      </c>
      <c r="E1098" s="18" t="inlineStr">
        <is>
          <t>2.3.8 SECURITY RELATED CALLS HANDLING</t>
        </is>
      </c>
      <c r="F1098" s="18" t="inlineStr">
        <is>
          <t>The CONTRACTOR’s solution shall capture the location of any caller and record it in this secure database.</t>
        </is>
      </c>
      <c r="G1098" s="19" t="n"/>
      <c r="H1098" s="20" t="n"/>
      <c r="I1098" s="20" t="n"/>
      <c r="J1098" s="19" t="n"/>
      <c r="K1098" s="21" t="n"/>
      <c r="L1098" s="22">
        <f>IF(OR(J1098="",K1098=""),"",J1098*K1098)</f>
        <v/>
      </c>
      <c r="M1098" s="19" t="n"/>
      <c r="N1098" s="20" t="n"/>
      <c r="O1098" s="20" t="n"/>
    </row>
    <row r="1099">
      <c r="A1099" s="23" t="n">
        <v>1096</v>
      </c>
      <c r="B1099" s="24" t="inlineStr">
        <is>
          <t>2.3.8.5</t>
        </is>
      </c>
      <c r="C1099" s="25" t="inlineStr">
        <is>
          <t>Part 2 – Technical Systems</t>
        </is>
      </c>
      <c r="D1099" s="25" t="inlineStr">
        <is>
          <t>2.3 INCIDENT AND RESOURCE MANAGEMENT SYSTEM (IRMS)</t>
        </is>
      </c>
      <c r="E1099" s="25" t="inlineStr">
        <is>
          <t>2.3.8 SECURITY RELATED CALLS HANDLING</t>
        </is>
      </c>
      <c r="F1099" s="25" t="inlineStr">
        <is>
          <t>For the people who are determined by the MOI to have participated in suspicious and / or criminal activity, the CONTRACTOR solution shall ensure that it shall be possible for specialist security-related call handlers to update such people’s personal records in the security database to reflect the same.</t>
        </is>
      </c>
      <c r="G1099" s="19" t="n"/>
      <c r="H1099" s="20" t="n"/>
      <c r="I1099" s="20" t="n"/>
      <c r="J1099" s="19" t="n"/>
      <c r="K1099" s="21" t="n"/>
      <c r="L1099" s="22">
        <f>IF(OR(J1099="",K1099=""),"",J1099*K1099)</f>
        <v/>
      </c>
      <c r="M1099" s="19" t="n"/>
      <c r="N1099" s="20" t="n"/>
      <c r="O1099" s="20" t="n"/>
    </row>
    <row r="1100">
      <c r="A1100" s="16" t="n">
        <v>1097</v>
      </c>
      <c r="B1100" s="17" t="inlineStr">
        <is>
          <t>2.3.8.6</t>
        </is>
      </c>
      <c r="C1100" s="18" t="inlineStr">
        <is>
          <t>Part 2 – Technical Systems</t>
        </is>
      </c>
      <c r="D1100" s="18" t="inlineStr">
        <is>
          <t>2.3 INCIDENT AND RESOURCE MANAGEMENT SYSTEM (IRMS)</t>
        </is>
      </c>
      <c r="E1100" s="18" t="inlineStr">
        <is>
          <t>2.3.8 SECURITY RELATED CALLS HANDLING</t>
        </is>
      </c>
      <c r="F1100" s="18" t="inlineStr">
        <is>
          <t>The BIDDER shall dimension this solution for up to ten positions.</t>
        </is>
      </c>
      <c r="G1100" s="19" t="n"/>
      <c r="H1100" s="20" t="n"/>
      <c r="I1100" s="20" t="n"/>
      <c r="J1100" s="19" t="n"/>
      <c r="K1100" s="21" t="n"/>
      <c r="L1100" s="22">
        <f>IF(OR(J1100="",K1100=""),"",J1100*K1100)</f>
        <v/>
      </c>
      <c r="M1100" s="19" t="n"/>
      <c r="N1100" s="20" t="n"/>
      <c r="O1100" s="20" t="n"/>
    </row>
    <row r="1101">
      <c r="A1101" s="23" t="n">
        <v>1098</v>
      </c>
      <c r="B1101" s="24" t="inlineStr">
        <is>
          <t>2.3.8.7</t>
        </is>
      </c>
      <c r="C1101" s="25" t="inlineStr">
        <is>
          <t>Part 2 – Technical Systems</t>
        </is>
      </c>
      <c r="D1101" s="25" t="inlineStr">
        <is>
          <t>2.3 INCIDENT AND RESOURCE MANAGEMENT SYSTEM (IRMS)</t>
        </is>
      </c>
      <c r="E1101" s="25" t="inlineStr">
        <is>
          <t>2.3.8 SECURITY RELATED CALLS HANDLING</t>
        </is>
      </c>
      <c r="F1101" s="25" t="inlineStr">
        <is>
          <t>This supervisor position shall include the capability to monitor these security related incidents at all levels and for ensuring that actions are happening as required.</t>
        </is>
      </c>
      <c r="G1101" s="19" t="n"/>
      <c r="H1101" s="20" t="n"/>
      <c r="I1101" s="20" t="n"/>
      <c r="J1101" s="19" t="n"/>
      <c r="K1101" s="21" t="n"/>
      <c r="L1101" s="22">
        <f>IF(OR(J1101="",K1101=""),"",J1101*K1101)</f>
        <v/>
      </c>
      <c r="M1101" s="19" t="n"/>
      <c r="N1101" s="20" t="n"/>
      <c r="O1101" s="20" t="n"/>
    </row>
    <row r="1102">
      <c r="A1102" s="16" t="n">
        <v>1099</v>
      </c>
      <c r="B1102" s="17" t="inlineStr">
        <is>
          <t>2.3.8.8</t>
        </is>
      </c>
      <c r="C1102" s="18" t="inlineStr">
        <is>
          <t>Part 2 – Technical Systems</t>
        </is>
      </c>
      <c r="D1102" s="18" t="inlineStr">
        <is>
          <t>2.3 INCIDENT AND RESOURCE MANAGEMENT SYSTEM (IRMS)</t>
        </is>
      </c>
      <c r="E1102" s="18" t="inlineStr">
        <is>
          <t>2.3.8 SECURITY RELATED CALLS HANDLING</t>
        </is>
      </c>
      <c r="F1102" s="18" t="inlineStr">
        <is>
          <t>The system functionality on the computers and the equipment shall be the same as that of the OSS911 call takers and Supervisors.</t>
        </is>
      </c>
      <c r="G1102" s="19" t="n"/>
      <c r="H1102" s="20" t="n"/>
      <c r="I1102" s="20" t="n"/>
      <c r="J1102" s="19" t="n"/>
      <c r="K1102" s="21" t="n"/>
      <c r="L1102" s="22">
        <f>IF(OR(J1102="",K1102=""),"",J1102*K1102)</f>
        <v/>
      </c>
      <c r="M1102" s="19" t="n"/>
      <c r="N1102" s="20" t="n"/>
      <c r="O1102" s="20" t="n"/>
    </row>
    <row r="1103">
      <c r="A1103" s="23" t="n">
        <v>1100</v>
      </c>
      <c r="B1103" s="24" t="inlineStr">
        <is>
          <t>2.3.8.9</t>
        </is>
      </c>
      <c r="C1103" s="25" t="inlineStr">
        <is>
          <t>Part 2 – Technical Systems</t>
        </is>
      </c>
      <c r="D1103" s="25" t="inlineStr">
        <is>
          <t>2.3 INCIDENT AND RESOURCE MANAGEMENT SYSTEM (IRMS)</t>
        </is>
      </c>
      <c r="E1103" s="25" t="inlineStr">
        <is>
          <t>2.3.8 SECURITY RELATED CALLS HANDLING</t>
        </is>
      </c>
      <c r="F1103" s="25" t="inlineStr">
        <is>
          <t>The call retention guidelines for such security-related calls are the same as other OSS911 calls.</t>
        </is>
      </c>
      <c r="G1103" s="19" t="n"/>
      <c r="H1103" s="20" t="n"/>
      <c r="I1103" s="20" t="n"/>
      <c r="J1103" s="19" t="n"/>
      <c r="K1103" s="21" t="n"/>
      <c r="L1103" s="22">
        <f>IF(OR(J1103="",K1103=""),"",J1103*K1103)</f>
        <v/>
      </c>
      <c r="M1103" s="19" t="n"/>
      <c r="N1103" s="20" t="n"/>
      <c r="O1103" s="20" t="n"/>
    </row>
    <row r="1104">
      <c r="A1104" s="16" t="n">
        <v>1101</v>
      </c>
      <c r="B1104" s="17" t="inlineStr">
        <is>
          <t>2.3.8.10</t>
        </is>
      </c>
      <c r="C1104" s="18" t="inlineStr">
        <is>
          <t>Part 2 – Technical Systems</t>
        </is>
      </c>
      <c r="D1104" s="18" t="inlineStr">
        <is>
          <t>2.3 INCIDENT AND RESOURCE MANAGEMENT SYSTEM (IRMS)</t>
        </is>
      </c>
      <c r="E1104" s="18" t="inlineStr">
        <is>
          <t>2.3.8 SECURITY RELATED CALLS HANDLING</t>
        </is>
      </c>
      <c r="F1104" s="18" t="inlineStr">
        <is>
          <t>The CONTRACTOR delivered activities for OSS911 SOPs and response plans development and deployment shall cover all procedures for these positions and their related functions.</t>
        </is>
      </c>
      <c r="G1104" s="19" t="n"/>
      <c r="H1104" s="20" t="n"/>
      <c r="I1104" s="20" t="n"/>
      <c r="J1104" s="19" t="n"/>
      <c r="K1104" s="21" t="n"/>
      <c r="L1104" s="22">
        <f>IF(OR(J1104="",K1104=""),"",J1104*K1104)</f>
        <v/>
      </c>
      <c r="M1104" s="19" t="n"/>
      <c r="N1104" s="20" t="n"/>
      <c r="O1104" s="20" t="n"/>
    </row>
    <row r="1105">
      <c r="A1105" s="23" t="n">
        <v>1102</v>
      </c>
      <c r="B1105" s="24" t="inlineStr">
        <is>
          <t>2.3.8.11</t>
        </is>
      </c>
      <c r="C1105" s="25" t="inlineStr">
        <is>
          <t>Part 2 – Technical Systems</t>
        </is>
      </c>
      <c r="D1105" s="25" t="inlineStr">
        <is>
          <t>2.3 INCIDENT AND RESOURCE MANAGEMENT SYSTEM (IRMS)</t>
        </is>
      </c>
      <c r="E1105" s="25" t="inlineStr">
        <is>
          <t>2.3.8 SECURITY RELATED CALLS HANDLING</t>
        </is>
      </c>
      <c r="F1105" s="25" t="inlineStr">
        <is>
          <t>The CONTRACTOR shall configure the workflow for such calls to include the following:</t>
        </is>
      </c>
      <c r="G1105" s="19" t="n"/>
      <c r="H1105" s="20" t="n"/>
      <c r="I1105" s="20" t="n"/>
      <c r="J1105" s="19" t="n"/>
      <c r="K1105" s="21" t="n"/>
      <c r="L1105" s="22">
        <f>IF(OR(J1105="",K1105=""),"",J1105*K1105)</f>
        <v/>
      </c>
      <c r="M1105" s="19" t="n"/>
      <c r="N1105" s="20" t="n"/>
      <c r="O1105" s="20" t="n"/>
    </row>
    <row r="1106">
      <c r="A1106" s="16" t="n">
        <v>1103</v>
      </c>
      <c r="B1106" s="16" t="inlineStr">
        <is>
          <t>2.3.8.11.1</t>
        </is>
      </c>
      <c r="C1106" s="18" t="inlineStr">
        <is>
          <t>Part 2 – Technical Systems</t>
        </is>
      </c>
      <c r="D1106" s="18" t="inlineStr">
        <is>
          <t>2.3 INCIDENT AND RESOURCE MANAGEMENT SYSTEM (IRMS)</t>
        </is>
      </c>
      <c r="E1106" s="18" t="inlineStr">
        <is>
          <t>2.3.8 SECURITY RELATED CALLS HANDLING</t>
        </is>
      </c>
      <c r="F1106" s="18" t="inlineStr">
        <is>
          <t>Once it is determined by a call taker that the call pertains to national security, the call information shall be passed on to a team of specialist security-related call handlers, which shall handle all such calls.</t>
        </is>
      </c>
      <c r="G1106" s="19" t="n"/>
      <c r="H1106" s="20" t="n"/>
      <c r="I1106" s="20" t="n"/>
      <c r="J1106" s="19" t="n"/>
      <c r="K1106" s="21" t="n"/>
      <c r="L1106" s="22">
        <f>IF(OR(J1106="",K1106=""),"",J1106*K1106)</f>
        <v/>
      </c>
      <c r="M1106" s="19" t="n"/>
      <c r="N1106" s="20" t="n"/>
      <c r="O1106" s="20" t="n"/>
    </row>
    <row r="1107">
      <c r="A1107" s="23" t="n">
        <v>1104</v>
      </c>
      <c r="B1107" s="23" t="inlineStr">
        <is>
          <t>2.3.8.11.2</t>
        </is>
      </c>
      <c r="C1107" s="25" t="inlineStr">
        <is>
          <t>Part 2 – Technical Systems</t>
        </is>
      </c>
      <c r="D1107" s="25" t="inlineStr">
        <is>
          <t>2.3 INCIDENT AND RESOURCE MANAGEMENT SYSTEM (IRMS)</t>
        </is>
      </c>
      <c r="E1107" s="25" t="inlineStr">
        <is>
          <t>2.3.8 SECURITY RELATED CALLS HANDLING</t>
        </is>
      </c>
      <c r="F1107" s="25" t="inlineStr">
        <is>
          <t>Further, the call taker who received the call at OSS911, shall no longer be in the call or have access to the call card after transfer.</t>
        </is>
      </c>
      <c r="G1107" s="19" t="n"/>
      <c r="H1107" s="20" t="n"/>
      <c r="I1107" s="20" t="n"/>
      <c r="J1107" s="19" t="n"/>
      <c r="K1107" s="21" t="n"/>
      <c r="L1107" s="22">
        <f>IF(OR(J1107="",K1107=""),"",J1107*K1107)</f>
        <v/>
      </c>
      <c r="M1107" s="19" t="n"/>
      <c r="N1107" s="20" t="n"/>
      <c r="O1107" s="20" t="n"/>
    </row>
    <row r="1108">
      <c r="A1108" s="16" t="n">
        <v>1105</v>
      </c>
      <c r="B1108" s="16" t="inlineStr">
        <is>
          <t>2.3.8.11.3</t>
        </is>
      </c>
      <c r="C1108" s="18" t="inlineStr">
        <is>
          <t>Part 2 – Technical Systems</t>
        </is>
      </c>
      <c r="D1108" s="18" t="inlineStr">
        <is>
          <t>2.3 INCIDENT AND RESOURCE MANAGEMENT SYSTEM (IRMS)</t>
        </is>
      </c>
      <c r="E1108" s="18" t="inlineStr">
        <is>
          <t>2.3.8 SECURITY RELATED CALLS HANDLING</t>
        </is>
      </c>
      <c r="F1108" s="18" t="inlineStr">
        <is>
          <t>The caller’s identity shall not be displayed when the call appears on the screens of the specialist security-related call handlers. The caller identity that may have been recorded by a call taker who received the call at OSS911, is visible only to extremely restricted and highly placed MOI officials. No one else shall be able to see the caller identity. For any operator who cannot see the caller’s name, the call shall be identifiable by the call number only.</t>
        </is>
      </c>
      <c r="G1108" s="19" t="n"/>
      <c r="H1108" s="20" t="n"/>
      <c r="I1108" s="20" t="n"/>
      <c r="J1108" s="19" t="n"/>
      <c r="K1108" s="21" t="n"/>
      <c r="L1108" s="22">
        <f>IF(OR(J1108="",K1108=""),"",J1108*K1108)</f>
        <v/>
      </c>
      <c r="M1108" s="19" t="n"/>
      <c r="N1108" s="20" t="n"/>
      <c r="O1108" s="20" t="n"/>
    </row>
    <row r="1109">
      <c r="A1109" s="23" t="n">
        <v>1106</v>
      </c>
      <c r="B1109" s="23" t="inlineStr">
        <is>
          <t>2.3.8.11.4</t>
        </is>
      </c>
      <c r="C1109" s="25" t="inlineStr">
        <is>
          <t>Part 2 – Technical Systems</t>
        </is>
      </c>
      <c r="D1109" s="25" t="inlineStr">
        <is>
          <t>2.3 INCIDENT AND RESOURCE MANAGEMENT SYSTEM (IRMS)</t>
        </is>
      </c>
      <c r="E1109" s="25" t="inlineStr">
        <is>
          <t>2.3.8 SECURITY RELATED CALLS HANDLING</t>
        </is>
      </c>
      <c r="F1109" s="25" t="inlineStr">
        <is>
          <t>Information about callers and about what caller-related information is seen by call takers, dispatchers and other staff will be classified. If there is any information associated with any caller that he has previously provided security information to OSS911, then such associated information about that caller shall only be available to these security-related call handlers and will not be available to anyone else in OSS911. When a subsequent non- security related call is made by the caller to OSS911, then the OSS911 call takers, dispatchers and other OSS911 staff shall be able to view all details about the caller except any security calls related information linked to that caller.</t>
        </is>
      </c>
      <c r="G1109" s="19" t="n"/>
      <c r="H1109" s="20" t="n"/>
      <c r="I1109" s="20" t="n"/>
      <c r="J1109" s="19" t="n"/>
      <c r="K1109" s="21" t="n"/>
      <c r="L1109" s="22">
        <f>IF(OR(J1109="",K1109=""),"",J1109*K1109)</f>
        <v/>
      </c>
      <c r="M1109" s="19" t="n"/>
      <c r="N1109" s="20" t="n"/>
      <c r="O1109" s="20" t="n"/>
    </row>
    <row r="1110">
      <c r="A1110" s="16" t="n">
        <v>1107</v>
      </c>
      <c r="B1110" s="16" t="inlineStr">
        <is>
          <t>2.3.8.11.5</t>
        </is>
      </c>
      <c r="C1110" s="18" t="inlineStr">
        <is>
          <t>Part 2 – Technical Systems</t>
        </is>
      </c>
      <c r="D1110" s="18" t="inlineStr">
        <is>
          <t>2.3 INCIDENT AND RESOURCE MANAGEMENT SYSTEM (IRMS)</t>
        </is>
      </c>
      <c r="E1110" s="18" t="inlineStr">
        <is>
          <t>2.3.8 SECURITY RELATED CALLS HANDLING</t>
        </is>
      </c>
      <c r="F1110" s="18" t="inlineStr">
        <is>
          <t>It shall be possible for the specialist security-related call handlers to transfer the call back for action by police or any other agency if they determine that the call does not come under the jurisdiction of the MOI agencies handling security related incidents.</t>
        </is>
      </c>
      <c r="G1110" s="19" t="n"/>
      <c r="H1110" s="20" t="n"/>
      <c r="I1110" s="20" t="n"/>
      <c r="J1110" s="19" t="n"/>
      <c r="K1110" s="21" t="n"/>
      <c r="L1110" s="22">
        <f>IF(OR(J1110="",K1110=""),"",J1110*K1110)</f>
        <v/>
      </c>
      <c r="M1110" s="19" t="n"/>
      <c r="N1110" s="20" t="n"/>
      <c r="O1110" s="20" t="n"/>
    </row>
    <row r="1111">
      <c r="A1111" s="23" t="n">
        <v>1108</v>
      </c>
      <c r="B1111" s="23" t="inlineStr">
        <is>
          <t>2.3.8.11.6</t>
        </is>
      </c>
      <c r="C1111" s="25" t="inlineStr">
        <is>
          <t>Part 2 – Technical Systems</t>
        </is>
      </c>
      <c r="D1111" s="25" t="inlineStr">
        <is>
          <t>2.3 INCIDENT AND RESOURCE MANAGEMENT SYSTEM (IRMS)</t>
        </is>
      </c>
      <c r="E1111" s="25" t="inlineStr">
        <is>
          <t>2.3.8 SECURITY RELATED CALLS HANDLING</t>
        </is>
      </c>
      <c r="F1111" s="25" t="inlineStr">
        <is>
          <t>It shall be possible for the specialist security-related call handlers to call back a caller to get specific information. As such, the CONTRACTOR shall provide a solution for them to call back the callers.</t>
        </is>
      </c>
      <c r="G1111" s="19" t="n"/>
      <c r="H1111" s="20" t="n"/>
      <c r="I1111" s="20" t="n"/>
      <c r="J1111" s="19" t="n"/>
      <c r="K1111" s="21" t="n"/>
      <c r="L1111" s="22">
        <f>IF(OR(J1111="",K1111=""),"",J1111*K1111)</f>
        <v/>
      </c>
      <c r="M1111" s="19" t="n"/>
      <c r="N1111" s="20" t="n"/>
      <c r="O1111" s="20" t="n"/>
    </row>
    <row r="1112">
      <c r="A1112" s="16" t="n">
        <v>1109</v>
      </c>
      <c r="B1112" s="16" t="inlineStr">
        <is>
          <t>2.3.8.11.7</t>
        </is>
      </c>
      <c r="C1112" s="18" t="inlineStr">
        <is>
          <t>Part 2 – Technical Systems</t>
        </is>
      </c>
      <c r="D1112" s="18" t="inlineStr">
        <is>
          <t>2.3 INCIDENT AND RESOURCE MANAGEMENT SYSTEM (IRMS)</t>
        </is>
      </c>
      <c r="E1112" s="18" t="inlineStr">
        <is>
          <t>2.3.8 SECURITY RELATED CALLS HANDLING</t>
        </is>
      </c>
      <c r="F1112" s="18" t="inlineStr">
        <is>
          <t>If it is determined by the specialist security-related call handlers that the call is a “positive” call, they shall determine the call type and that whether the call can be handled locally or if it is needed to be dispatched to other security-related MOI centers in the province or in any other provinces.</t>
        </is>
      </c>
      <c r="G1112" s="19" t="n"/>
      <c r="H1112" s="20" t="n"/>
      <c r="I1112" s="20" t="n"/>
      <c r="J1112" s="19" t="n"/>
      <c r="K1112" s="21" t="n"/>
      <c r="L1112" s="22">
        <f>IF(OR(J1112="",K1112=""),"",J1112*K1112)</f>
        <v/>
      </c>
      <c r="M1112" s="19" t="n"/>
      <c r="N1112" s="20" t="n"/>
      <c r="O1112" s="20" t="n"/>
    </row>
    <row r="1113">
      <c r="A1113" s="23" t="n">
        <v>1110</v>
      </c>
      <c r="B1113" s="23" t="inlineStr">
        <is>
          <t>2.3.8.11.8</t>
        </is>
      </c>
      <c r="C1113" s="25" t="inlineStr">
        <is>
          <t>Part 2 – Technical Systems</t>
        </is>
      </c>
      <c r="D1113" s="25" t="inlineStr">
        <is>
          <t>2.3 INCIDENT AND RESOURCE MANAGEMENT SYSTEM (IRMS)</t>
        </is>
      </c>
      <c r="E1113" s="25" t="inlineStr">
        <is>
          <t>2.3.8 SECURITY RELATED CALLS HANDLING</t>
        </is>
      </c>
      <c r="F1113" s="25" t="inlineStr">
        <is>
          <t>The specialist security-related call handlers attending to the call shall research if more information is required to proceed with handling that call. In case of more information required, the specialist security-related call handlers shall research this information.</t>
        </is>
      </c>
      <c r="G1113" s="19" t="n"/>
      <c r="H1113" s="20" t="n"/>
      <c r="I1113" s="20" t="n"/>
      <c r="J1113" s="19" t="n"/>
      <c r="K1113" s="21" t="n"/>
      <c r="L1113" s="22">
        <f>IF(OR(J1113="",K1113=""),"",J1113*K1113)</f>
        <v/>
      </c>
      <c r="M1113" s="19" t="n"/>
      <c r="N1113" s="20" t="n"/>
      <c r="O1113" s="20" t="n"/>
    </row>
    <row r="1114">
      <c r="A1114" s="16" t="n">
        <v>1111</v>
      </c>
      <c r="B1114" s="16" t="inlineStr">
        <is>
          <t>2.3.8.11.9</t>
        </is>
      </c>
      <c r="C1114" s="18" t="inlineStr">
        <is>
          <t>Part 2 – Technical Systems</t>
        </is>
      </c>
      <c r="D1114" s="18" t="inlineStr">
        <is>
          <t>2.3 INCIDENT AND RESOURCE MANAGEMENT SYSTEM (IRMS)</t>
        </is>
      </c>
      <c r="E1114" s="18" t="inlineStr">
        <is>
          <t>2.3.8 SECURITY RELATED CALLS HANDLING</t>
        </is>
      </c>
      <c r="F1114" s="18" t="inlineStr">
        <is>
          <t>If required, the call is escalated appropriately based on the urgency of the situation.</t>
        </is>
      </c>
      <c r="G1114" s="19" t="n"/>
      <c r="H1114" s="20" t="n"/>
      <c r="I1114" s="20" t="n"/>
      <c r="J1114" s="19" t="n"/>
      <c r="K1114" s="21" t="n"/>
      <c r="L1114" s="22">
        <f>IF(OR(J1114="",K1114=""),"",J1114*K1114)</f>
        <v/>
      </c>
      <c r="M1114" s="19" t="n"/>
      <c r="N1114" s="20" t="n"/>
      <c r="O1114" s="20" t="n"/>
    </row>
    <row r="1115">
      <c r="A1115" s="23" t="n">
        <v>1112</v>
      </c>
      <c r="B1115" s="23" t="inlineStr">
        <is>
          <t>2.3.8.11.10</t>
        </is>
      </c>
      <c r="C1115" s="25" t="inlineStr">
        <is>
          <t>Part 2 – Technical Systems</t>
        </is>
      </c>
      <c r="D1115" s="25" t="inlineStr">
        <is>
          <t>2.3 INCIDENT AND RESOURCE MANAGEMENT SYSTEM (IRMS)</t>
        </is>
      </c>
      <c r="E1115" s="25" t="inlineStr">
        <is>
          <t>2.3.8 SECURITY RELATED CALLS HANDLING</t>
        </is>
      </c>
      <c r="F1115" s="25" t="inlineStr">
        <is>
          <t>An SMS shall be configured to be sent to the caller updating him/her appropriately about the action done and its status.</t>
        </is>
      </c>
      <c r="G1115" s="19" t="n"/>
      <c r="H1115" s="20" t="n"/>
      <c r="I1115" s="20" t="n"/>
      <c r="J1115" s="19" t="n"/>
      <c r="K1115" s="21" t="n"/>
      <c r="L1115" s="22">
        <f>IF(OR(J1115="",K1115=""),"",J1115*K1115)</f>
        <v/>
      </c>
      <c r="M1115" s="19" t="n"/>
      <c r="N1115" s="20" t="n"/>
      <c r="O1115" s="20" t="n"/>
    </row>
    <row r="1116">
      <c r="A1116" s="16" t="n">
        <v>1113</v>
      </c>
      <c r="B1116" s="16" t="inlineStr">
        <is>
          <t>2.3.8.11.11</t>
        </is>
      </c>
      <c r="C1116" s="18" t="inlineStr">
        <is>
          <t>Part 2 – Technical Systems</t>
        </is>
      </c>
      <c r="D1116" s="18" t="inlineStr">
        <is>
          <t>2.3 INCIDENT AND RESOURCE MANAGEMENT SYSTEM (IRMS)</t>
        </is>
      </c>
      <c r="E1116" s="18" t="inlineStr">
        <is>
          <t>2.3.8 SECURITY RELATED CALLS HANDLING</t>
        </is>
      </c>
      <c r="F1116" s="18" t="inlineStr">
        <is>
          <t>Once the security related call has been attended, a solution shall be provided by the CONTRACTOR for a report to be prepared by the specialist security-related call handlers team and to be sent to an appropriate MOI authority.</t>
        </is>
      </c>
      <c r="G1116" s="19" t="n"/>
      <c r="H1116" s="20" t="n"/>
      <c r="I1116" s="20" t="n"/>
      <c r="J1116" s="19" t="n"/>
      <c r="K1116" s="21" t="n"/>
      <c r="L1116" s="22">
        <f>IF(OR(J1116="",K1116=""),"",J1116*K1116)</f>
        <v/>
      </c>
      <c r="M1116" s="19" t="n"/>
      <c r="N1116" s="20" t="n"/>
      <c r="O1116" s="20" t="n"/>
    </row>
    <row r="1117">
      <c r="A1117" s="23" t="n">
        <v>1114</v>
      </c>
      <c r="B1117" s="24" t="inlineStr">
        <is>
          <t>2.3.9.1</t>
        </is>
      </c>
      <c r="C1117" s="25" t="inlineStr">
        <is>
          <t>Part 2 – Technical Systems</t>
        </is>
      </c>
      <c r="D1117" s="25" t="inlineStr">
        <is>
          <t>2.3 INCIDENT AND RESOURCE MANAGEMENT SYSTEM (IRMS)</t>
        </is>
      </c>
      <c r="E1117" s="25" t="inlineStr">
        <is>
          <t>2.3.9 MULTI-AGENCY REQUIREMENT</t>
        </is>
      </c>
      <c r="F1117" s="25" t="inlineStr">
        <is>
          <t>Each incident shall be allocated to one PSSA. It shall be possible to later change this allocation when further information has come to light.</t>
        </is>
      </c>
      <c r="G1117" s="19" t="n"/>
      <c r="H1117" s="20" t="n"/>
      <c r="I1117" s="20" t="n"/>
      <c r="J1117" s="19" t="n"/>
      <c r="K1117" s="21" t="n"/>
      <c r="L1117" s="22">
        <f>IF(OR(J1117="",K1117=""),"",J1117*K1117)</f>
        <v/>
      </c>
      <c r="M1117" s="19" t="n"/>
      <c r="N1117" s="20" t="n"/>
      <c r="O1117" s="20" t="n"/>
    </row>
    <row r="1118">
      <c r="A1118" s="16" t="n">
        <v>1115</v>
      </c>
      <c r="B1118" s="17" t="inlineStr">
        <is>
          <t>2.3.9.2</t>
        </is>
      </c>
      <c r="C1118" s="18" t="inlineStr">
        <is>
          <t>Part 2 – Technical Systems</t>
        </is>
      </c>
      <c r="D1118" s="18" t="inlineStr">
        <is>
          <t>2.3 INCIDENT AND RESOURCE MANAGEMENT SYSTEM (IRMS)</t>
        </is>
      </c>
      <c r="E1118" s="18" t="inlineStr">
        <is>
          <t>2.3.9 MULTI-AGENCY REQUIREMENT</t>
        </is>
      </c>
      <c r="F1118" s="18" t="inlineStr">
        <is>
          <t>In addition to the unique IRMS incident number, the system shall generate an incident number which is unique to the agency assigned to the incident.</t>
        </is>
      </c>
      <c r="G1118" s="19" t="n"/>
      <c r="H1118" s="20" t="n"/>
      <c r="I1118" s="20" t="n"/>
      <c r="J1118" s="19" t="n"/>
      <c r="K1118" s="21" t="n"/>
      <c r="L1118" s="22">
        <f>IF(OR(J1118="",K1118=""),"",J1118*K1118)</f>
        <v/>
      </c>
      <c r="M1118" s="19" t="n"/>
      <c r="N1118" s="20" t="n"/>
      <c r="O1118" s="20" t="n"/>
    </row>
    <row r="1119">
      <c r="A1119" s="23" t="n">
        <v>1116</v>
      </c>
      <c r="B1119" s="24" t="inlineStr">
        <is>
          <t>2.3.9.3</t>
        </is>
      </c>
      <c r="C1119" s="25" t="inlineStr">
        <is>
          <t>Part 2 – Technical Systems</t>
        </is>
      </c>
      <c r="D1119" s="25" t="inlineStr">
        <is>
          <t>2.3 INCIDENT AND RESOURCE MANAGEMENT SYSTEM (IRMS)</t>
        </is>
      </c>
      <c r="E1119" s="25" t="inlineStr">
        <is>
          <t>2.3.9 MULTI-AGENCY REQUIREMENT</t>
        </is>
      </c>
      <c r="F1119" s="25" t="inlineStr">
        <is>
          <t>The IRMS shall provide a capability to have different types of incidents configurable for different agencies.</t>
        </is>
      </c>
      <c r="G1119" s="19" t="n"/>
      <c r="H1119" s="20" t="n"/>
      <c r="I1119" s="20" t="n"/>
      <c r="J1119" s="19" t="n"/>
      <c r="K1119" s="21" t="n"/>
      <c r="L1119" s="22">
        <f>IF(OR(J1119="",K1119=""),"",J1119*K1119)</f>
        <v/>
      </c>
      <c r="M1119" s="19" t="n"/>
      <c r="N1119" s="20" t="n"/>
      <c r="O1119" s="20" t="n"/>
    </row>
    <row r="1120">
      <c r="A1120" s="16" t="n">
        <v>1117</v>
      </c>
      <c r="B1120" s="17" t="inlineStr">
        <is>
          <t>2.3.9.4</t>
        </is>
      </c>
      <c r="C1120" s="18" t="inlineStr">
        <is>
          <t>Part 2 – Technical Systems</t>
        </is>
      </c>
      <c r="D1120" s="18" t="inlineStr">
        <is>
          <t>2.3 INCIDENT AND RESOURCE MANAGEMENT SYSTEM (IRMS)</t>
        </is>
      </c>
      <c r="E1120" s="18" t="inlineStr">
        <is>
          <t>2.3.9 MULTI-AGENCY REQUIREMENT</t>
        </is>
      </c>
      <c r="F1120" s="18" t="inlineStr">
        <is>
          <t>The IRMS shall provide specific formats to meet the requirements of each agency such as the inclusion of vehicle registration and type fields, search criteria and the capability to select pre-determined attendance and facilitate automatic alerts.</t>
        </is>
      </c>
      <c r="G1120" s="19" t="n"/>
      <c r="H1120" s="20" t="n"/>
      <c r="I1120" s="20" t="n"/>
      <c r="J1120" s="19" t="n"/>
      <c r="K1120" s="21" t="n"/>
      <c r="L1120" s="22">
        <f>IF(OR(J1120="",K1120=""),"",J1120*K1120)</f>
        <v/>
      </c>
      <c r="M1120" s="19" t="n"/>
      <c r="N1120" s="20" t="n"/>
      <c r="O1120" s="20" t="n"/>
    </row>
    <row r="1121">
      <c r="A1121" s="23" t="n">
        <v>1118</v>
      </c>
      <c r="B1121" s="24" t="inlineStr">
        <is>
          <t>2.3.9.5</t>
        </is>
      </c>
      <c r="C1121" s="25" t="inlineStr">
        <is>
          <t>Part 2 – Technical Systems</t>
        </is>
      </c>
      <c r="D1121" s="25" t="inlineStr">
        <is>
          <t>2.3 INCIDENT AND RESOURCE MANAGEMENT SYSTEM (IRMS)</t>
        </is>
      </c>
      <c r="E1121" s="25" t="inlineStr">
        <is>
          <t>2.3.9 MULTI-AGENCY REQUIREMENT</t>
        </is>
      </c>
      <c r="F1121" s="25" t="inlineStr">
        <is>
          <t>The IRMS shall present partitioning options based on standard operating procedures to ensure that, when the call taker inputs information, the incident log is identified as falling under the jurisdiction of a particular agency.</t>
        </is>
      </c>
      <c r="G1121" s="19" t="n"/>
      <c r="H1121" s="20" t="n"/>
      <c r="I1121" s="20" t="n"/>
      <c r="J1121" s="19" t="n"/>
      <c r="K1121" s="21" t="n"/>
      <c r="L1121" s="22">
        <f>IF(OR(J1121="",K1121=""),"",J1121*K1121)</f>
        <v/>
      </c>
      <c r="M1121" s="19" t="n"/>
      <c r="N1121" s="20" t="n"/>
      <c r="O1121" s="20" t="n"/>
    </row>
    <row r="1122">
      <c r="A1122" s="16" t="n">
        <v>1119</v>
      </c>
      <c r="B1122" s="17" t="inlineStr">
        <is>
          <t>2.3.9.6</t>
        </is>
      </c>
      <c r="C1122" s="18" t="inlineStr">
        <is>
          <t>Part 2 – Technical Systems</t>
        </is>
      </c>
      <c r="D1122" s="18" t="inlineStr">
        <is>
          <t>2.3 INCIDENT AND RESOURCE MANAGEMENT SYSTEM (IRMS)</t>
        </is>
      </c>
      <c r="E1122" s="18" t="inlineStr">
        <is>
          <t>2.3.9 MULTI-AGENCY REQUIREMENT</t>
        </is>
      </c>
      <c r="F1122" s="18" t="inlineStr">
        <is>
          <t>The IRMS shall support all an interface capability in the IRMS that shall allow provision of the incident details in electronic format so that external systems can create an incident on their own.</t>
        </is>
      </c>
      <c r="G1122" s="19" t="n"/>
      <c r="H1122" s="20" t="n"/>
      <c r="I1122" s="20" t="n"/>
      <c r="J1122" s="19" t="n"/>
      <c r="K1122" s="21" t="n"/>
      <c r="L1122" s="22">
        <f>IF(OR(J1122="",K1122=""),"",J1122*K1122)</f>
        <v/>
      </c>
      <c r="M1122" s="19" t="n"/>
      <c r="N1122" s="20" t="n"/>
      <c r="O1122" s="20" t="n"/>
    </row>
    <row r="1123">
      <c r="A1123" s="23" t="n">
        <v>1120</v>
      </c>
      <c r="B1123" s="24" t="inlineStr">
        <is>
          <t>2.3.9.7</t>
        </is>
      </c>
      <c r="C1123" s="25" t="inlineStr">
        <is>
          <t>Part 2 – Technical Systems</t>
        </is>
      </c>
      <c r="D1123" s="25" t="inlineStr">
        <is>
          <t>2.3 INCIDENT AND RESOURCE MANAGEMENT SYSTEM (IRMS)</t>
        </is>
      </c>
      <c r="E1123" s="25" t="inlineStr">
        <is>
          <t>2.3.9 MULTI-AGENCY REQUIREMENT</t>
        </is>
      </c>
      <c r="F1123" s="25" t="inlineStr">
        <is>
          <t>Once an incident involving multiple agencies is resolved, the systems shall have the capability that:</t>
        </is>
      </c>
      <c r="G1123" s="19" t="n"/>
      <c r="H1123" s="20" t="n"/>
      <c r="I1123" s="20" t="n"/>
      <c r="J1123" s="19" t="n"/>
      <c r="K1123" s="21" t="n"/>
      <c r="L1123" s="22">
        <f>IF(OR(J1123="",K1123=""),"",J1123*K1123)</f>
        <v/>
      </c>
      <c r="M1123" s="19" t="n"/>
      <c r="N1123" s="20" t="n"/>
      <c r="O1123" s="20" t="n"/>
    </row>
    <row r="1124">
      <c r="A1124" s="16" t="n">
        <v>1121</v>
      </c>
      <c r="B1124" s="16" t="inlineStr">
        <is>
          <t>2.3.9.7.1</t>
        </is>
      </c>
      <c r="C1124" s="18" t="inlineStr">
        <is>
          <t>Part 2 – Technical Systems</t>
        </is>
      </c>
      <c r="D1124" s="18" t="inlineStr">
        <is>
          <t>2.3 INCIDENT AND RESOURCE MANAGEMENT SYSTEM (IRMS)</t>
        </is>
      </c>
      <c r="E1124" s="18" t="inlineStr">
        <is>
          <t>2.3.9 MULTI-AGENCY REQUIREMENT</t>
        </is>
      </c>
      <c r="F1124" s="18" t="inlineStr">
        <is>
          <t>A single common report is sent to all relevant agencies and organizations that is viewable by authorized people.</t>
        </is>
      </c>
      <c r="G1124" s="19" t="n"/>
      <c r="H1124" s="20" t="n"/>
      <c r="I1124" s="20" t="n"/>
      <c r="J1124" s="19" t="n"/>
      <c r="K1124" s="21" t="n"/>
      <c r="L1124" s="22">
        <f>IF(OR(J1124="",K1124=""),"",J1124*K1124)</f>
        <v/>
      </c>
      <c r="M1124" s="19" t="n"/>
      <c r="N1124" s="20" t="n"/>
      <c r="O1124" s="20" t="n"/>
    </row>
    <row r="1125">
      <c r="A1125" s="23" t="n">
        <v>1122</v>
      </c>
      <c r="B1125" s="23" t="inlineStr">
        <is>
          <t>2.3.9.7.2</t>
        </is>
      </c>
      <c r="C1125" s="25" t="inlineStr">
        <is>
          <t>Part 2 – Technical Systems</t>
        </is>
      </c>
      <c r="D1125" s="25" t="inlineStr">
        <is>
          <t>2.3 INCIDENT AND RESOURCE MANAGEMENT SYSTEM (IRMS)</t>
        </is>
      </c>
      <c r="E1125" s="25" t="inlineStr">
        <is>
          <t>2.3.9 MULTI-AGENCY REQUIREMENT</t>
        </is>
      </c>
      <c r="F1125" s="25" t="inlineStr">
        <is>
          <t>The system shall have the capability that if defined by the concept of operations, an agency shall be able to view on the report only such information that it is permitted to view – for example, it could be decided that CD views only its’ resources while Police Patrol views its’ resources.</t>
        </is>
      </c>
      <c r="G1125" s="19" t="n"/>
      <c r="H1125" s="20" t="n"/>
      <c r="I1125" s="20" t="n"/>
      <c r="J1125" s="19" t="n"/>
      <c r="K1125" s="21" t="n"/>
      <c r="L1125" s="22">
        <f>IF(OR(J1125="",K1125=""),"",J1125*K1125)</f>
        <v/>
      </c>
      <c r="M1125" s="19" t="n"/>
      <c r="N1125" s="20" t="n"/>
      <c r="O1125" s="20" t="n"/>
    </row>
    <row r="1126">
      <c r="A1126" s="16" t="n">
        <v>1123</v>
      </c>
      <c r="B1126" s="16" t="inlineStr">
        <is>
          <t>2.3.9.7.3</t>
        </is>
      </c>
      <c r="C1126" s="18" t="inlineStr">
        <is>
          <t>Part 2 – Technical Systems</t>
        </is>
      </c>
      <c r="D1126" s="18" t="inlineStr">
        <is>
          <t>2.3 INCIDENT AND RESOURCE MANAGEMENT SYSTEM (IRMS)</t>
        </is>
      </c>
      <c r="E1126" s="18" t="inlineStr">
        <is>
          <t>2.3.9 MULTI-AGENCY REQUIREMENT</t>
        </is>
      </c>
      <c r="F1126" s="18" t="inlineStr">
        <is>
          <t>The system shall have the capability that if warranted by the concept of operations, the details of the number and type of resources used by an agency may only be visible to the respective authorities and not be visible between the agencies.</t>
        </is>
      </c>
      <c r="G1126" s="19" t="n"/>
      <c r="H1126" s="20" t="n"/>
      <c r="I1126" s="20" t="n"/>
      <c r="J1126" s="19" t="n"/>
      <c r="K1126" s="21" t="n"/>
      <c r="L1126" s="22">
        <f>IF(OR(J1126="",K1126=""),"",J1126*K1126)</f>
        <v/>
      </c>
      <c r="M1126" s="19" t="n"/>
      <c r="N1126" s="20" t="n"/>
      <c r="O1126" s="20" t="n"/>
    </row>
    <row r="1127">
      <c r="A1127" s="23" t="n">
        <v>1124</v>
      </c>
      <c r="B1127" s="24" t="inlineStr">
        <is>
          <t>2.3.10.1</t>
        </is>
      </c>
      <c r="C1127" s="25" t="inlineStr">
        <is>
          <t>Part 2 – Technical Systems</t>
        </is>
      </c>
      <c r="D1127" s="25" t="inlineStr">
        <is>
          <t>2.3 INCIDENT AND RESOURCE MANAGEMENT SYSTEM (IRMS)</t>
        </is>
      </c>
      <c r="E1127" s="25" t="inlineStr">
        <is>
          <t>2.3.10 POSTING AN INCIDENT</t>
        </is>
      </c>
      <c r="F1127" s="25" t="inlineStr">
        <is>
          <t>In the case where an incident record is being created as the result of a telephone call, the operator shall be able to manually release the call.</t>
        </is>
      </c>
      <c r="G1127" s="19" t="n"/>
      <c r="H1127" s="20" t="n"/>
      <c r="I1127" s="20" t="n"/>
      <c r="J1127" s="19" t="n"/>
      <c r="K1127" s="21" t="n"/>
      <c r="L1127" s="22">
        <f>IF(OR(J1127="",K1127=""),"",J1127*K1127)</f>
        <v/>
      </c>
      <c r="M1127" s="19" t="n"/>
      <c r="N1127" s="20" t="n"/>
      <c r="O1127" s="20" t="n"/>
    </row>
    <row r="1128">
      <c r="A1128" s="16" t="n">
        <v>1125</v>
      </c>
      <c r="B1128" s="17" t="inlineStr">
        <is>
          <t>2.3.10.2</t>
        </is>
      </c>
      <c r="C1128" s="18" t="inlineStr">
        <is>
          <t>Part 2 – Technical Systems</t>
        </is>
      </c>
      <c r="D1128" s="18" t="inlineStr">
        <is>
          <t>2.3 INCIDENT AND RESOURCE MANAGEMENT SYSTEM (IRMS)</t>
        </is>
      </c>
      <c r="E1128" s="18" t="inlineStr">
        <is>
          <t>2.3.10 POSTING AN INCIDENT</t>
        </is>
      </c>
      <c r="F1128" s="18" t="inlineStr">
        <is>
          <t>The call taker screen shall provide a display of dispatchers who are logged onto the IRMS system and their areas of responsibility to facilitate the expedient manual routing of incidents.</t>
        </is>
      </c>
      <c r="G1128" s="19" t="n"/>
      <c r="H1128" s="20" t="n"/>
      <c r="I1128" s="20" t="n"/>
      <c r="J1128" s="19" t="n"/>
      <c r="K1128" s="21" t="n"/>
      <c r="L1128" s="22">
        <f>IF(OR(J1128="",K1128=""),"",J1128*K1128)</f>
        <v/>
      </c>
      <c r="M1128" s="19" t="n"/>
      <c r="N1128" s="20" t="n"/>
      <c r="O1128" s="20" t="n"/>
    </row>
    <row r="1129">
      <c r="A1129" s="23" t="n">
        <v>1126</v>
      </c>
      <c r="B1129" s="24" t="inlineStr">
        <is>
          <t>2.3.10.3</t>
        </is>
      </c>
      <c r="C1129" s="25" t="inlineStr">
        <is>
          <t>Part 2 – Technical Systems</t>
        </is>
      </c>
      <c r="D1129" s="25" t="inlineStr">
        <is>
          <t>2.3 INCIDENT AND RESOURCE MANAGEMENT SYSTEM (IRMS)</t>
        </is>
      </c>
      <c r="E1129" s="25" t="inlineStr">
        <is>
          <t>2.3.10 POSTING AN INCIDENT</t>
        </is>
      </c>
      <c r="F1129" s="25" t="inlineStr">
        <is>
          <t>The IRMS shall support “supervisory position routing” of particular user-defined incident types to designated supervisors.</t>
        </is>
      </c>
      <c r="G1129" s="19" t="n"/>
      <c r="H1129" s="20" t="n"/>
      <c r="I1129" s="20" t="n"/>
      <c r="J1129" s="19" t="n"/>
      <c r="K1129" s="21" t="n"/>
      <c r="L1129" s="22">
        <f>IF(OR(J1129="",K1129=""),"",J1129*K1129)</f>
        <v/>
      </c>
      <c r="M1129" s="19" t="n"/>
      <c r="N1129" s="20" t="n"/>
      <c r="O1129" s="20" t="n"/>
    </row>
    <row r="1130">
      <c r="A1130" s="16" t="n">
        <v>1127</v>
      </c>
      <c r="B1130" s="17" t="inlineStr">
        <is>
          <t>2.3.10.4</t>
        </is>
      </c>
      <c r="C1130" s="18" t="inlineStr">
        <is>
          <t>Part 2 – Technical Systems</t>
        </is>
      </c>
      <c r="D1130" s="18" t="inlineStr">
        <is>
          <t>2.3 INCIDENT AND RESOURCE MANAGEMENT SYSTEM (IRMS)</t>
        </is>
      </c>
      <c r="E1130" s="18" t="inlineStr">
        <is>
          <t>2.3.10 POSTING AN INCIDENT</t>
        </is>
      </c>
      <c r="F1130" s="18" t="inlineStr">
        <is>
          <t>The operator shall be able to assign the incident to an incident dispatch queue for dispatching. Incidents requiring a deferred response shall not enter an incident dispatch queue until their start timer is reached.</t>
        </is>
      </c>
      <c r="G1130" s="19" t="n"/>
      <c r="H1130" s="20" t="n"/>
      <c r="I1130" s="20" t="n"/>
      <c r="J1130" s="19" t="n"/>
      <c r="K1130" s="21" t="n"/>
      <c r="L1130" s="22">
        <f>IF(OR(J1130="",K1130=""),"",J1130*K1130)</f>
        <v/>
      </c>
      <c r="M1130" s="19" t="n"/>
      <c r="N1130" s="20" t="n"/>
      <c r="O1130" s="20" t="n"/>
    </row>
    <row r="1131">
      <c r="A1131" s="23" t="n">
        <v>1128</v>
      </c>
      <c r="B1131" s="24" t="inlineStr">
        <is>
          <t>2.3.10.5</t>
        </is>
      </c>
      <c r="C1131" s="25" t="inlineStr">
        <is>
          <t>Part 2 – Technical Systems</t>
        </is>
      </c>
      <c r="D1131" s="25" t="inlineStr">
        <is>
          <t>2.3 INCIDENT AND RESOURCE MANAGEMENT SYSTEM (IRMS)</t>
        </is>
      </c>
      <c r="E1131" s="25" t="inlineStr">
        <is>
          <t>2.3.10 POSTING AN INCIDENT</t>
        </is>
      </c>
      <c r="F1131" s="25" t="inlineStr">
        <is>
          <t>In other cases, it may be necessary to post the incident and transfer the call with the assistance of a call taker (an assisted transfer) or without the assistance of the call taker (a blind transfer). Assisted transfer is a tactic frequently employed when dealing with an on-going or developing situation such as a robbery.</t>
        </is>
      </c>
      <c r="G1131" s="19" t="n"/>
      <c r="H1131" s="20" t="n"/>
      <c r="I1131" s="20" t="n"/>
      <c r="J1131" s="19" t="n"/>
      <c r="K1131" s="21" t="n"/>
      <c r="L1131" s="22">
        <f>IF(OR(J1131="",K1131=""),"",J1131*K1131)</f>
        <v/>
      </c>
      <c r="M1131" s="19" t="n"/>
      <c r="N1131" s="20" t="n"/>
      <c r="O1131" s="20" t="n"/>
    </row>
    <row r="1132">
      <c r="A1132" s="16" t="n">
        <v>1129</v>
      </c>
      <c r="B1132" s="17" t="inlineStr">
        <is>
          <t>2.3.10.6</t>
        </is>
      </c>
      <c r="C1132" s="18" t="inlineStr">
        <is>
          <t>Part 2 – Technical Systems</t>
        </is>
      </c>
      <c r="D1132" s="18" t="inlineStr">
        <is>
          <t>2.3 INCIDENT AND RESOURCE MANAGEMENT SYSTEM (IRMS)</t>
        </is>
      </c>
      <c r="E1132" s="18" t="inlineStr">
        <is>
          <t>2.3.10 POSTING AN INCIDENT</t>
        </is>
      </c>
      <c r="F1132" s="18" t="inlineStr">
        <is>
          <t>Incidents assigned to an agency shall be visible to dispatchers assigned to that agency and the voice part of the call (if relevant) be transferred into a voice queue. Each agency may be sub-divided (for example by geographic area) and visibility controlled by those divisions.</t>
        </is>
      </c>
      <c r="G1132" s="19" t="n"/>
      <c r="H1132" s="20" t="n"/>
      <c r="I1132" s="20" t="n"/>
      <c r="J1132" s="19" t="n"/>
      <c r="K1132" s="21" t="n"/>
      <c r="L1132" s="22">
        <f>IF(OR(J1132="",K1132=""),"",J1132*K1132)</f>
        <v/>
      </c>
      <c r="M1132" s="19" t="n"/>
      <c r="N1132" s="20" t="n"/>
      <c r="O1132" s="20" t="n"/>
    </row>
    <row r="1133">
      <c r="A1133" s="23" t="n">
        <v>1130</v>
      </c>
      <c r="B1133" s="24" t="inlineStr">
        <is>
          <t>2.3.10.7</t>
        </is>
      </c>
      <c r="C1133" s="25" t="inlineStr">
        <is>
          <t>Part 2 – Technical Systems</t>
        </is>
      </c>
      <c r="D1133" s="25" t="inlineStr">
        <is>
          <t>2.3 INCIDENT AND RESOURCE MANAGEMENT SYSTEM (IRMS)</t>
        </is>
      </c>
      <c r="E1133" s="25" t="inlineStr">
        <is>
          <t>2.3.10 POSTING AN INCIDENT</t>
        </is>
      </c>
      <c r="F1133" s="25" t="inlineStr">
        <is>
          <t>The interface to the telephony shall support the initiating of call release and call transfer from within the Incident Management application.</t>
        </is>
      </c>
      <c r="G1133" s="19" t="n"/>
      <c r="H1133" s="20" t="n"/>
      <c r="I1133" s="20" t="n"/>
      <c r="J1133" s="19" t="n"/>
      <c r="K1133" s="21" t="n"/>
      <c r="L1133" s="22">
        <f>IF(OR(J1133="",K1133=""),"",J1133*K1133)</f>
        <v/>
      </c>
      <c r="M1133" s="19" t="n"/>
      <c r="N1133" s="20" t="n"/>
      <c r="O1133" s="20" t="n"/>
    </row>
    <row r="1134">
      <c r="A1134" s="16" t="n">
        <v>1131</v>
      </c>
      <c r="B1134" s="17" t="inlineStr">
        <is>
          <t>2.3.10.8</t>
        </is>
      </c>
      <c r="C1134" s="18" t="inlineStr">
        <is>
          <t>Part 2 – Technical Systems</t>
        </is>
      </c>
      <c r="D1134" s="18" t="inlineStr">
        <is>
          <t>2.3 INCIDENT AND RESOURCE MANAGEMENT SYSTEM (IRMS)</t>
        </is>
      </c>
      <c r="E1134" s="18" t="inlineStr">
        <is>
          <t>2.3.10 POSTING AN INCIDENT</t>
        </is>
      </c>
      <c r="F1134" s="18" t="inlineStr">
        <is>
          <t>Each incident shall be assigned a priority.</t>
        </is>
      </c>
      <c r="G1134" s="19" t="n"/>
      <c r="H1134" s="20" t="n"/>
      <c r="I1134" s="20" t="n"/>
      <c r="J1134" s="19" t="n"/>
      <c r="K1134" s="21" t="n"/>
      <c r="L1134" s="22">
        <f>IF(OR(J1134="",K1134=""),"",J1134*K1134)</f>
        <v/>
      </c>
      <c r="M1134" s="19" t="n"/>
      <c r="N1134" s="20" t="n"/>
      <c r="O1134" s="20" t="n"/>
    </row>
    <row r="1135">
      <c r="A1135" s="23" t="n">
        <v>1132</v>
      </c>
      <c r="B1135" s="24" t="inlineStr">
        <is>
          <t>2.3.10.9</t>
        </is>
      </c>
      <c r="C1135" s="25" t="inlineStr">
        <is>
          <t>Part 2 – Technical Systems</t>
        </is>
      </c>
      <c r="D1135" s="25" t="inlineStr">
        <is>
          <t>2.3 INCIDENT AND RESOURCE MANAGEMENT SYSTEM (IRMS)</t>
        </is>
      </c>
      <c r="E1135" s="25" t="inlineStr">
        <is>
          <t>2.3.10 POSTING AN INCIDENT</t>
        </is>
      </c>
      <c r="F1135" s="25" t="inlineStr">
        <is>
          <t>Assignment of incident priority shall be either automatic based on the entered parameters, or manual based on the operator’s choice.</t>
        </is>
      </c>
      <c r="G1135" s="19" t="n"/>
      <c r="H1135" s="20" t="n"/>
      <c r="I1135" s="20" t="n"/>
      <c r="J1135" s="19" t="n"/>
      <c r="K1135" s="21" t="n"/>
      <c r="L1135" s="22">
        <f>IF(OR(J1135="",K1135=""),"",J1135*K1135)</f>
        <v/>
      </c>
      <c r="M1135" s="19" t="n"/>
      <c r="N1135" s="20" t="n"/>
      <c r="O1135" s="20" t="n"/>
    </row>
    <row r="1136">
      <c r="A1136" s="16" t="n">
        <v>1133</v>
      </c>
      <c r="B1136" s="17" t="inlineStr">
        <is>
          <t>2.3.10.10</t>
        </is>
      </c>
      <c r="C1136" s="18" t="inlineStr">
        <is>
          <t>Part 2 – Technical Systems</t>
        </is>
      </c>
      <c r="D1136" s="18" t="inlineStr">
        <is>
          <t>2.3 INCIDENT AND RESOURCE MANAGEMENT SYSTEM (IRMS)</t>
        </is>
      </c>
      <c r="E1136" s="18" t="inlineStr">
        <is>
          <t>2.3.10 POSTING AN INCIDENT</t>
        </is>
      </c>
      <c r="F1136" s="18" t="inlineStr">
        <is>
          <t>The selection of the incident dispatch queue(s) shall be automatic based on parameters which will include service required, location of the incident and pre-determined responsible area.</t>
        </is>
      </c>
      <c r="G1136" s="19" t="n"/>
      <c r="H1136" s="20" t="n"/>
      <c r="I1136" s="20" t="n"/>
      <c r="J1136" s="19" t="n"/>
      <c r="K1136" s="21" t="n"/>
      <c r="L1136" s="22">
        <f>IF(OR(J1136="",K1136=""),"",J1136*K1136)</f>
        <v/>
      </c>
      <c r="M1136" s="19" t="n"/>
      <c r="N1136" s="20" t="n"/>
      <c r="O1136" s="20" t="n"/>
    </row>
    <row r="1137">
      <c r="A1137" s="23" t="n">
        <v>1134</v>
      </c>
      <c r="B1137" s="24" t="inlineStr">
        <is>
          <t>2.3.10.11</t>
        </is>
      </c>
      <c r="C1137" s="25" t="inlineStr">
        <is>
          <t>Part 2 – Technical Systems</t>
        </is>
      </c>
      <c r="D1137" s="25" t="inlineStr">
        <is>
          <t>2.3 INCIDENT AND RESOURCE MANAGEMENT SYSTEM (IRMS)</t>
        </is>
      </c>
      <c r="E1137" s="25" t="inlineStr">
        <is>
          <t>2.3.10 POSTING AN INCIDENT</t>
        </is>
      </c>
      <c r="F1137" s="25" t="inlineStr">
        <is>
          <t>It shall be possible for the operator or the supervisor to override the choice of incident dispatch queue and dispatch to locations. In such cases, the supervisor shall be notified with visual and audible alerts that will continue, until acknowledged by Supervisor. These locations may be identified either by type or unique address.</t>
        </is>
      </c>
      <c r="G1137" s="19" t="n"/>
      <c r="H1137" s="20" t="n"/>
      <c r="I1137" s="20" t="n"/>
      <c r="J1137" s="19" t="n"/>
      <c r="K1137" s="21" t="n"/>
      <c r="L1137" s="22">
        <f>IF(OR(J1137="",K1137=""),"",J1137*K1137)</f>
        <v/>
      </c>
      <c r="M1137" s="19" t="n"/>
      <c r="N1137" s="20" t="n"/>
      <c r="O1137" s="20" t="n"/>
    </row>
    <row r="1138">
      <c r="A1138" s="16" t="n">
        <v>1135</v>
      </c>
      <c r="B1138" s="17" t="inlineStr">
        <is>
          <t>2.3.10.12</t>
        </is>
      </c>
      <c r="C1138" s="18" t="inlineStr">
        <is>
          <t>Part 2 – Technical Systems</t>
        </is>
      </c>
      <c r="D1138" s="18" t="inlineStr">
        <is>
          <t>2.3 INCIDENT AND RESOURCE MANAGEMENT SYSTEM (IRMS)</t>
        </is>
      </c>
      <c r="E1138" s="18" t="inlineStr">
        <is>
          <t>2.3.10 POSTING AN INCIDENT</t>
        </is>
      </c>
      <c r="F1138" s="18" t="inlineStr">
        <is>
          <t>The incident shall be capable of being posted or transferred at different priority levels automatically.</t>
        </is>
      </c>
      <c r="G1138" s="19" t="n"/>
      <c r="H1138" s="20" t="n"/>
      <c r="I1138" s="20" t="n"/>
      <c r="J1138" s="19" t="n"/>
      <c r="K1138" s="21" t="n"/>
      <c r="L1138" s="22">
        <f>IF(OR(J1138="",K1138=""),"",J1138*K1138)</f>
        <v/>
      </c>
      <c r="M1138" s="19" t="n"/>
      <c r="N1138" s="20" t="n"/>
      <c r="O1138" s="20" t="n"/>
    </row>
    <row r="1139">
      <c r="A1139" s="23" t="n">
        <v>1136</v>
      </c>
      <c r="B1139" s="24" t="inlineStr">
        <is>
          <t>2.3.10.13</t>
        </is>
      </c>
      <c r="C1139" s="25" t="inlineStr">
        <is>
          <t>Part 2 – Technical Systems</t>
        </is>
      </c>
      <c r="D1139" s="25" t="inlineStr">
        <is>
          <t>2.3 INCIDENT AND RESOURCE MANAGEMENT SYSTEM (IRMS)</t>
        </is>
      </c>
      <c r="E1139" s="25" t="inlineStr">
        <is>
          <t>2.3.10 POSTING AN INCIDENT</t>
        </is>
      </c>
      <c r="F1139" s="25" t="inlineStr">
        <is>
          <t>The operator shall be able to manually assign a different priority level on the system than that automatically assigned.</t>
        </is>
      </c>
      <c r="G1139" s="19" t="n"/>
      <c r="H1139" s="20" t="n"/>
      <c r="I1139" s="20" t="n"/>
      <c r="J1139" s="19" t="n"/>
      <c r="K1139" s="21" t="n"/>
      <c r="L1139" s="22">
        <f>IF(OR(J1139="",K1139=""),"",J1139*K1139)</f>
        <v/>
      </c>
      <c r="M1139" s="19" t="n"/>
      <c r="N1139" s="20" t="n"/>
      <c r="O1139" s="20" t="n"/>
    </row>
    <row r="1140">
      <c r="A1140" s="16" t="n">
        <v>1137</v>
      </c>
      <c r="B1140" s="17" t="inlineStr">
        <is>
          <t>2.3.10.14</t>
        </is>
      </c>
      <c r="C1140" s="18" t="inlineStr">
        <is>
          <t>Part 2 – Technical Systems</t>
        </is>
      </c>
      <c r="D1140" s="18" t="inlineStr">
        <is>
          <t>2.3 INCIDENT AND RESOURCE MANAGEMENT SYSTEM (IRMS)</t>
        </is>
      </c>
      <c r="E1140" s="18" t="inlineStr">
        <is>
          <t>2.3.10 POSTING AN INCIDENT</t>
        </is>
      </c>
      <c r="F1140" s="18" t="inlineStr">
        <is>
          <t>The system shall provide at least three (3) levels of incident priority which are described by the use of Arabic alphanumeric identification. Incidents must be classified in such a way as to identify those requiring urgent attention (high priority), a standard response (normal priority) or those where a response could be delayed if necessary (low priority) and can be able to be assigned a different priority by agencies for the same incident.</t>
        </is>
      </c>
      <c r="G1140" s="19" t="n"/>
      <c r="H1140" s="20" t="n"/>
      <c r="I1140" s="20" t="n"/>
      <c r="J1140" s="19" t="n"/>
      <c r="K1140" s="21" t="n"/>
      <c r="L1140" s="22">
        <f>IF(OR(J1140="",K1140=""),"",J1140*K1140)</f>
        <v/>
      </c>
      <c r="M1140" s="19" t="n"/>
      <c r="N1140" s="20" t="n"/>
      <c r="O1140" s="20" t="n"/>
    </row>
    <row r="1141">
      <c r="A1141" s="23" t="n">
        <v>1138</v>
      </c>
      <c r="B1141" s="24" t="inlineStr">
        <is>
          <t>2.3.10.15</t>
        </is>
      </c>
      <c r="C1141" s="25" t="inlineStr">
        <is>
          <t>Part 2 – Technical Systems</t>
        </is>
      </c>
      <c r="D1141" s="25" t="inlineStr">
        <is>
          <t>2.3 INCIDENT AND RESOURCE MANAGEMENT SYSTEM (IRMS)</t>
        </is>
      </c>
      <c r="E1141" s="25" t="inlineStr">
        <is>
          <t>2.3.10 POSTING AN INCIDENT</t>
        </is>
      </c>
      <c r="F1141" s="25" t="inlineStr">
        <is>
          <t>The BIDDER shall detail the solution for handling of malicious calls within the IRMS.</t>
        </is>
      </c>
      <c r="G1141" s="19" t="n"/>
      <c r="H1141" s="20" t="n"/>
      <c r="I1141" s="20" t="n"/>
      <c r="J1141" s="19" t="n"/>
      <c r="K1141" s="21" t="n"/>
      <c r="L1141" s="22">
        <f>IF(OR(J1141="",K1141=""),"",J1141*K1141)</f>
        <v/>
      </c>
      <c r="M1141" s="19" t="n"/>
      <c r="N1141" s="20" t="n"/>
      <c r="O1141" s="20" t="n"/>
    </row>
    <row r="1142">
      <c r="A1142" s="16" t="n">
        <v>1139</v>
      </c>
      <c r="B1142" s="17" t="inlineStr">
        <is>
          <t>2.3.10.16</t>
        </is>
      </c>
      <c r="C1142" s="18" t="inlineStr">
        <is>
          <t>Part 2 – Technical Systems</t>
        </is>
      </c>
      <c r="D1142" s="18" t="inlineStr">
        <is>
          <t>2.3 INCIDENT AND RESOURCE MANAGEMENT SYSTEM (IRMS)</t>
        </is>
      </c>
      <c r="E1142" s="18" t="inlineStr">
        <is>
          <t>2.3.10 POSTING AN INCIDENT</t>
        </is>
      </c>
      <c r="F1142" s="18" t="inlineStr">
        <is>
          <t>The BIDDER shall detail the solution for management of the transferred calls in their proposal.</t>
        </is>
      </c>
      <c r="G1142" s="19" t="n"/>
      <c r="H1142" s="20" t="n"/>
      <c r="I1142" s="20" t="n"/>
      <c r="J1142" s="19" t="n"/>
      <c r="K1142" s="21" t="n"/>
      <c r="L1142" s="22">
        <f>IF(OR(J1142="",K1142=""),"",J1142*K1142)</f>
        <v/>
      </c>
      <c r="M1142" s="19" t="n"/>
      <c r="N1142" s="20" t="n"/>
      <c r="O1142" s="20" t="n"/>
    </row>
    <row r="1143">
      <c r="A1143" s="23" t="n">
        <v>1140</v>
      </c>
      <c r="B1143" s="24" t="inlineStr">
        <is>
          <t>2.3.10.17</t>
        </is>
      </c>
      <c r="C1143" s="25" t="inlineStr">
        <is>
          <t>Part 2 – Technical Systems</t>
        </is>
      </c>
      <c r="D1143" s="25" t="inlineStr">
        <is>
          <t>2.3 INCIDENT AND RESOURCE MANAGEMENT SYSTEM (IRMS)</t>
        </is>
      </c>
      <c r="E1143" s="25" t="inlineStr">
        <is>
          <t>2.3.10 POSTING AN INCIDENT</t>
        </is>
      </c>
      <c r="F1143" s="25" t="inlineStr">
        <is>
          <t>For the scenario where more than one call is received for the same incident which requires a response, the call taker shall create a single record for the multiple calls related to the incident. This single call record shall have a unique incident number identification for each permitted agency for that incident.</t>
        </is>
      </c>
      <c r="G1143" s="19" t="n"/>
      <c r="H1143" s="20" t="n"/>
      <c r="I1143" s="20" t="n"/>
      <c r="J1143" s="19" t="n"/>
      <c r="K1143" s="21" t="n"/>
      <c r="L1143" s="22">
        <f>IF(OR(J1143="",K1143=""),"",J1143*K1143)</f>
        <v/>
      </c>
      <c r="M1143" s="19" t="n"/>
      <c r="N1143" s="20" t="n"/>
      <c r="O1143" s="20" t="n"/>
    </row>
    <row r="1144">
      <c r="A1144" s="16" t="n">
        <v>1141</v>
      </c>
      <c r="B1144" s="17" t="inlineStr">
        <is>
          <t>2.3.11.1</t>
        </is>
      </c>
      <c r="C1144" s="18" t="inlineStr">
        <is>
          <t>Part 2 – Technical Systems</t>
        </is>
      </c>
      <c r="D1144" s="18" t="inlineStr">
        <is>
          <t>2.3 INCIDENT AND RESOURCE MANAGEMENT SYSTEM (IRMS)</t>
        </is>
      </c>
      <c r="E1144" s="18" t="inlineStr">
        <is>
          <t>2.3.11 DISPATCHING</t>
        </is>
      </c>
      <c r="F1144" s="18" t="inlineStr">
        <is>
          <t>As part of the IRMS integration with MOI radio communications networks, for each dispatch position and dispatch supervisor position, MOI will be provisioning a MOI radio communications network computer along with its ancillary equipment including push-to-talk, for voice communications over the MOI radio communications networks.</t>
        </is>
      </c>
      <c r="G1144" s="19" t="n"/>
      <c r="H1144" s="20" t="n"/>
      <c r="I1144" s="20" t="n"/>
      <c r="J1144" s="19" t="n"/>
      <c r="K1144" s="21" t="n"/>
      <c r="L1144" s="22">
        <f>IF(OR(J1144="",K1144=""),"",J1144*K1144)</f>
        <v/>
      </c>
      <c r="M1144" s="19" t="n"/>
      <c r="N1144" s="20" t="n"/>
      <c r="O1144" s="20" t="n"/>
    </row>
    <row r="1145">
      <c r="A1145" s="23" t="n">
        <v>1142</v>
      </c>
      <c r="B1145" s="24" t="inlineStr">
        <is>
          <t>2.3.11.2</t>
        </is>
      </c>
      <c r="C1145" s="25" t="inlineStr">
        <is>
          <t>Part 2 – Technical Systems</t>
        </is>
      </c>
      <c r="D1145" s="25" t="inlineStr">
        <is>
          <t>2.3 INCIDENT AND RESOURCE MANAGEMENT SYSTEM (IRMS)</t>
        </is>
      </c>
      <c r="E1145" s="25" t="inlineStr">
        <is>
          <t>2.3.11 DISPATCHING</t>
        </is>
      </c>
      <c r="F1145" s="25" t="inlineStr">
        <is>
          <t>A dispatcher shall be able to monitor the content of multiple incident dispatch queues at the same time.</t>
        </is>
      </c>
      <c r="G1145" s="19" t="n"/>
      <c r="H1145" s="20" t="n"/>
      <c r="I1145" s="20" t="n"/>
      <c r="J1145" s="19" t="n"/>
      <c r="K1145" s="21" t="n"/>
      <c r="L1145" s="22">
        <f>IF(OR(J1145="",K1145=""),"",J1145*K1145)</f>
        <v/>
      </c>
      <c r="M1145" s="19" t="n"/>
      <c r="N1145" s="20" t="n"/>
      <c r="O1145" s="20" t="n"/>
    </row>
    <row r="1146">
      <c r="A1146" s="16" t="n">
        <v>1143</v>
      </c>
      <c r="B1146" s="17" t="inlineStr">
        <is>
          <t>2.3.11.3</t>
        </is>
      </c>
      <c r="C1146" s="18" t="inlineStr">
        <is>
          <t>Part 2 – Technical Systems</t>
        </is>
      </c>
      <c r="D1146" s="18" t="inlineStr">
        <is>
          <t>2.3 INCIDENT AND RESOURCE MANAGEMENT SYSTEM (IRMS)</t>
        </is>
      </c>
      <c r="E1146" s="18" t="inlineStr">
        <is>
          <t>2.3.11 DISPATCHING</t>
        </is>
      </c>
      <c r="F1146" s="18" t="inlineStr">
        <is>
          <t>New incidents shall be placed in the appropriate incident dispatch queue(s).</t>
        </is>
      </c>
      <c r="G1146" s="19" t="n"/>
      <c r="H1146" s="20" t="n"/>
      <c r="I1146" s="20" t="n"/>
      <c r="J1146" s="19" t="n"/>
      <c r="K1146" s="21" t="n"/>
      <c r="L1146" s="22">
        <f>IF(OR(J1146="",K1146=""),"",J1146*K1146)</f>
        <v/>
      </c>
      <c r="M1146" s="19" t="n"/>
      <c r="N1146" s="20" t="n"/>
      <c r="O1146" s="20" t="n"/>
    </row>
    <row r="1147">
      <c r="A1147" s="23" t="n">
        <v>1144</v>
      </c>
      <c r="B1147" s="24" t="inlineStr">
        <is>
          <t>2.3.11.4</t>
        </is>
      </c>
      <c r="C1147" s="25" t="inlineStr">
        <is>
          <t>Part 2 – Technical Systems</t>
        </is>
      </c>
      <c r="D1147" s="25" t="inlineStr">
        <is>
          <t>2.3 INCIDENT AND RESOURCE MANAGEMENT SYSTEM (IRMS)</t>
        </is>
      </c>
      <c r="E1147" s="25" t="inlineStr">
        <is>
          <t>2.3.11 DISPATCHING</t>
        </is>
      </c>
      <c r="F1147" s="25" t="inlineStr">
        <is>
          <t>Queued incidents shall be able to be sorted and filtered by a user configurable process which will include, as a minimum, priority, location (where incident locations have been pre-defined as areas on a map) , administrative area, type.</t>
        </is>
      </c>
      <c r="G1147" s="19" t="n"/>
      <c r="H1147" s="20" t="n"/>
      <c r="I1147" s="20" t="n"/>
      <c r="J1147" s="19" t="n"/>
      <c r="K1147" s="21" t="n"/>
      <c r="L1147" s="22">
        <f>IF(OR(J1147="",K1147=""),"",J1147*K1147)</f>
        <v/>
      </c>
      <c r="M1147" s="19" t="n"/>
      <c r="N1147" s="20" t="n"/>
      <c r="O1147" s="20" t="n"/>
    </row>
    <row r="1148">
      <c r="A1148" s="16" t="n">
        <v>1145</v>
      </c>
      <c r="B1148" s="17" t="inlineStr">
        <is>
          <t>2.3.11.5</t>
        </is>
      </c>
      <c r="C1148" s="18" t="inlineStr">
        <is>
          <t>Part 2 – Technical Systems</t>
        </is>
      </c>
      <c r="D1148" s="18" t="inlineStr">
        <is>
          <t>2.3 INCIDENT AND RESOURCE MANAGEMENT SYSTEM (IRMS)</t>
        </is>
      </c>
      <c r="E1148" s="18" t="inlineStr">
        <is>
          <t>2.3.11 DISPATCHING</t>
        </is>
      </c>
      <c r="F1148" s="18" t="inlineStr">
        <is>
          <t>The system shall provide a mechanism to ensure that those incidents, which are deemed to have the highest priority, are immediately brought to the notice of the dispatcher.</t>
        </is>
      </c>
      <c r="G1148" s="19" t="n"/>
      <c r="H1148" s="20" t="n"/>
      <c r="I1148" s="20" t="n"/>
      <c r="J1148" s="19" t="n"/>
      <c r="K1148" s="21" t="n"/>
      <c r="L1148" s="22">
        <f>IF(OR(J1148="",K1148=""),"",J1148*K1148)</f>
        <v/>
      </c>
      <c r="M1148" s="19" t="n"/>
      <c r="N1148" s="20" t="n"/>
      <c r="O1148" s="20" t="n"/>
    </row>
    <row r="1149">
      <c r="A1149" s="23" t="n">
        <v>1146</v>
      </c>
      <c r="B1149" s="24" t="inlineStr">
        <is>
          <t>2.3.11.6</t>
        </is>
      </c>
      <c r="C1149" s="25" t="inlineStr">
        <is>
          <t>Part 2 – Technical Systems</t>
        </is>
      </c>
      <c r="D1149" s="25" t="inlineStr">
        <is>
          <t>2.3 INCIDENT AND RESOURCE MANAGEMENT SYSTEM (IRMS)</t>
        </is>
      </c>
      <c r="E1149" s="25" t="inlineStr">
        <is>
          <t>2.3.11 DISPATCHING</t>
        </is>
      </c>
      <c r="F1149" s="25" t="inlineStr">
        <is>
          <t>A full or partial listing of an incident dispatch queue or queues shall always be visible on the electronic logging screen irrespective of other tasks being performed.</t>
        </is>
      </c>
      <c r="G1149" s="19" t="n"/>
      <c r="H1149" s="20" t="n"/>
      <c r="I1149" s="20" t="n"/>
      <c r="J1149" s="19" t="n"/>
      <c r="K1149" s="21" t="n"/>
      <c r="L1149" s="22">
        <f>IF(OR(J1149="",K1149=""),"",J1149*K1149)</f>
        <v/>
      </c>
      <c r="M1149" s="19" t="n"/>
      <c r="N1149" s="20" t="n"/>
      <c r="O1149" s="20" t="n"/>
    </row>
    <row r="1150">
      <c r="A1150" s="16" t="n">
        <v>1147</v>
      </c>
      <c r="B1150" s="17" t="inlineStr">
        <is>
          <t>2.3.11.7</t>
        </is>
      </c>
      <c r="C1150" s="18" t="inlineStr">
        <is>
          <t>Part 2 – Technical Systems</t>
        </is>
      </c>
      <c r="D1150" s="18" t="inlineStr">
        <is>
          <t>2.3 INCIDENT AND RESOURCE MANAGEMENT SYSTEM (IRMS)</t>
        </is>
      </c>
      <c r="E1150" s="18" t="inlineStr">
        <is>
          <t>2.3.11 DISPATCHING</t>
        </is>
      </c>
      <c r="F1150" s="18" t="inlineStr">
        <is>
          <t>Where there is more than one dispatcher monitoring an incident dispatch queue, work queues shall be available into which the incident can be moved for management by an individual dispatcher.</t>
        </is>
      </c>
      <c r="G1150" s="19" t="n"/>
      <c r="H1150" s="20" t="n"/>
      <c r="I1150" s="20" t="n"/>
      <c r="J1150" s="19" t="n"/>
      <c r="K1150" s="21" t="n"/>
      <c r="L1150" s="22">
        <f>IF(OR(J1150="",K1150=""),"",J1150*K1150)</f>
        <v/>
      </c>
      <c r="M1150" s="19" t="n"/>
      <c r="N1150" s="20" t="n"/>
      <c r="O1150" s="20" t="n"/>
    </row>
    <row r="1151">
      <c r="A1151" s="23" t="n">
        <v>1148</v>
      </c>
      <c r="B1151" s="24" t="inlineStr">
        <is>
          <t>2.3.11.8</t>
        </is>
      </c>
      <c r="C1151" s="25" t="inlineStr">
        <is>
          <t>Part 2 – Technical Systems</t>
        </is>
      </c>
      <c r="D1151" s="25" t="inlineStr">
        <is>
          <t>2.3 INCIDENT AND RESOURCE MANAGEMENT SYSTEM (IRMS)</t>
        </is>
      </c>
      <c r="E1151" s="25" t="inlineStr">
        <is>
          <t>2.3.11 DISPATCHING</t>
        </is>
      </c>
      <c r="F1151" s="25" t="inlineStr">
        <is>
          <t>Where a dispatcher moves an incident into their own work queue, this shall not remove the association of the incident from the dispatching queue it was placed.</t>
        </is>
      </c>
      <c r="G1151" s="19" t="n"/>
      <c r="H1151" s="20" t="n"/>
      <c r="I1151" s="20" t="n"/>
      <c r="J1151" s="19" t="n"/>
      <c r="K1151" s="21" t="n"/>
      <c r="L1151" s="22">
        <f>IF(OR(J1151="",K1151=""),"",J1151*K1151)</f>
        <v/>
      </c>
      <c r="M1151" s="19" t="n"/>
      <c r="N1151" s="20" t="n"/>
      <c r="O1151" s="20" t="n"/>
    </row>
    <row r="1152">
      <c r="A1152" s="16" t="n">
        <v>1149</v>
      </c>
      <c r="B1152" s="17" t="inlineStr">
        <is>
          <t>2.3.11.9</t>
        </is>
      </c>
      <c r="C1152" s="18" t="inlineStr">
        <is>
          <t>Part 2 – Technical Systems</t>
        </is>
      </c>
      <c r="D1152" s="18" t="inlineStr">
        <is>
          <t>2.3 INCIDENT AND RESOURCE MANAGEMENT SYSTEM (IRMS)</t>
        </is>
      </c>
      <c r="E1152" s="18" t="inlineStr">
        <is>
          <t>2.3.11 DISPATCHING</t>
        </is>
      </c>
      <c r="F1152" s="18" t="inlineStr">
        <is>
          <t>The system shall tag the incident in such a way as to indicate it is in one or more work queues.</t>
        </is>
      </c>
      <c r="G1152" s="19" t="n"/>
      <c r="H1152" s="20" t="n"/>
      <c r="I1152" s="20" t="n"/>
      <c r="J1152" s="19" t="n"/>
      <c r="K1152" s="21" t="n"/>
      <c r="L1152" s="22">
        <f>IF(OR(J1152="",K1152=""),"",J1152*K1152)</f>
        <v/>
      </c>
      <c r="M1152" s="19" t="n"/>
      <c r="N1152" s="20" t="n"/>
      <c r="O1152" s="20" t="n"/>
    </row>
    <row r="1153">
      <c r="A1153" s="23" t="n">
        <v>1150</v>
      </c>
      <c r="B1153" s="24" t="inlineStr">
        <is>
          <t>2.3.11.10</t>
        </is>
      </c>
      <c r="C1153" s="25" t="inlineStr">
        <is>
          <t>Part 2 – Technical Systems</t>
        </is>
      </c>
      <c r="D1153" s="25" t="inlineStr">
        <is>
          <t>2.3 INCIDENT AND RESOURCE MANAGEMENT SYSTEM (IRMS)</t>
        </is>
      </c>
      <c r="E1153" s="25" t="inlineStr">
        <is>
          <t>2.3.11 DISPATCHING</t>
        </is>
      </c>
      <c r="F1153" s="25" t="inlineStr">
        <is>
          <t>The system shall be configurable on a user-by-user basis as to the way dispatching queues are viewed. For example, they could show:</t>
        </is>
      </c>
      <c r="G1153" s="19" t="n"/>
      <c r="H1153" s="20" t="n"/>
      <c r="I1153" s="20" t="n"/>
      <c r="J1153" s="19" t="n"/>
      <c r="K1153" s="21" t="n"/>
      <c r="L1153" s="22">
        <f>IF(OR(J1153="",K1153=""),"",J1153*K1153)</f>
        <v/>
      </c>
      <c r="M1153" s="19" t="n"/>
      <c r="N1153" s="20" t="n"/>
      <c r="O1153" s="20" t="n"/>
    </row>
    <row r="1154">
      <c r="A1154" s="16" t="n">
        <v>1151</v>
      </c>
      <c r="B1154" s="16" t="inlineStr">
        <is>
          <t>2.3.11.10.1</t>
        </is>
      </c>
      <c r="C1154" s="18" t="inlineStr">
        <is>
          <t>Part 2 – Technical Systems</t>
        </is>
      </c>
      <c r="D1154" s="18" t="inlineStr">
        <is>
          <t>2.3 INCIDENT AND RESOURCE MANAGEMENT SYSTEM (IRMS)</t>
        </is>
      </c>
      <c r="E1154" s="18" t="inlineStr">
        <is>
          <t>2.3.11 DISPATCHING</t>
        </is>
      </c>
      <c r="F1154" s="18" t="inlineStr">
        <is>
          <t>All open incidents with an indicator as to whether or not the incident is being managed in a work queue</t>
        </is>
      </c>
      <c r="G1154" s="19" t="n"/>
      <c r="H1154" s="20" t="n"/>
      <c r="I1154" s="20" t="n"/>
      <c r="J1154" s="19" t="n"/>
      <c r="K1154" s="21" t="n"/>
      <c r="L1154" s="22">
        <f>IF(OR(J1154="",K1154=""),"",J1154*K1154)</f>
        <v/>
      </c>
      <c r="M1154" s="19" t="n"/>
      <c r="N1154" s="20" t="n"/>
      <c r="O1154" s="20" t="n"/>
    </row>
    <row r="1155">
      <c r="A1155" s="23" t="n">
        <v>1152</v>
      </c>
      <c r="B1155" s="23" t="inlineStr">
        <is>
          <t>2.3.11.10.2</t>
        </is>
      </c>
      <c r="C1155" s="25" t="inlineStr">
        <is>
          <t>Part 2 – Technical Systems</t>
        </is>
      </c>
      <c r="D1155" s="25" t="inlineStr">
        <is>
          <t>2.3 INCIDENT AND RESOURCE MANAGEMENT SYSTEM (IRMS)</t>
        </is>
      </c>
      <c r="E1155" s="25" t="inlineStr">
        <is>
          <t>2.3.11 DISPATCHING</t>
        </is>
      </c>
      <c r="F1155" s="25" t="inlineStr">
        <is>
          <t>All incidents in a dispatch queue that are unacknowledged</t>
        </is>
      </c>
      <c r="G1155" s="19" t="n"/>
      <c r="H1155" s="20" t="n"/>
      <c r="I1155" s="20" t="n"/>
      <c r="J1155" s="19" t="n"/>
      <c r="K1155" s="21" t="n"/>
      <c r="L1155" s="22">
        <f>IF(OR(J1155="",K1155=""),"",J1155*K1155)</f>
        <v/>
      </c>
      <c r="M1155" s="19" t="n"/>
      <c r="N1155" s="20" t="n"/>
      <c r="O1155" s="20" t="n"/>
    </row>
    <row r="1156">
      <c r="A1156" s="16" t="n">
        <v>1153</v>
      </c>
      <c r="B1156" s="16" t="inlineStr">
        <is>
          <t>2.3.11.10.3</t>
        </is>
      </c>
      <c r="C1156" s="18" t="inlineStr">
        <is>
          <t>Part 2 – Technical Systems</t>
        </is>
      </c>
      <c r="D1156" s="18" t="inlineStr">
        <is>
          <t>2.3 INCIDENT AND RESOURCE MANAGEMENT SYSTEM (IRMS)</t>
        </is>
      </c>
      <c r="E1156" s="18" t="inlineStr">
        <is>
          <t>2.3.11 DISPATCHING</t>
        </is>
      </c>
      <c r="F1156" s="18" t="inlineStr">
        <is>
          <t>Incidents sorted by priority or by other parameters such as longest time since incident updated</t>
        </is>
      </c>
      <c r="G1156" s="19" t="n"/>
      <c r="H1156" s="20" t="n"/>
      <c r="I1156" s="20" t="n"/>
      <c r="J1156" s="19" t="n"/>
      <c r="K1156" s="21" t="n"/>
      <c r="L1156" s="22">
        <f>IF(OR(J1156="",K1156=""),"",J1156*K1156)</f>
        <v/>
      </c>
      <c r="M1156" s="19" t="n"/>
      <c r="N1156" s="20" t="n"/>
      <c r="O1156" s="20" t="n"/>
    </row>
    <row r="1157">
      <c r="A1157" s="23" t="n">
        <v>1154</v>
      </c>
      <c r="B1157" s="24" t="inlineStr">
        <is>
          <t>2.3.11.11</t>
        </is>
      </c>
      <c r="C1157" s="25" t="inlineStr">
        <is>
          <t>Part 2 – Technical Systems</t>
        </is>
      </c>
      <c r="D1157" s="25" t="inlineStr">
        <is>
          <t>2.3 INCIDENT AND RESOURCE MANAGEMENT SYSTEM (IRMS)</t>
        </is>
      </c>
      <c r="E1157" s="25" t="inlineStr">
        <is>
          <t>2.3.11 DISPATCHING</t>
        </is>
      </c>
      <c r="F1157" s="25" t="inlineStr">
        <is>
          <t>The system shall be configurable to allow triggers to generate reminders. For example, if an incident is not actioned in an incident dispatch queue within a certain period of time, an audible and visual alert notification shall be generated in front of authorized operational positions.</t>
        </is>
      </c>
      <c r="G1157" s="19" t="n"/>
      <c r="H1157" s="20" t="n"/>
      <c r="I1157" s="20" t="n"/>
      <c r="J1157" s="19" t="n"/>
      <c r="K1157" s="21" t="n"/>
      <c r="L1157" s="22">
        <f>IF(OR(J1157="",K1157=""),"",J1157*K1157)</f>
        <v/>
      </c>
      <c r="M1157" s="19" t="n"/>
      <c r="N1157" s="20" t="n"/>
      <c r="O1157" s="20" t="n"/>
    </row>
    <row r="1158">
      <c r="A1158" s="16" t="n">
        <v>1155</v>
      </c>
      <c r="B1158" s="17" t="inlineStr">
        <is>
          <t>2.3.11.12</t>
        </is>
      </c>
      <c r="C1158" s="18" t="inlineStr">
        <is>
          <t>Part 2 – Technical Systems</t>
        </is>
      </c>
      <c r="D1158" s="18" t="inlineStr">
        <is>
          <t>2.3 INCIDENT AND RESOURCE MANAGEMENT SYSTEM (IRMS)</t>
        </is>
      </c>
      <c r="E1158" s="18" t="inlineStr">
        <is>
          <t>2.3.11 DISPATCHING</t>
        </is>
      </c>
      <c r="F1158" s="18" t="inlineStr">
        <is>
          <t>Supervisors shall be able to monitor all incident dispatch logs and work queues for their specific area of responsibility and shall be able to update in real time.</t>
        </is>
      </c>
      <c r="G1158" s="19" t="n"/>
      <c r="H1158" s="20" t="n"/>
      <c r="I1158" s="20" t="n"/>
      <c r="J1158" s="19" t="n"/>
      <c r="K1158" s="21" t="n"/>
      <c r="L1158" s="22">
        <f>IF(OR(J1158="",K1158=""),"",J1158*K1158)</f>
        <v/>
      </c>
      <c r="M1158" s="19" t="n"/>
      <c r="N1158" s="20" t="n"/>
      <c r="O1158" s="20" t="n"/>
    </row>
    <row r="1159">
      <c r="A1159" s="23" t="n">
        <v>1156</v>
      </c>
      <c r="B1159" s="24" t="inlineStr">
        <is>
          <t>2.3.11.13</t>
        </is>
      </c>
      <c r="C1159" s="25" t="inlineStr">
        <is>
          <t>Part 2 – Technical Systems</t>
        </is>
      </c>
      <c r="D1159" s="25" t="inlineStr">
        <is>
          <t>2.3 INCIDENT AND RESOURCE MANAGEMENT SYSTEM (IRMS)</t>
        </is>
      </c>
      <c r="E1159" s="25" t="inlineStr">
        <is>
          <t>2.3.11 DISPATCHING</t>
        </is>
      </c>
      <c r="F1159" s="25" t="inlineStr">
        <is>
          <t>Users with sufficient privilege shall be able to monitor all incident dispatch queues in the system.</t>
        </is>
      </c>
      <c r="G1159" s="19" t="n"/>
      <c r="H1159" s="20" t="n"/>
      <c r="I1159" s="20" t="n"/>
      <c r="J1159" s="19" t="n"/>
      <c r="K1159" s="21" t="n"/>
      <c r="L1159" s="22">
        <f>IF(OR(J1159="",K1159=""),"",J1159*K1159)</f>
        <v/>
      </c>
      <c r="M1159" s="19" t="n"/>
      <c r="N1159" s="20" t="n"/>
      <c r="O1159" s="20" t="n"/>
    </row>
    <row r="1160">
      <c r="A1160" s="16" t="n">
        <v>1157</v>
      </c>
      <c r="B1160" s="17" t="inlineStr">
        <is>
          <t>2.3.11.14</t>
        </is>
      </c>
      <c r="C1160" s="18" t="inlineStr">
        <is>
          <t>Part 2 – Technical Systems</t>
        </is>
      </c>
      <c r="D1160" s="18" t="inlineStr">
        <is>
          <t>2.3 INCIDENT AND RESOURCE MANAGEMENT SYSTEM (IRMS)</t>
        </is>
      </c>
      <c r="E1160" s="18" t="inlineStr">
        <is>
          <t>2.3.11 DISPATCHING</t>
        </is>
      </c>
      <c r="F1160" s="18" t="inlineStr">
        <is>
          <t>The view of an incident that a user is given when they open an incident shall be configurable based on the parameters set by the agency and role of user.</t>
        </is>
      </c>
      <c r="G1160" s="19" t="n"/>
      <c r="H1160" s="20" t="n"/>
      <c r="I1160" s="20" t="n"/>
      <c r="J1160" s="19" t="n"/>
      <c r="K1160" s="21" t="n"/>
      <c r="L1160" s="22">
        <f>IF(OR(J1160="",K1160=""),"",J1160*K1160)</f>
        <v/>
      </c>
      <c r="M1160" s="19" t="n"/>
      <c r="N1160" s="20" t="n"/>
      <c r="O1160" s="20" t="n"/>
    </row>
    <row r="1161">
      <c r="A1161" s="23" t="n">
        <v>1158</v>
      </c>
      <c r="B1161" s="24" t="inlineStr">
        <is>
          <t>2.3.11.15</t>
        </is>
      </c>
      <c r="C1161" s="25" t="inlineStr">
        <is>
          <t>Part 2 – Technical Systems</t>
        </is>
      </c>
      <c r="D1161" s="25" t="inlineStr">
        <is>
          <t>2.3 INCIDENT AND RESOURCE MANAGEMENT SYSTEM (IRMS)</t>
        </is>
      </c>
      <c r="E1161" s="25" t="inlineStr">
        <is>
          <t>2.3.11 DISPATCHING</t>
        </is>
      </c>
      <c r="F1161" s="25" t="inlineStr">
        <is>
          <t>Different fields shall be available to a user within an incident record, depending on their role with in an agency.</t>
        </is>
      </c>
      <c r="G1161" s="19" t="n"/>
      <c r="H1161" s="20" t="n"/>
      <c r="I1161" s="20" t="n"/>
      <c r="J1161" s="19" t="n"/>
      <c r="K1161" s="21" t="n"/>
      <c r="L1161" s="22">
        <f>IF(OR(J1161="",K1161=""),"",J1161*K1161)</f>
        <v/>
      </c>
      <c r="M1161" s="19" t="n"/>
      <c r="N1161" s="20" t="n"/>
      <c r="O1161" s="20" t="n"/>
    </row>
    <row r="1162">
      <c r="A1162" s="16" t="n">
        <v>1159</v>
      </c>
      <c r="B1162" s="17" t="inlineStr">
        <is>
          <t>2.3.11.16</t>
        </is>
      </c>
      <c r="C1162" s="18" t="inlineStr">
        <is>
          <t>Part 2 – Technical Systems</t>
        </is>
      </c>
      <c r="D1162" s="18" t="inlineStr">
        <is>
          <t>2.3 INCIDENT AND RESOURCE MANAGEMENT SYSTEM (IRMS)</t>
        </is>
      </c>
      <c r="E1162" s="18" t="inlineStr">
        <is>
          <t>2.3.11 DISPATCHING</t>
        </is>
      </c>
      <c r="F1162" s="18" t="inlineStr">
        <is>
          <t>A dispatcher shall be able to manually (by pressing a button on the incident form) open the electronic map. This feature shall not be automatic as a dispatcher might also be monitoring another incident at the same time.</t>
        </is>
      </c>
      <c r="G1162" s="19" t="n"/>
      <c r="H1162" s="20" t="n"/>
      <c r="I1162" s="20" t="n"/>
      <c r="J1162" s="19" t="n"/>
      <c r="K1162" s="21" t="n"/>
      <c r="L1162" s="22">
        <f>IF(OR(J1162="",K1162=""),"",J1162*K1162)</f>
        <v/>
      </c>
      <c r="M1162" s="19" t="n"/>
      <c r="N1162" s="20" t="n"/>
      <c r="O1162" s="20" t="n"/>
    </row>
    <row r="1163">
      <c r="A1163" s="23" t="n">
        <v>1160</v>
      </c>
      <c r="B1163" s="24" t="inlineStr">
        <is>
          <t>2.3.11.17</t>
        </is>
      </c>
      <c r="C1163" s="25" t="inlineStr">
        <is>
          <t>Part 2 – Technical Systems</t>
        </is>
      </c>
      <c r="D1163" s="25" t="inlineStr">
        <is>
          <t>2.3 INCIDENT AND RESOURCE MANAGEMENT SYSTEM (IRMS)</t>
        </is>
      </c>
      <c r="E1163" s="25" t="inlineStr">
        <is>
          <t>2.3.11 DISPATCHING</t>
        </is>
      </c>
      <c r="F1163" s="25" t="inlineStr">
        <is>
          <t>The map shall show the location of the incident.</t>
        </is>
      </c>
      <c r="G1163" s="19" t="n"/>
      <c r="H1163" s="20" t="n"/>
      <c r="I1163" s="20" t="n"/>
      <c r="J1163" s="19" t="n"/>
      <c r="K1163" s="21" t="n"/>
      <c r="L1163" s="22">
        <f>IF(OR(J1163="",K1163=""),"",J1163*K1163)</f>
        <v/>
      </c>
      <c r="M1163" s="19" t="n"/>
      <c r="N1163" s="20" t="n"/>
      <c r="O1163" s="20" t="n"/>
    </row>
    <row r="1164">
      <c r="A1164" s="16" t="n">
        <v>1161</v>
      </c>
      <c r="B1164" s="17" t="inlineStr">
        <is>
          <t>2.3.11.18</t>
        </is>
      </c>
      <c r="C1164" s="18" t="inlineStr">
        <is>
          <t>Part 2 – Technical Systems</t>
        </is>
      </c>
      <c r="D1164" s="18" t="inlineStr">
        <is>
          <t>2.3 INCIDENT AND RESOURCE MANAGEMENT SYSTEM (IRMS)</t>
        </is>
      </c>
      <c r="E1164" s="18" t="inlineStr">
        <is>
          <t>2.3.11 DISPATCHING</t>
        </is>
      </c>
      <c r="F1164" s="18" t="inlineStr">
        <is>
          <t>The map shall show available resources (with status) within a certain pre-defined distance from the incident that are appropriate to the operator’s role. Resources can include personnel, vehicles and specialist equipment.</t>
        </is>
      </c>
      <c r="G1164" s="19" t="n"/>
      <c r="H1164" s="20" t="n"/>
      <c r="I1164" s="20" t="n"/>
      <c r="J1164" s="19" t="n"/>
      <c r="K1164" s="21" t="n"/>
      <c r="L1164" s="22">
        <f>IF(OR(J1164="",K1164=""),"",J1164*K1164)</f>
        <v/>
      </c>
      <c r="M1164" s="19" t="n"/>
      <c r="N1164" s="20" t="n"/>
      <c r="O1164" s="20" t="n"/>
    </row>
    <row r="1165">
      <c r="A1165" s="23" t="n">
        <v>1162</v>
      </c>
      <c r="B1165" s="24" t="inlineStr">
        <is>
          <t>2.3.11.19</t>
        </is>
      </c>
      <c r="C1165" s="25" t="inlineStr">
        <is>
          <t>Part 2 – Technical Systems</t>
        </is>
      </c>
      <c r="D1165" s="25" t="inlineStr">
        <is>
          <t>2.3 INCIDENT AND RESOURCE MANAGEMENT SYSTEM (IRMS)</t>
        </is>
      </c>
      <c r="E1165" s="25" t="inlineStr">
        <is>
          <t>2.3.11 DISPATCHING</t>
        </is>
      </c>
      <c r="F1165" s="25" t="inlineStr">
        <is>
          <t>The rules used for displaying available resources shall be configurable.</t>
        </is>
      </c>
      <c r="G1165" s="19" t="n"/>
      <c r="H1165" s="20" t="n"/>
      <c r="I1165" s="20" t="n"/>
      <c r="J1165" s="19" t="n"/>
      <c r="K1165" s="21" t="n"/>
      <c r="L1165" s="22">
        <f>IF(OR(J1165="",K1165=""),"",J1165*K1165)</f>
        <v/>
      </c>
      <c r="M1165" s="19" t="n"/>
      <c r="N1165" s="20" t="n"/>
      <c r="O1165" s="20" t="n"/>
    </row>
    <row r="1166">
      <c r="A1166" s="16" t="n">
        <v>1163</v>
      </c>
      <c r="B1166" s="17" t="inlineStr">
        <is>
          <t>2.3.11.20</t>
        </is>
      </c>
      <c r="C1166" s="18" t="inlineStr">
        <is>
          <t>Part 2 – Technical Systems</t>
        </is>
      </c>
      <c r="D1166" s="18" t="inlineStr">
        <is>
          <t>2.3 INCIDENT AND RESOURCE MANAGEMENT SYSTEM (IRMS)</t>
        </is>
      </c>
      <c r="E1166" s="18" t="inlineStr">
        <is>
          <t>2.3.11 DISPATCHING</t>
        </is>
      </c>
      <c r="F1166" s="18" t="inlineStr">
        <is>
          <t>The map shall dynamically update showing the position and status of resources.</t>
        </is>
      </c>
      <c r="G1166" s="19" t="n"/>
      <c r="H1166" s="20" t="n"/>
      <c r="I1166" s="20" t="n"/>
      <c r="J1166" s="19" t="n"/>
      <c r="K1166" s="21" t="n"/>
      <c r="L1166" s="22">
        <f>IF(OR(J1166="",K1166=""),"",J1166*K1166)</f>
        <v/>
      </c>
      <c r="M1166" s="19" t="n"/>
      <c r="N1166" s="20" t="n"/>
      <c r="O1166" s="20" t="n"/>
    </row>
    <row r="1167">
      <c r="A1167" s="23" t="n">
        <v>1164</v>
      </c>
      <c r="B1167" s="24" t="inlineStr">
        <is>
          <t>2.3.11.21</t>
        </is>
      </c>
      <c r="C1167" s="25" t="inlineStr">
        <is>
          <t>Part 2 – Technical Systems</t>
        </is>
      </c>
      <c r="D1167" s="25" t="inlineStr">
        <is>
          <t>2.3 INCIDENT AND RESOURCE MANAGEMENT SYSTEM (IRMS)</t>
        </is>
      </c>
      <c r="E1167" s="25" t="inlineStr">
        <is>
          <t>2.3.11 DISPATCHING</t>
        </is>
      </c>
      <c r="F1167" s="25" t="inlineStr">
        <is>
          <t>It shall be possible for a dispatcher to call up a set of standard operating procedures (possibly in the form of a checklist) to follow based on the incident type. It shall be possible to update these procedures subject to authorization.</t>
        </is>
      </c>
      <c r="G1167" s="19" t="n"/>
      <c r="H1167" s="20" t="n"/>
      <c r="I1167" s="20" t="n"/>
      <c r="J1167" s="19" t="n"/>
      <c r="K1167" s="21" t="n"/>
      <c r="L1167" s="22">
        <f>IF(OR(J1167="",K1167=""),"",J1167*K1167)</f>
        <v/>
      </c>
      <c r="M1167" s="19" t="n"/>
      <c r="N1167" s="20" t="n"/>
      <c r="O1167" s="20" t="n"/>
    </row>
    <row r="1168">
      <c r="A1168" s="16" t="n">
        <v>1165</v>
      </c>
      <c r="B1168" s="17" t="inlineStr">
        <is>
          <t>2.3.11.22</t>
        </is>
      </c>
      <c r="C1168" s="18" t="inlineStr">
        <is>
          <t>Part 2 – Technical Systems</t>
        </is>
      </c>
      <c r="D1168" s="18" t="inlineStr">
        <is>
          <t>2.3 INCIDENT AND RESOURCE MANAGEMENT SYSTEM (IRMS)</t>
        </is>
      </c>
      <c r="E1168" s="18" t="inlineStr">
        <is>
          <t>2.3.11 DISPATCHING</t>
        </is>
      </c>
      <c r="F1168" s="18" t="inlineStr">
        <is>
          <t>Dispatchers shall be able to select and assign resources to the incident. This process will also require the dispatcher to communicate with the relevant resources.</t>
        </is>
      </c>
      <c r="G1168" s="19" t="n"/>
      <c r="H1168" s="20" t="n"/>
      <c r="I1168" s="20" t="n"/>
      <c r="J1168" s="19" t="n"/>
      <c r="K1168" s="21" t="n"/>
      <c r="L1168" s="22">
        <f>IF(OR(J1168="",K1168=""),"",J1168*K1168)</f>
        <v/>
      </c>
      <c r="M1168" s="19" t="n"/>
      <c r="N1168" s="20" t="n"/>
      <c r="O1168" s="20" t="n"/>
    </row>
    <row r="1169">
      <c r="A1169" s="23" t="n">
        <v>1166</v>
      </c>
      <c r="B1169" s="24" t="inlineStr">
        <is>
          <t>2.3.11.23</t>
        </is>
      </c>
      <c r="C1169" s="25" t="inlineStr">
        <is>
          <t>Part 2 – Technical Systems</t>
        </is>
      </c>
      <c r="D1169" s="25" t="inlineStr">
        <is>
          <t>2.3 INCIDENT AND RESOURCE MANAGEMENT SYSTEM (IRMS)</t>
        </is>
      </c>
      <c r="E1169" s="25" t="inlineStr">
        <is>
          <t>2.3.11 DISPATCHING</t>
        </is>
      </c>
      <c r="F1169" s="25" t="inlineStr">
        <is>
          <t>The dispatcher shall be able to dispatch to Field Units by voice (radio or telephone) or by transmitting the relevant aspects of the incident log to a mobile device.</t>
        </is>
      </c>
      <c r="G1169" s="19" t="n"/>
      <c r="H1169" s="20" t="n"/>
      <c r="I1169" s="20" t="n"/>
      <c r="J1169" s="19" t="n"/>
      <c r="K1169" s="21" t="n"/>
      <c r="L1169" s="22">
        <f>IF(OR(J1169="",K1169=""),"",J1169*K1169)</f>
        <v/>
      </c>
      <c r="M1169" s="19" t="n"/>
      <c r="N1169" s="20" t="n"/>
      <c r="O1169" s="20" t="n"/>
    </row>
    <row r="1170">
      <c r="A1170" s="16" t="n">
        <v>1167</v>
      </c>
      <c r="B1170" s="17" t="inlineStr">
        <is>
          <t>2.3.11.24</t>
        </is>
      </c>
      <c r="C1170" s="18" t="inlineStr">
        <is>
          <t>Part 2 – Technical Systems</t>
        </is>
      </c>
      <c r="D1170" s="18" t="inlineStr">
        <is>
          <t>2.3 INCIDENT AND RESOURCE MANAGEMENT SYSTEM (IRMS)</t>
        </is>
      </c>
      <c r="E1170" s="18" t="inlineStr">
        <is>
          <t>2.3.11 DISPATCHING</t>
        </is>
      </c>
      <c r="F1170" s="18" t="inlineStr">
        <is>
          <t>It shall be possible for the IRMS to automatically update the status of resources, based on a status update made by the Field Units on radio or MDC.</t>
        </is>
      </c>
      <c r="G1170" s="19" t="n"/>
      <c r="H1170" s="20" t="n"/>
      <c r="I1170" s="20" t="n"/>
      <c r="J1170" s="19" t="n"/>
      <c r="K1170" s="21" t="n"/>
      <c r="L1170" s="22">
        <f>IF(OR(J1170="",K1170=""),"",J1170*K1170)</f>
        <v/>
      </c>
      <c r="M1170" s="19" t="n"/>
      <c r="N1170" s="20" t="n"/>
      <c r="O1170" s="20" t="n"/>
    </row>
    <row r="1171">
      <c r="A1171" s="23" t="n">
        <v>1168</v>
      </c>
      <c r="B1171" s="24" t="inlineStr">
        <is>
          <t>2.3.11.25</t>
        </is>
      </c>
      <c r="C1171" s="25" t="inlineStr">
        <is>
          <t>Part 2 – Technical Systems</t>
        </is>
      </c>
      <c r="D1171" s="25" t="inlineStr">
        <is>
          <t>2.3 INCIDENT AND RESOURCE MANAGEMENT SYSTEM (IRMS)</t>
        </is>
      </c>
      <c r="E1171" s="25" t="inlineStr">
        <is>
          <t>2.3.11 DISPATCHING</t>
        </is>
      </c>
      <c r="F1171" s="25" t="inlineStr">
        <is>
          <t>It shall be possible to manually update resource status.</t>
        </is>
      </c>
      <c r="G1171" s="19" t="n"/>
      <c r="H1171" s="20" t="n"/>
      <c r="I1171" s="20" t="n"/>
      <c r="J1171" s="19" t="n"/>
      <c r="K1171" s="21" t="n"/>
      <c r="L1171" s="22">
        <f>IF(OR(J1171="",K1171=""),"",J1171*K1171)</f>
        <v/>
      </c>
      <c r="M1171" s="19" t="n"/>
      <c r="N1171" s="20" t="n"/>
      <c r="O1171" s="20" t="n"/>
    </row>
    <row r="1172">
      <c r="A1172" s="16" t="n">
        <v>1169</v>
      </c>
      <c r="B1172" s="17" t="inlineStr">
        <is>
          <t>2.3.11.26</t>
        </is>
      </c>
      <c r="C1172" s="18" t="inlineStr">
        <is>
          <t>Part 2 – Technical Systems</t>
        </is>
      </c>
      <c r="D1172" s="18" t="inlineStr">
        <is>
          <t>2.3 INCIDENT AND RESOURCE MANAGEMENT SYSTEM (IRMS)</t>
        </is>
      </c>
      <c r="E1172" s="18" t="inlineStr">
        <is>
          <t>2.3.11 DISPATCHING</t>
        </is>
      </c>
      <c r="F1172" s="18" t="inlineStr">
        <is>
          <t>The system shall be capable of making these updates using status information messages that are sent by the field.</t>
        </is>
      </c>
      <c r="G1172" s="19" t="n"/>
      <c r="H1172" s="20" t="n"/>
      <c r="I1172" s="20" t="n"/>
      <c r="J1172" s="19" t="n"/>
      <c r="K1172" s="21" t="n"/>
      <c r="L1172" s="22">
        <f>IF(OR(J1172="",K1172=""),"",J1172*K1172)</f>
        <v/>
      </c>
      <c r="M1172" s="19" t="n"/>
      <c r="N1172" s="20" t="n"/>
      <c r="O1172" s="20" t="n"/>
    </row>
    <row r="1173">
      <c r="A1173" s="23" t="n">
        <v>1170</v>
      </c>
      <c r="B1173" s="24" t="inlineStr">
        <is>
          <t>2.3.11.27</t>
        </is>
      </c>
      <c r="C1173" s="25" t="inlineStr">
        <is>
          <t>Part 2 – Technical Systems</t>
        </is>
      </c>
      <c r="D1173" s="25" t="inlineStr">
        <is>
          <t>2.3 INCIDENT AND RESOURCE MANAGEMENT SYSTEM (IRMS)</t>
        </is>
      </c>
      <c r="E1173" s="25" t="inlineStr">
        <is>
          <t>2.3.11 DISPATCHING</t>
        </is>
      </c>
      <c r="F1173" s="25" t="inlineStr">
        <is>
          <t>Multiple dispatchers (possibly from different agencies) shall be able to have the same incident and or instance of the same incident record open at the same time.</t>
        </is>
      </c>
      <c r="G1173" s="19" t="n"/>
      <c r="H1173" s="20" t="n"/>
      <c r="I1173" s="20" t="n"/>
      <c r="J1173" s="19" t="n"/>
      <c r="K1173" s="21" t="n"/>
      <c r="L1173" s="22">
        <f>IF(OR(J1173="",K1173=""),"",J1173*K1173)</f>
        <v/>
      </c>
      <c r="M1173" s="19" t="n"/>
      <c r="N1173" s="20" t="n"/>
      <c r="O1173" s="20" t="n"/>
    </row>
    <row r="1174">
      <c r="A1174" s="16" t="n">
        <v>1171</v>
      </c>
      <c r="B1174" s="17" t="inlineStr">
        <is>
          <t>2.3.11.28</t>
        </is>
      </c>
      <c r="C1174" s="18" t="inlineStr">
        <is>
          <t>Part 2 – Technical Systems</t>
        </is>
      </c>
      <c r="D1174" s="18" t="inlineStr">
        <is>
          <t>2.3 INCIDENT AND RESOURCE MANAGEMENT SYSTEM (IRMS)</t>
        </is>
      </c>
      <c r="E1174" s="18" t="inlineStr">
        <is>
          <t>2.3.11 DISPATCHING</t>
        </is>
      </c>
      <c r="F1174" s="18" t="inlineStr">
        <is>
          <t>Multiple dispatchers (possibly from different agencies) shall be able to make simultaneous updates to the same incident and/or instance of the same incident. Ownership of the incident remains with the appropriate agency and the CONTRACTOR shall provide a solution that prevents data loss in case of simultaneous updates.</t>
        </is>
      </c>
      <c r="G1174" s="19" t="n"/>
      <c r="H1174" s="20" t="n"/>
      <c r="I1174" s="20" t="n"/>
      <c r="J1174" s="19" t="n"/>
      <c r="K1174" s="21" t="n"/>
      <c r="L1174" s="22">
        <f>IF(OR(J1174="",K1174=""),"",J1174*K1174)</f>
        <v/>
      </c>
      <c r="M1174" s="19" t="n"/>
      <c r="N1174" s="20" t="n"/>
      <c r="O1174" s="20" t="n"/>
    </row>
    <row r="1175">
      <c r="A1175" s="23" t="n">
        <v>1172</v>
      </c>
      <c r="B1175" s="24" t="inlineStr">
        <is>
          <t>2.3.11.29</t>
        </is>
      </c>
      <c r="C1175" s="25" t="inlineStr">
        <is>
          <t>Part 2 – Technical Systems</t>
        </is>
      </c>
      <c r="D1175" s="25" t="inlineStr">
        <is>
          <t>2.3 INCIDENT AND RESOURCE MANAGEMENT SYSTEM (IRMS)</t>
        </is>
      </c>
      <c r="E1175" s="25" t="inlineStr">
        <is>
          <t>2.3.11 DISPATCHING</t>
        </is>
      </c>
      <c r="F1175" s="25" t="inlineStr">
        <is>
          <t>A dispatcher shall be able to re-assign the incident to a different incident dispatch queue within:</t>
        </is>
      </c>
      <c r="G1175" s="19" t="n"/>
      <c r="H1175" s="20" t="n"/>
      <c r="I1175" s="20" t="n"/>
      <c r="J1175" s="19" t="n"/>
      <c r="K1175" s="21" t="n"/>
      <c r="L1175" s="22">
        <f>IF(OR(J1175="",K1175=""),"",J1175*K1175)</f>
        <v/>
      </c>
      <c r="M1175" s="19" t="n"/>
      <c r="N1175" s="20" t="n"/>
      <c r="O1175" s="20" t="n"/>
    </row>
    <row r="1176">
      <c r="A1176" s="16" t="n">
        <v>1173</v>
      </c>
      <c r="B1176" s="16" t="inlineStr">
        <is>
          <t>2.3.11.29.1</t>
        </is>
      </c>
      <c r="C1176" s="18" t="inlineStr">
        <is>
          <t>Part 2 – Technical Systems</t>
        </is>
      </c>
      <c r="D1176" s="18" t="inlineStr">
        <is>
          <t>2.3 INCIDENT AND RESOURCE MANAGEMENT SYSTEM (IRMS)</t>
        </is>
      </c>
      <c r="E1176" s="18" t="inlineStr">
        <is>
          <t>2.3.11 DISPATCHING</t>
        </is>
      </c>
      <c r="F1176" s="18" t="inlineStr">
        <is>
          <t>The same agency</t>
        </is>
      </c>
      <c r="G1176" s="19" t="n"/>
      <c r="H1176" s="20" t="n"/>
      <c r="I1176" s="20" t="n"/>
      <c r="J1176" s="19" t="n"/>
      <c r="K1176" s="21" t="n"/>
      <c r="L1176" s="22">
        <f>IF(OR(J1176="",K1176=""),"",J1176*K1176)</f>
        <v/>
      </c>
      <c r="M1176" s="19" t="n"/>
      <c r="N1176" s="20" t="n"/>
      <c r="O1176" s="20" t="n"/>
    </row>
    <row r="1177">
      <c r="A1177" s="23" t="n">
        <v>1174</v>
      </c>
      <c r="B1177" s="23" t="inlineStr">
        <is>
          <t>2.3.11.29.2</t>
        </is>
      </c>
      <c r="C1177" s="25" t="inlineStr">
        <is>
          <t>Part 2 – Technical Systems</t>
        </is>
      </c>
      <c r="D1177" s="25" t="inlineStr">
        <is>
          <t>2.3 INCIDENT AND RESOURCE MANAGEMENT SYSTEM (IRMS)</t>
        </is>
      </c>
      <c r="E1177" s="25" t="inlineStr">
        <is>
          <t>2.3.11 DISPATCHING</t>
        </is>
      </c>
      <c r="F1177" s="25" t="inlineStr">
        <is>
          <t>Another agency</t>
        </is>
      </c>
      <c r="G1177" s="19" t="n"/>
      <c r="H1177" s="20" t="n"/>
      <c r="I1177" s="20" t="n"/>
      <c r="J1177" s="19" t="n"/>
      <c r="K1177" s="21" t="n"/>
      <c r="L1177" s="22">
        <f>IF(OR(J1177="",K1177=""),"",J1177*K1177)</f>
        <v/>
      </c>
      <c r="M1177" s="19" t="n"/>
      <c r="N1177" s="20" t="n"/>
      <c r="O1177" s="20" t="n"/>
    </row>
    <row r="1178">
      <c r="A1178" s="16" t="n">
        <v>1175</v>
      </c>
      <c r="B1178" s="17" t="inlineStr">
        <is>
          <t>2.3.11.30</t>
        </is>
      </c>
      <c r="C1178" s="18" t="inlineStr">
        <is>
          <t>Part 2 – Technical Systems</t>
        </is>
      </c>
      <c r="D1178" s="18" t="inlineStr">
        <is>
          <t>2.3 INCIDENT AND RESOURCE MANAGEMENT SYSTEM (IRMS)</t>
        </is>
      </c>
      <c r="E1178" s="18" t="inlineStr">
        <is>
          <t>2.3.11 DISPATCHING</t>
        </is>
      </c>
      <c r="F1178" s="18" t="inlineStr">
        <is>
          <t>Authorized users shall be able to re-assign the incident to a different incident dispatch queue within:</t>
        </is>
      </c>
      <c r="G1178" s="19" t="n"/>
      <c r="H1178" s="20" t="n"/>
      <c r="I1178" s="20" t="n"/>
      <c r="J1178" s="19" t="n"/>
      <c r="K1178" s="21" t="n"/>
      <c r="L1178" s="22">
        <f>IF(OR(J1178="",K1178=""),"",J1178*K1178)</f>
        <v/>
      </c>
      <c r="M1178" s="19" t="n"/>
      <c r="N1178" s="20" t="n"/>
      <c r="O1178" s="20" t="n"/>
    </row>
    <row r="1179">
      <c r="A1179" s="23" t="n">
        <v>1176</v>
      </c>
      <c r="B1179" s="23" t="inlineStr">
        <is>
          <t>2.3.11.30.1</t>
        </is>
      </c>
      <c r="C1179" s="25" t="inlineStr">
        <is>
          <t>Part 2 – Technical Systems</t>
        </is>
      </c>
      <c r="D1179" s="25" t="inlineStr">
        <is>
          <t>2.3 INCIDENT AND RESOURCE MANAGEMENT SYSTEM (IRMS)</t>
        </is>
      </c>
      <c r="E1179" s="25" t="inlineStr">
        <is>
          <t>2.3.11 DISPATCHING</t>
        </is>
      </c>
      <c r="F1179" s="25" t="inlineStr">
        <is>
          <t>The same agency</t>
        </is>
      </c>
      <c r="G1179" s="19" t="n"/>
      <c r="H1179" s="20" t="n"/>
      <c r="I1179" s="20" t="n"/>
      <c r="J1179" s="19" t="n"/>
      <c r="K1179" s="21" t="n"/>
      <c r="L1179" s="22">
        <f>IF(OR(J1179="",K1179=""),"",J1179*K1179)</f>
        <v/>
      </c>
      <c r="M1179" s="19" t="n"/>
      <c r="N1179" s="20" t="n"/>
      <c r="O1179" s="20" t="n"/>
    </row>
    <row r="1180">
      <c r="A1180" s="16" t="n">
        <v>1177</v>
      </c>
      <c r="B1180" s="16" t="inlineStr">
        <is>
          <t>2.3.11.30.2</t>
        </is>
      </c>
      <c r="C1180" s="18" t="inlineStr">
        <is>
          <t>Part 2 – Technical Systems</t>
        </is>
      </c>
      <c r="D1180" s="18" t="inlineStr">
        <is>
          <t>2.3 INCIDENT AND RESOURCE MANAGEMENT SYSTEM (IRMS)</t>
        </is>
      </c>
      <c r="E1180" s="18" t="inlineStr">
        <is>
          <t>2.3.11 DISPATCHING</t>
        </is>
      </c>
      <c r="F1180" s="18" t="inlineStr">
        <is>
          <t>Another agency</t>
        </is>
      </c>
      <c r="G1180" s="19" t="n"/>
      <c r="H1180" s="20" t="n"/>
      <c r="I1180" s="20" t="n"/>
      <c r="J1180" s="19" t="n"/>
      <c r="K1180" s="21" t="n"/>
      <c r="L1180" s="22">
        <f>IF(OR(J1180="",K1180=""),"",J1180*K1180)</f>
        <v/>
      </c>
      <c r="M1180" s="19" t="n"/>
      <c r="N1180" s="20" t="n"/>
      <c r="O1180" s="20" t="n"/>
    </row>
    <row r="1181">
      <c r="A1181" s="23" t="n">
        <v>1178</v>
      </c>
      <c r="B1181" s="24" t="inlineStr">
        <is>
          <t>2.3.11.31</t>
        </is>
      </c>
      <c r="C1181" s="25" t="inlineStr">
        <is>
          <t>Part 2 – Technical Systems</t>
        </is>
      </c>
      <c r="D1181" s="25" t="inlineStr">
        <is>
          <t>2.3 INCIDENT AND RESOURCE MANAGEMENT SYSTEM (IRMS)</t>
        </is>
      </c>
      <c r="E1181" s="25" t="inlineStr">
        <is>
          <t>2.3.11 DISPATCHING</t>
        </is>
      </c>
      <c r="F1181" s="25" t="inlineStr">
        <is>
          <t>The IRMS shall maintain a file of the emergency contacts for locations, containing, at a minimum:</t>
        </is>
      </c>
      <c r="G1181" s="19" t="n"/>
      <c r="H1181" s="20" t="n"/>
      <c r="I1181" s="20" t="n"/>
      <c r="J1181" s="19" t="n"/>
      <c r="K1181" s="21" t="n"/>
      <c r="L1181" s="22">
        <f>IF(OR(J1181="",K1181=""),"",J1181*K1181)</f>
        <v/>
      </c>
      <c r="M1181" s="19" t="n"/>
      <c r="N1181" s="20" t="n"/>
      <c r="O1181" s="20" t="n"/>
    </row>
    <row r="1182">
      <c r="A1182" s="16" t="n">
        <v>1179</v>
      </c>
      <c r="B1182" s="16" t="inlineStr">
        <is>
          <t>2.3.11.31.1</t>
        </is>
      </c>
      <c r="C1182" s="18" t="inlineStr">
        <is>
          <t>Part 2 – Technical Systems</t>
        </is>
      </c>
      <c r="D1182" s="18" t="inlineStr">
        <is>
          <t>2.3 INCIDENT AND RESOURCE MANAGEMENT SYSTEM (IRMS)</t>
        </is>
      </c>
      <c r="E1182" s="18" t="inlineStr">
        <is>
          <t>2.3.11 DISPATCHING</t>
        </is>
      </c>
      <c r="F1182" s="18" t="inlineStr">
        <is>
          <t>Name of the contact</t>
        </is>
      </c>
      <c r="G1182" s="19" t="n"/>
      <c r="H1182" s="20" t="n"/>
      <c r="I1182" s="20" t="n"/>
      <c r="J1182" s="19" t="n"/>
      <c r="K1182" s="21" t="n"/>
      <c r="L1182" s="22">
        <f>IF(OR(J1182="",K1182=""),"",J1182*K1182)</f>
        <v/>
      </c>
      <c r="M1182" s="19" t="n"/>
      <c r="N1182" s="20" t="n"/>
      <c r="O1182" s="20" t="n"/>
    </row>
    <row r="1183">
      <c r="A1183" s="23" t="n">
        <v>1180</v>
      </c>
      <c r="B1183" s="23" t="inlineStr">
        <is>
          <t>2.3.11.31.2</t>
        </is>
      </c>
      <c r="C1183" s="25" t="inlineStr">
        <is>
          <t>Part 2 – Technical Systems</t>
        </is>
      </c>
      <c r="D1183" s="25" t="inlineStr">
        <is>
          <t>2.3 INCIDENT AND RESOURCE MANAGEMENT SYSTEM (IRMS)</t>
        </is>
      </c>
      <c r="E1183" s="25" t="inlineStr">
        <is>
          <t>2.3.11 DISPATCHING</t>
        </is>
      </c>
      <c r="F1183" s="25" t="inlineStr">
        <is>
          <t>Relationship of the contact to the location</t>
        </is>
      </c>
      <c r="G1183" s="19" t="n"/>
      <c r="H1183" s="20" t="n"/>
      <c r="I1183" s="20" t="n"/>
      <c r="J1183" s="19" t="n"/>
      <c r="K1183" s="21" t="n"/>
      <c r="L1183" s="22">
        <f>IF(OR(J1183="",K1183=""),"",J1183*K1183)</f>
        <v/>
      </c>
      <c r="M1183" s="19" t="n"/>
      <c r="N1183" s="20" t="n"/>
      <c r="O1183" s="20" t="n"/>
    </row>
    <row r="1184">
      <c r="A1184" s="16" t="n">
        <v>1181</v>
      </c>
      <c r="B1184" s="16" t="inlineStr">
        <is>
          <t>2.3.11.31.3</t>
        </is>
      </c>
      <c r="C1184" s="18" t="inlineStr">
        <is>
          <t>Part 2 – Technical Systems</t>
        </is>
      </c>
      <c r="D1184" s="18" t="inlineStr">
        <is>
          <t>2.3 INCIDENT AND RESOURCE MANAGEMENT SYSTEM (IRMS)</t>
        </is>
      </c>
      <c r="E1184" s="18" t="inlineStr">
        <is>
          <t>2.3.11 DISPATCHING</t>
        </is>
      </c>
      <c r="F1184" s="18" t="inlineStr">
        <is>
          <t>Home and work phone numbers</t>
        </is>
      </c>
      <c r="G1184" s="19" t="n"/>
      <c r="H1184" s="20" t="n"/>
      <c r="I1184" s="20" t="n"/>
      <c r="J1184" s="19" t="n"/>
      <c r="K1184" s="21" t="n"/>
      <c r="L1184" s="22">
        <f>IF(OR(J1184="",K1184=""),"",J1184*K1184)</f>
        <v/>
      </c>
      <c r="M1184" s="19" t="n"/>
      <c r="N1184" s="20" t="n"/>
      <c r="O1184" s="20" t="n"/>
    </row>
    <row r="1185">
      <c r="A1185" s="23" t="n">
        <v>1182</v>
      </c>
      <c r="B1185" s="23" t="inlineStr">
        <is>
          <t>2.3.11.31.4</t>
        </is>
      </c>
      <c r="C1185" s="25" t="inlineStr">
        <is>
          <t>Part 2 – Technical Systems</t>
        </is>
      </c>
      <c r="D1185" s="25" t="inlineStr">
        <is>
          <t>2.3 INCIDENT AND RESOURCE MANAGEMENT SYSTEM (IRMS)</t>
        </is>
      </c>
      <c r="E1185" s="25" t="inlineStr">
        <is>
          <t>2.3.11 DISPATCHING</t>
        </is>
      </c>
      <c r="F1185" s="25" t="inlineStr">
        <is>
          <t>Free form comments</t>
        </is>
      </c>
      <c r="G1185" s="19" t="n"/>
      <c r="H1185" s="20" t="n"/>
      <c r="I1185" s="20" t="n"/>
      <c r="J1185" s="19" t="n"/>
      <c r="K1185" s="21" t="n"/>
      <c r="L1185" s="22">
        <f>IF(OR(J1185="",K1185=""),"",J1185*K1185)</f>
        <v/>
      </c>
      <c r="M1185" s="19" t="n"/>
      <c r="N1185" s="20" t="n"/>
      <c r="O1185" s="20" t="n"/>
    </row>
    <row r="1186">
      <c r="A1186" s="16" t="n">
        <v>1183</v>
      </c>
      <c r="B1186" s="17" t="inlineStr">
        <is>
          <t>2.3.11.32</t>
        </is>
      </c>
      <c r="C1186" s="18" t="inlineStr">
        <is>
          <t>Part 2 – Technical Systems</t>
        </is>
      </c>
      <c r="D1186" s="18" t="inlineStr">
        <is>
          <t>2.3 INCIDENT AND RESOURCE MANAGEMENT SYSTEM (IRMS)</t>
        </is>
      </c>
      <c r="E1186" s="18" t="inlineStr">
        <is>
          <t>2.3.11 DISPATCHING</t>
        </is>
      </c>
      <c r="F1186" s="18" t="inlineStr">
        <is>
          <t>Whenever an incident location has emergency contacts, an indicator shall be displayed to the operator advising them of the existence of the emergency contact information.</t>
        </is>
      </c>
      <c r="G1186" s="19" t="n"/>
      <c r="H1186" s="20" t="n"/>
      <c r="I1186" s="20" t="n"/>
      <c r="J1186" s="19" t="n"/>
      <c r="K1186" s="21" t="n"/>
      <c r="L1186" s="22">
        <f>IF(OR(J1186="",K1186=""),"",J1186*K1186)</f>
        <v/>
      </c>
      <c r="M1186" s="19" t="n"/>
      <c r="N1186" s="20" t="n"/>
      <c r="O1186" s="20" t="n"/>
    </row>
    <row r="1187">
      <c r="A1187" s="23" t="n">
        <v>1184</v>
      </c>
      <c r="B1187" s="24" t="inlineStr">
        <is>
          <t>2.3.11.33</t>
        </is>
      </c>
      <c r="C1187" s="25" t="inlineStr">
        <is>
          <t>Part 2 – Technical Systems</t>
        </is>
      </c>
      <c r="D1187" s="25" t="inlineStr">
        <is>
          <t>2.3 INCIDENT AND RESOURCE MANAGEMENT SYSTEM (IRMS)</t>
        </is>
      </c>
      <c r="E1187" s="25" t="inlineStr">
        <is>
          <t>2.3.11 DISPATCHING</t>
        </is>
      </c>
      <c r="F1187" s="25" t="inlineStr">
        <is>
          <t>The detailed information on the emergency contact shall be displayed in a separate area or window on the screen, allowing the incident to be displayed at the same time as the contact information.</t>
        </is>
      </c>
      <c r="G1187" s="19" t="n"/>
      <c r="H1187" s="20" t="n"/>
      <c r="I1187" s="20" t="n"/>
      <c r="J1187" s="19" t="n"/>
      <c r="K1187" s="21" t="n"/>
      <c r="L1187" s="22">
        <f>IF(OR(J1187="",K1187=""),"",J1187*K1187)</f>
        <v/>
      </c>
      <c r="M1187" s="19" t="n"/>
      <c r="N1187" s="20" t="n"/>
      <c r="O1187" s="20" t="n"/>
    </row>
    <row r="1188">
      <c r="A1188" s="16" t="n">
        <v>1185</v>
      </c>
      <c r="B1188" s="17" t="inlineStr">
        <is>
          <t>2.3.11.34</t>
        </is>
      </c>
      <c r="C1188" s="18" t="inlineStr">
        <is>
          <t>Part 2 – Technical Systems</t>
        </is>
      </c>
      <c r="D1188" s="18" t="inlineStr">
        <is>
          <t>2.3 INCIDENT AND RESOURCE MANAGEMENT SYSTEM (IRMS)</t>
        </is>
      </c>
      <c r="E1188" s="18" t="inlineStr">
        <is>
          <t>2.3.11 DISPATCHING</t>
        </is>
      </c>
      <c r="F1188" s="18" t="inlineStr">
        <is>
          <t>All information concerned with an incident record shall be recorded onto an action log, together with date and time of the user making the changes. This applies equally to information recorded by call takers, dispatch operators and from spatial and intelligence database searches.</t>
        </is>
      </c>
      <c r="G1188" s="19" t="n"/>
      <c r="H1188" s="20" t="n"/>
      <c r="I1188" s="20" t="n"/>
      <c r="J1188" s="19" t="n"/>
      <c r="K1188" s="21" t="n"/>
      <c r="L1188" s="22">
        <f>IF(OR(J1188="",K1188=""),"",J1188*K1188)</f>
        <v/>
      </c>
      <c r="M1188" s="19" t="n"/>
      <c r="N1188" s="20" t="n"/>
      <c r="O1188" s="20" t="n"/>
    </row>
    <row r="1189">
      <c r="A1189" s="23" t="n">
        <v>1186</v>
      </c>
      <c r="B1189" s="24" t="inlineStr">
        <is>
          <t>2.3.11.35</t>
        </is>
      </c>
      <c r="C1189" s="25" t="inlineStr">
        <is>
          <t>Part 2 – Technical Systems</t>
        </is>
      </c>
      <c r="D1189" s="25" t="inlineStr">
        <is>
          <t>2.3 INCIDENT AND RESOURCE MANAGEMENT SYSTEM (IRMS)</t>
        </is>
      </c>
      <c r="E1189" s="25" t="inlineStr">
        <is>
          <t>2.3.11 DISPATCHING</t>
        </is>
      </c>
      <c r="F1189" s="25" t="inlineStr">
        <is>
          <t>A dispatch operator shall be able to select any item or items on an action log and transmit them as text messages to suitably equipped radio or field users.</t>
        </is>
      </c>
      <c r="G1189" s="19" t="n"/>
      <c r="H1189" s="20" t="n"/>
      <c r="I1189" s="20" t="n"/>
      <c r="J1189" s="19" t="n"/>
      <c r="K1189" s="21" t="n"/>
      <c r="L1189" s="22">
        <f>IF(OR(J1189="",K1189=""),"",J1189*K1189)</f>
        <v/>
      </c>
      <c r="M1189" s="19" t="n"/>
      <c r="N1189" s="20" t="n"/>
      <c r="O1189" s="20" t="n"/>
    </row>
    <row r="1190">
      <c r="A1190" s="16" t="n">
        <v>1187</v>
      </c>
      <c r="B1190" s="17" t="inlineStr">
        <is>
          <t>2.3.11.36</t>
        </is>
      </c>
      <c r="C1190" s="18" t="inlineStr">
        <is>
          <t>Part 2 – Technical Systems</t>
        </is>
      </c>
      <c r="D1190" s="18" t="inlineStr">
        <is>
          <t>2.3 INCIDENT AND RESOURCE MANAGEMENT SYSTEM (IRMS)</t>
        </is>
      </c>
      <c r="E1190" s="18" t="inlineStr">
        <is>
          <t>2.3.11 DISPATCHING</t>
        </is>
      </c>
      <c r="F1190" s="18" t="inlineStr">
        <is>
          <t>Likewise, a dispatch operator shall be able to paste any text received from such users directly into incident action logs.</t>
        </is>
      </c>
      <c r="G1190" s="19" t="n"/>
      <c r="H1190" s="20" t="n"/>
      <c r="I1190" s="20" t="n"/>
      <c r="J1190" s="19" t="n"/>
      <c r="K1190" s="21" t="n"/>
      <c r="L1190" s="22">
        <f>IF(OR(J1190="",K1190=""),"",J1190*K1190)</f>
        <v/>
      </c>
      <c r="M1190" s="19" t="n"/>
      <c r="N1190" s="20" t="n"/>
      <c r="O1190" s="20" t="n"/>
    </row>
    <row r="1191">
      <c r="A1191" s="23" t="n">
        <v>1188</v>
      </c>
      <c r="B1191" s="24" t="inlineStr">
        <is>
          <t>2.3.11.37</t>
        </is>
      </c>
      <c r="C1191" s="25" t="inlineStr">
        <is>
          <t>Part 2 – Technical Systems</t>
        </is>
      </c>
      <c r="D1191" s="25" t="inlineStr">
        <is>
          <t>2.3 INCIDENT AND RESOURCE MANAGEMENT SYSTEM (IRMS)</t>
        </is>
      </c>
      <c r="E1191" s="25" t="inlineStr">
        <is>
          <t>2.3.11 DISPATCHING</t>
        </is>
      </c>
      <c r="F1191" s="25" t="inlineStr">
        <is>
          <t>A user shall be able to view a single historical log for that record that lists all the individual changes to the record in chronological order.</t>
        </is>
      </c>
      <c r="G1191" s="19" t="n"/>
      <c r="H1191" s="20" t="n"/>
      <c r="I1191" s="20" t="n"/>
      <c r="J1191" s="19" t="n"/>
      <c r="K1191" s="21" t="n"/>
      <c r="L1191" s="22">
        <f>IF(OR(J1191="",K1191=""),"",J1191*K1191)</f>
        <v/>
      </c>
      <c r="M1191" s="19" t="n"/>
      <c r="N1191" s="20" t="n"/>
      <c r="O1191" s="20" t="n"/>
    </row>
    <row r="1192">
      <c r="A1192" s="16" t="n">
        <v>1189</v>
      </c>
      <c r="B1192" s="17" t="inlineStr">
        <is>
          <t>2.3.11.38</t>
        </is>
      </c>
      <c r="C1192" s="18" t="inlineStr">
        <is>
          <t>Part 2 – Technical Systems</t>
        </is>
      </c>
      <c r="D1192" s="18" t="inlineStr">
        <is>
          <t>2.3 INCIDENT AND RESOURCE MANAGEMENT SYSTEM (IRMS)</t>
        </is>
      </c>
      <c r="E1192" s="18" t="inlineStr">
        <is>
          <t>2.3.11 DISPATCHING</t>
        </is>
      </c>
      <c r="F1192" s="18" t="inlineStr">
        <is>
          <t>It shall be possible to configure the rules that must be enforced when an operator requests to close an incident, for example the IRMS may prevent closure if resources still assigned (for safety events) or when an operator closes an incident with resources assigned, they are all released (non-safety related events).</t>
        </is>
      </c>
      <c r="G1192" s="19" t="n"/>
      <c r="H1192" s="20" t="n"/>
      <c r="I1192" s="20" t="n"/>
      <c r="J1192" s="19" t="n"/>
      <c r="K1192" s="21" t="n"/>
      <c r="L1192" s="22">
        <f>IF(OR(J1192="",K1192=""),"",J1192*K1192)</f>
        <v/>
      </c>
      <c r="M1192" s="19" t="n"/>
      <c r="N1192" s="20" t="n"/>
      <c r="O1192" s="20" t="n"/>
    </row>
    <row r="1193">
      <c r="A1193" s="23" t="n">
        <v>1190</v>
      </c>
      <c r="B1193" s="24" t="inlineStr">
        <is>
          <t>2.3.11.39</t>
        </is>
      </c>
      <c r="C1193" s="25" t="inlineStr">
        <is>
          <t>Part 2 – Technical Systems</t>
        </is>
      </c>
      <c r="D1193" s="25" t="inlineStr">
        <is>
          <t>2.3 INCIDENT AND RESOURCE MANAGEMENT SYSTEM (IRMS)</t>
        </is>
      </c>
      <c r="E1193" s="25" t="inlineStr">
        <is>
          <t>2.3.11 DISPATCHING</t>
        </is>
      </c>
      <c r="F1193" s="25" t="inlineStr">
        <is>
          <t>When an incident is closed it shall move out of the current incident dispatch queues and move to an associated closed incident queue.</t>
        </is>
      </c>
      <c r="G1193" s="19" t="n"/>
      <c r="H1193" s="20" t="n"/>
      <c r="I1193" s="20" t="n"/>
      <c r="J1193" s="19" t="n"/>
      <c r="K1193" s="21" t="n"/>
      <c r="L1193" s="22">
        <f>IF(OR(J1193="",K1193=""),"",J1193*K1193)</f>
        <v/>
      </c>
      <c r="M1193" s="19" t="n"/>
      <c r="N1193" s="20" t="n"/>
      <c r="O1193" s="20" t="n"/>
    </row>
    <row r="1194">
      <c r="A1194" s="16" t="n">
        <v>1191</v>
      </c>
      <c r="B1194" s="17" t="inlineStr">
        <is>
          <t>2.3.11.40</t>
        </is>
      </c>
      <c r="C1194" s="18" t="inlineStr">
        <is>
          <t>Part 2 – Technical Systems</t>
        </is>
      </c>
      <c r="D1194" s="18" t="inlineStr">
        <is>
          <t>2.3 INCIDENT AND RESOURCE MANAGEMENT SYSTEM (IRMS)</t>
        </is>
      </c>
      <c r="E1194" s="18" t="inlineStr">
        <is>
          <t>2.3.11 DISPATCHING</t>
        </is>
      </c>
      <c r="F1194" s="18" t="inlineStr">
        <is>
          <t>No changes shall be possible to a closed incident, other than to add additional closure information.</t>
        </is>
      </c>
      <c r="G1194" s="19" t="n"/>
      <c r="H1194" s="20" t="n"/>
      <c r="I1194" s="20" t="n"/>
      <c r="J1194" s="19" t="n"/>
      <c r="K1194" s="21" t="n"/>
      <c r="L1194" s="22">
        <f>IF(OR(J1194="",K1194=""),"",J1194*K1194)</f>
        <v/>
      </c>
      <c r="M1194" s="19" t="n"/>
      <c r="N1194" s="20" t="n"/>
      <c r="O1194" s="20" t="n"/>
    </row>
    <row r="1195">
      <c r="A1195" s="23" t="n">
        <v>1192</v>
      </c>
      <c r="B1195" s="24" t="inlineStr">
        <is>
          <t>2.3.11.41</t>
        </is>
      </c>
      <c r="C1195" s="25" t="inlineStr">
        <is>
          <t>Part 2 – Technical Systems</t>
        </is>
      </c>
      <c r="D1195" s="25" t="inlineStr">
        <is>
          <t>2.3 INCIDENT AND RESOURCE MANAGEMENT SYSTEM (IRMS)</t>
        </is>
      </c>
      <c r="E1195" s="25" t="inlineStr">
        <is>
          <t>2.3.11 DISPATCHING</t>
        </is>
      </c>
      <c r="F1195" s="25" t="inlineStr">
        <is>
          <t>The Incident Management System shall allow dispatchers to display on a map and in a list, before seeking, assigned resources and/or assigned and available resources.</t>
        </is>
      </c>
      <c r="G1195" s="19" t="n"/>
      <c r="H1195" s="20" t="n"/>
      <c r="I1195" s="20" t="n"/>
      <c r="J1195" s="19" t="n"/>
      <c r="K1195" s="21" t="n"/>
      <c r="L1195" s="22">
        <f>IF(OR(J1195="",K1195=""),"",J1195*K1195)</f>
        <v/>
      </c>
      <c r="M1195" s="19" t="n"/>
      <c r="N1195" s="20" t="n"/>
      <c r="O1195" s="20" t="n"/>
    </row>
    <row r="1196">
      <c r="A1196" s="16" t="n">
        <v>1193</v>
      </c>
      <c r="B1196" s="17" t="inlineStr">
        <is>
          <t>2.3.11.42</t>
        </is>
      </c>
      <c r="C1196" s="18" t="inlineStr">
        <is>
          <t>Part 2 – Technical Systems</t>
        </is>
      </c>
      <c r="D1196" s="18" t="inlineStr">
        <is>
          <t>2.3 INCIDENT AND RESOURCE MANAGEMENT SYSTEM (IRMS)</t>
        </is>
      </c>
      <c r="E1196" s="18" t="inlineStr">
        <is>
          <t>2.3.11 DISPATCHING</t>
        </is>
      </c>
      <c r="F1196" s="18" t="inlineStr">
        <is>
          <t>The IRMS shall automatically provide the dispatcher with a suggested unit recommendation. This recommendation shall be composed of a specific unit identifier and shall be derived by taking into account the following basic elements:</t>
        </is>
      </c>
      <c r="G1196" s="19" t="n"/>
      <c r="H1196" s="20" t="n"/>
      <c r="I1196" s="20" t="n"/>
      <c r="J1196" s="19" t="n"/>
      <c r="K1196" s="21" t="n"/>
      <c r="L1196" s="22">
        <f>IF(OR(J1196="",K1196=""),"",J1196*K1196)</f>
        <v/>
      </c>
      <c r="M1196" s="19" t="n"/>
      <c r="N1196" s="20" t="n"/>
      <c r="O1196" s="20" t="n"/>
    </row>
    <row r="1197">
      <c r="A1197" s="23" t="n">
        <v>1194</v>
      </c>
      <c r="B1197" s="23" t="inlineStr">
        <is>
          <t>2.3.11.42.1</t>
        </is>
      </c>
      <c r="C1197" s="25" t="inlineStr">
        <is>
          <t>Part 2 – Technical Systems</t>
        </is>
      </c>
      <c r="D1197" s="25" t="inlineStr">
        <is>
          <t>2.3 INCIDENT AND RESOURCE MANAGEMENT SYSTEM (IRMS)</t>
        </is>
      </c>
      <c r="E1197" s="25" t="inlineStr">
        <is>
          <t>2.3.11 DISPATCHING</t>
        </is>
      </c>
      <c r="F1197" s="25" t="inlineStr">
        <is>
          <t>Unit staffing and unit types.</t>
        </is>
      </c>
      <c r="G1197" s="19" t="n"/>
      <c r="H1197" s="20" t="n"/>
      <c r="I1197" s="20" t="n"/>
      <c r="J1197" s="19" t="n"/>
      <c r="K1197" s="21" t="n"/>
      <c r="L1197" s="22">
        <f>IF(OR(J1197="",K1197=""),"",J1197*K1197)</f>
        <v/>
      </c>
      <c r="M1197" s="19" t="n"/>
      <c r="N1197" s="20" t="n"/>
      <c r="O1197" s="20" t="n"/>
    </row>
    <row r="1198">
      <c r="A1198" s="16" t="n">
        <v>1195</v>
      </c>
      <c r="B1198" s="16" t="inlineStr">
        <is>
          <t>2.3.11.42.2</t>
        </is>
      </c>
      <c r="C1198" s="18" t="inlineStr">
        <is>
          <t>Part 2 – Technical Systems</t>
        </is>
      </c>
      <c r="D1198" s="18" t="inlineStr">
        <is>
          <t>2.3 INCIDENT AND RESOURCE MANAGEMENT SYSTEM (IRMS)</t>
        </is>
      </c>
      <c r="E1198" s="18" t="inlineStr">
        <is>
          <t>2.3.11 DISPATCHING</t>
        </is>
      </c>
      <c r="F1198" s="18" t="inlineStr">
        <is>
          <t>Unit types and unit equipment capability.</t>
        </is>
      </c>
      <c r="G1198" s="19" t="n"/>
      <c r="H1198" s="20" t="n"/>
      <c r="I1198" s="20" t="n"/>
      <c r="J1198" s="19" t="n"/>
      <c r="K1198" s="21" t="n"/>
      <c r="L1198" s="22">
        <f>IF(OR(J1198="",K1198=""),"",J1198*K1198)</f>
        <v/>
      </c>
      <c r="M1198" s="19" t="n"/>
      <c r="N1198" s="20" t="n"/>
      <c r="O1198" s="20" t="n"/>
    </row>
    <row r="1199">
      <c r="A1199" s="23" t="n">
        <v>1196</v>
      </c>
      <c r="B1199" s="23" t="inlineStr">
        <is>
          <t>2.3.11.42.3</t>
        </is>
      </c>
      <c r="C1199" s="25" t="inlineStr">
        <is>
          <t>Part 2 – Technical Systems</t>
        </is>
      </c>
      <c r="D1199" s="25" t="inlineStr">
        <is>
          <t>2.3 INCIDENT AND RESOURCE MANAGEMENT SYSTEM (IRMS)</t>
        </is>
      </c>
      <c r="E1199" s="25" t="inlineStr">
        <is>
          <t>2.3.11 DISPATCHING</t>
        </is>
      </c>
      <c r="F1199" s="25" t="inlineStr">
        <is>
          <t>Incident type to determine the type and number of units to recommend.</t>
        </is>
      </c>
      <c r="G1199" s="19" t="n"/>
      <c r="H1199" s="20" t="n"/>
      <c r="I1199" s="20" t="n"/>
      <c r="J1199" s="19" t="n"/>
      <c r="K1199" s="21" t="n"/>
      <c r="L1199" s="22">
        <f>IF(OR(J1199="",K1199=""),"",J1199*K1199)</f>
        <v/>
      </c>
      <c r="M1199" s="19" t="n"/>
      <c r="N1199" s="20" t="n"/>
      <c r="O1199" s="20" t="n"/>
    </row>
    <row r="1200">
      <c r="A1200" s="16" t="n">
        <v>1197</v>
      </c>
      <c r="B1200" s="16" t="inlineStr">
        <is>
          <t>2.3.11.42.4</t>
        </is>
      </c>
      <c r="C1200" s="18" t="inlineStr">
        <is>
          <t>Part 2 – Technical Systems</t>
        </is>
      </c>
      <c r="D1200" s="18" t="inlineStr">
        <is>
          <t>2.3 INCIDENT AND RESOURCE MANAGEMENT SYSTEM (IRMS)</t>
        </is>
      </c>
      <c r="E1200" s="18" t="inlineStr">
        <is>
          <t>2.3.11 DISPATCHING</t>
        </is>
      </c>
      <c r="F1200" s="18" t="inlineStr">
        <is>
          <t>Incident geographic location.</t>
        </is>
      </c>
      <c r="G1200" s="19" t="n"/>
      <c r="H1200" s="20" t="n"/>
      <c r="I1200" s="20" t="n"/>
      <c r="J1200" s="19" t="n"/>
      <c r="K1200" s="21" t="n"/>
      <c r="L1200" s="22">
        <f>IF(OR(J1200="",K1200=""),"",J1200*K1200)</f>
        <v/>
      </c>
      <c r="M1200" s="19" t="n"/>
      <c r="N1200" s="20" t="n"/>
      <c r="O1200" s="20" t="n"/>
    </row>
    <row r="1201">
      <c r="A1201" s="23" t="n">
        <v>1198</v>
      </c>
      <c r="B1201" s="23" t="inlineStr">
        <is>
          <t>2.3.11.42.5</t>
        </is>
      </c>
      <c r="C1201" s="25" t="inlineStr">
        <is>
          <t>Part 2 – Technical Systems</t>
        </is>
      </c>
      <c r="D1201" s="25" t="inlineStr">
        <is>
          <t>2.3 INCIDENT AND RESOURCE MANAGEMENT SYSTEM (IRMS)</t>
        </is>
      </c>
      <c r="E1201" s="25" t="inlineStr">
        <is>
          <t>2.3.11 DISPATCHING</t>
        </is>
      </c>
      <c r="F1201" s="25" t="inlineStr">
        <is>
          <t>The IRMS shall allow the dispatch of different types of resources for the same incident type when the incidents are located in different geographic sub-areas (i.e., geographically sensitive dispatch policies).</t>
        </is>
      </c>
      <c r="G1201" s="19" t="n"/>
      <c r="H1201" s="20" t="n"/>
      <c r="I1201" s="20" t="n"/>
      <c r="J1201" s="19" t="n"/>
      <c r="K1201" s="21" t="n"/>
      <c r="L1201" s="22">
        <f>IF(OR(J1201="",K1201=""),"",J1201*K1201)</f>
        <v/>
      </c>
      <c r="M1201" s="19" t="n"/>
      <c r="N1201" s="20" t="n"/>
      <c r="O1201" s="20" t="n"/>
    </row>
    <row r="1202">
      <c r="A1202" s="16" t="n">
        <v>1199</v>
      </c>
      <c r="B1202" s="16" t="inlineStr">
        <is>
          <t>2.3.11.42.6</t>
        </is>
      </c>
      <c r="C1202" s="18" t="inlineStr">
        <is>
          <t>Part 2 – Technical Systems</t>
        </is>
      </c>
      <c r="D1202" s="18" t="inlineStr">
        <is>
          <t>2.3 INCIDENT AND RESOURCE MANAGEMENT SYSTEM (IRMS)</t>
        </is>
      </c>
      <c r="E1202" s="18" t="inlineStr">
        <is>
          <t>2.3.11 DISPATCHING</t>
        </is>
      </c>
      <c r="F1202" s="18" t="inlineStr">
        <is>
          <t>Real-time unit status to determine unit availability.</t>
        </is>
      </c>
      <c r="G1202" s="19" t="n"/>
      <c r="H1202" s="20" t="n"/>
      <c r="I1202" s="20" t="n"/>
      <c r="J1202" s="19" t="n"/>
      <c r="K1202" s="21" t="n"/>
      <c r="L1202" s="22">
        <f>IF(OR(J1202="",K1202=""),"",J1202*K1202)</f>
        <v/>
      </c>
      <c r="M1202" s="19" t="n"/>
      <c r="N1202" s="20" t="n"/>
      <c r="O1202" s="20" t="n"/>
    </row>
    <row r="1203">
      <c r="A1203" s="23" t="n">
        <v>1200</v>
      </c>
      <c r="B1203" s="23" t="inlineStr">
        <is>
          <t>2.3.11.42.7</t>
        </is>
      </c>
      <c r="C1203" s="25" t="inlineStr">
        <is>
          <t>Part 2 – Technical Systems</t>
        </is>
      </c>
      <c r="D1203" s="25" t="inlineStr">
        <is>
          <t>2.3 INCIDENT AND RESOURCE MANAGEMENT SYSTEM (IRMS)</t>
        </is>
      </c>
      <c r="E1203" s="25" t="inlineStr">
        <is>
          <t>2.3.11 DISPATCHING</t>
        </is>
      </c>
      <c r="F1203" s="25" t="inlineStr">
        <is>
          <t>Unit recommendations shall correspond to the current, real-time status of all resources.</t>
        </is>
      </c>
      <c r="G1203" s="19" t="n"/>
      <c r="H1203" s="20" t="n"/>
      <c r="I1203" s="20" t="n"/>
      <c r="J1203" s="19" t="n"/>
      <c r="K1203" s="21" t="n"/>
      <c r="L1203" s="22">
        <f>IF(OR(J1203="",K1203=""),"",J1203*K1203)</f>
        <v/>
      </c>
      <c r="M1203" s="19" t="n"/>
      <c r="N1203" s="20" t="n"/>
      <c r="O1203" s="20" t="n"/>
    </row>
    <row r="1204">
      <c r="A1204" s="16" t="n">
        <v>1201</v>
      </c>
      <c r="B1204" s="16" t="inlineStr">
        <is>
          <t>2.3.11.42.8</t>
        </is>
      </c>
      <c r="C1204" s="18" t="inlineStr">
        <is>
          <t>Part 2 – Technical Systems</t>
        </is>
      </c>
      <c r="D1204" s="18" t="inlineStr">
        <is>
          <t>2.3 INCIDENT AND RESOURCE MANAGEMENT SYSTEM (IRMS)</t>
        </is>
      </c>
      <c r="E1204" s="18" t="inlineStr">
        <is>
          <t>2.3.11 DISPATCHING</t>
        </is>
      </c>
      <c r="F1204" s="18" t="inlineStr">
        <is>
          <t>The IRMS shall never recommend a unit that is on another assignment or otherwise unavailable for dispatch.</t>
        </is>
      </c>
      <c r="G1204" s="19" t="n"/>
      <c r="H1204" s="20" t="n"/>
      <c r="I1204" s="20" t="n"/>
      <c r="J1204" s="19" t="n"/>
      <c r="K1204" s="21" t="n"/>
      <c r="L1204" s="22">
        <f>IF(OR(J1204="",K1204=""),"",J1204*K1204)</f>
        <v/>
      </c>
      <c r="M1204" s="19" t="n"/>
      <c r="N1204" s="20" t="n"/>
      <c r="O1204" s="20" t="n"/>
    </row>
    <row r="1205">
      <c r="A1205" s="23" t="n">
        <v>1202</v>
      </c>
      <c r="B1205" s="23" t="inlineStr">
        <is>
          <t>2.3.11.42.9</t>
        </is>
      </c>
      <c r="C1205" s="25" t="inlineStr">
        <is>
          <t>Part 2 – Technical Systems</t>
        </is>
      </c>
      <c r="D1205" s="25" t="inlineStr">
        <is>
          <t>2.3 INCIDENT AND RESOURCE MANAGEMENT SYSTEM (IRMS)</t>
        </is>
      </c>
      <c r="E1205" s="25" t="inlineStr">
        <is>
          <t>2.3.11 DISPATCHING</t>
        </is>
      </c>
      <c r="F1205" s="25" t="inlineStr">
        <is>
          <t>The IRMS shall facilitate the definition and recommendation of second, third, etc., level units in the event primary recommended response unit is in an unavailable status.</t>
        </is>
      </c>
      <c r="G1205" s="19" t="n"/>
      <c r="H1205" s="20" t="n"/>
      <c r="I1205" s="20" t="n"/>
      <c r="J1205" s="19" t="n"/>
      <c r="K1205" s="21" t="n"/>
      <c r="L1205" s="22">
        <f>IF(OR(J1205="",K1205=""),"",J1205*K1205)</f>
        <v/>
      </c>
      <c r="M1205" s="19" t="n"/>
      <c r="N1205" s="20" t="n"/>
      <c r="O1205" s="20" t="n"/>
    </row>
    <row r="1206">
      <c r="A1206" s="16" t="n">
        <v>1203</v>
      </c>
      <c r="B1206" s="16" t="inlineStr">
        <is>
          <t>2.3.11.42.10</t>
        </is>
      </c>
      <c r="C1206" s="18" t="inlineStr">
        <is>
          <t>Part 2 – Technical Systems</t>
        </is>
      </c>
      <c r="D1206" s="18" t="inlineStr">
        <is>
          <t>2.3 INCIDENT AND RESOURCE MANAGEMENT SYSTEM (IRMS)</t>
        </is>
      </c>
      <c r="E1206" s="18" t="inlineStr">
        <is>
          <t>2.3.11 DISPATCHING</t>
        </is>
      </c>
      <c r="F1206" s="18" t="inlineStr">
        <is>
          <t>Flexible patrol district plans and the currently active patrol district plan. The IRMS shall support multiple patrol district plans. The BIDDER shall indicate how many different plans may be entered by the user agency.</t>
        </is>
      </c>
      <c r="G1206" s="19" t="n"/>
      <c r="H1206" s="20" t="n"/>
      <c r="I1206" s="20" t="n"/>
      <c r="J1206" s="19" t="n"/>
      <c r="K1206" s="21" t="n"/>
      <c r="L1206" s="22">
        <f>IF(OR(J1206="",K1206=""),"",J1206*K1206)</f>
        <v/>
      </c>
      <c r="M1206" s="19" t="n"/>
      <c r="N1206" s="20" t="n"/>
      <c r="O1206" s="20" t="n"/>
    </row>
    <row r="1207">
      <c r="A1207" s="23" t="n">
        <v>1204</v>
      </c>
      <c r="B1207" s="23" t="inlineStr">
        <is>
          <t>2.3.11.42.11</t>
        </is>
      </c>
      <c r="C1207" s="25" t="inlineStr">
        <is>
          <t>Part 2 – Technical Systems</t>
        </is>
      </c>
      <c r="D1207" s="25" t="inlineStr">
        <is>
          <t>2.3 INCIDENT AND RESOURCE MANAGEMENT SYSTEM (IRMS)</t>
        </is>
      </c>
      <c r="E1207" s="25" t="inlineStr">
        <is>
          <t>2.3.11 DISPATCHING</t>
        </is>
      </c>
      <c r="F1207" s="25" t="inlineStr">
        <is>
          <t>The IRMS shall provide the Dispatcher with ability to override patrol district assignments on a temporary basis.</t>
        </is>
      </c>
      <c r="G1207" s="19" t="n"/>
      <c r="H1207" s="20" t="n"/>
      <c r="I1207" s="20" t="n"/>
      <c r="J1207" s="19" t="n"/>
      <c r="K1207" s="21" t="n"/>
      <c r="L1207" s="22">
        <f>IF(OR(J1207="",K1207=""),"",J1207*K1207)</f>
        <v/>
      </c>
      <c r="M1207" s="19" t="n"/>
      <c r="N1207" s="20" t="n"/>
      <c r="O1207" s="20" t="n"/>
    </row>
    <row r="1208">
      <c r="A1208" s="16" t="n">
        <v>1205</v>
      </c>
      <c r="B1208" s="16" t="inlineStr">
        <is>
          <t>2.3.11.42.12</t>
        </is>
      </c>
      <c r="C1208" s="18" t="inlineStr">
        <is>
          <t>Part 2 – Technical Systems</t>
        </is>
      </c>
      <c r="D1208" s="18" t="inlineStr">
        <is>
          <t>2.3 INCIDENT AND RESOURCE MANAGEMENT SYSTEM (IRMS)</t>
        </is>
      </c>
      <c r="E1208" s="18" t="inlineStr">
        <is>
          <t>2.3.11 DISPATCHING</t>
        </is>
      </c>
      <c r="F1208" s="18" t="inlineStr">
        <is>
          <t>The IRMS shall support increasing the normal response based on “locations”.</t>
        </is>
      </c>
      <c r="G1208" s="19" t="n"/>
      <c r="H1208" s="20" t="n"/>
      <c r="I1208" s="20" t="n"/>
      <c r="J1208" s="19" t="n"/>
      <c r="K1208" s="21" t="n"/>
      <c r="L1208" s="22">
        <f>IF(OR(J1208="",K1208=""),"",J1208*K1208)</f>
        <v/>
      </c>
      <c r="M1208" s="19" t="n"/>
      <c r="N1208" s="20" t="n"/>
      <c r="O1208" s="20" t="n"/>
    </row>
    <row r="1209">
      <c r="A1209" s="23" t="n">
        <v>1206</v>
      </c>
      <c r="B1209" s="23" t="inlineStr">
        <is>
          <t>2.3.11.42.13</t>
        </is>
      </c>
      <c r="C1209" s="25" t="inlineStr">
        <is>
          <t>Part 2 – Technical Systems</t>
        </is>
      </c>
      <c r="D1209" s="25" t="inlineStr">
        <is>
          <t>2.3 INCIDENT AND RESOURCE MANAGEMENT SYSTEM (IRMS)</t>
        </is>
      </c>
      <c r="E1209" s="25" t="inlineStr">
        <is>
          <t>2.3.11 DISPATCHING</t>
        </is>
      </c>
      <c r="F1209" s="25" t="inlineStr">
        <is>
          <t>The IRMS shall be able to dispatch the nearest appropriate unit based on its actual location from vehicles equipped with Automatic Vehicle Location (AVL) capabilities.</t>
        </is>
      </c>
      <c r="G1209" s="19" t="n"/>
      <c r="H1209" s="20" t="n"/>
      <c r="I1209" s="20" t="n"/>
      <c r="J1209" s="19" t="n"/>
      <c r="K1209" s="21" t="n"/>
      <c r="L1209" s="22">
        <f>IF(OR(J1209="",K1209=""),"",J1209*K1209)</f>
        <v/>
      </c>
      <c r="M1209" s="19" t="n"/>
      <c r="N1209" s="20" t="n"/>
      <c r="O1209" s="20" t="n"/>
    </row>
    <row r="1210">
      <c r="A1210" s="16" t="n">
        <v>1207</v>
      </c>
      <c r="B1210" s="16" t="inlineStr">
        <is>
          <t>2.3.11.42.14</t>
        </is>
      </c>
      <c r="C1210" s="18" t="inlineStr">
        <is>
          <t>Part 2 – Technical Systems</t>
        </is>
      </c>
      <c r="D1210" s="18" t="inlineStr">
        <is>
          <t>2.3 INCIDENT AND RESOURCE MANAGEMENT SYSTEM (IRMS)</t>
        </is>
      </c>
      <c r="E1210" s="18" t="inlineStr">
        <is>
          <t>2.3.11 DISPATCHING</t>
        </is>
      </c>
      <c r="F1210" s="18" t="inlineStr">
        <is>
          <t>The IRMS shall have the capability to accept the system- provided unit recommendations with a single keystroke or action of a point and click device, or override the recommended units and replace them with one or more other units.</t>
        </is>
      </c>
      <c r="G1210" s="19" t="n"/>
      <c r="H1210" s="20" t="n"/>
      <c r="I1210" s="20" t="n"/>
      <c r="J1210" s="19" t="n"/>
      <c r="K1210" s="21" t="n"/>
      <c r="L1210" s="22">
        <f>IF(OR(J1210="",K1210=""),"",J1210*K1210)</f>
        <v/>
      </c>
      <c r="M1210" s="19" t="n"/>
      <c r="N1210" s="20" t="n"/>
      <c r="O1210" s="20" t="n"/>
    </row>
    <row r="1211">
      <c r="A1211" s="23" t="n">
        <v>1208</v>
      </c>
      <c r="B1211" s="23" t="inlineStr">
        <is>
          <t>2.3.11.42.15</t>
        </is>
      </c>
      <c r="C1211" s="25" t="inlineStr">
        <is>
          <t>Part 2 – Technical Systems</t>
        </is>
      </c>
      <c r="D1211" s="25" t="inlineStr">
        <is>
          <t>2.3 INCIDENT AND RESOURCE MANAGEMENT SYSTEM (IRMS)</t>
        </is>
      </c>
      <c r="E1211" s="25" t="inlineStr">
        <is>
          <t>2.3.11 DISPATCHING</t>
        </is>
      </c>
      <c r="F1211" s="25" t="inlineStr">
        <is>
          <t>The dispatcher shall have the capability to select a unit that is on a lower priority incident and reassign to a higher priority incident.</t>
        </is>
      </c>
      <c r="G1211" s="19" t="n"/>
      <c r="H1211" s="20" t="n"/>
      <c r="I1211" s="20" t="n"/>
      <c r="J1211" s="19" t="n"/>
      <c r="K1211" s="21" t="n"/>
      <c r="L1211" s="22">
        <f>IF(OR(J1211="",K1211=""),"",J1211*K1211)</f>
        <v/>
      </c>
      <c r="M1211" s="19" t="n"/>
      <c r="N1211" s="20" t="n"/>
      <c r="O1211" s="20" t="n"/>
    </row>
    <row r="1212">
      <c r="A1212" s="16" t="n">
        <v>1209</v>
      </c>
      <c r="B1212" s="16" t="inlineStr">
        <is>
          <t>2.3.11.42.16</t>
        </is>
      </c>
      <c r="C1212" s="18" t="inlineStr">
        <is>
          <t>Part 2 – Technical Systems</t>
        </is>
      </c>
      <c r="D1212" s="18" t="inlineStr">
        <is>
          <t>2.3 INCIDENT AND RESOURCE MANAGEMENT SYSTEM (IRMS)</t>
        </is>
      </c>
      <c r="E1212" s="18" t="inlineStr">
        <is>
          <t>2.3.11 DISPATCHING</t>
        </is>
      </c>
      <c r="F1212" s="18" t="inlineStr">
        <is>
          <t>A single keystroke shall remove the unit from the previous incident and assign it to the new incident.</t>
        </is>
      </c>
      <c r="G1212" s="19" t="n"/>
      <c r="H1212" s="20" t="n"/>
      <c r="I1212" s="20" t="n"/>
      <c r="J1212" s="19" t="n"/>
      <c r="K1212" s="21" t="n"/>
      <c r="L1212" s="22">
        <f>IF(OR(J1212="",K1212=""),"",J1212*K1212)</f>
        <v/>
      </c>
      <c r="M1212" s="19" t="n"/>
      <c r="N1212" s="20" t="n"/>
      <c r="O1212" s="20" t="n"/>
    </row>
    <row r="1213">
      <c r="A1213" s="23" t="n">
        <v>1210</v>
      </c>
      <c r="B1213" s="23" t="inlineStr">
        <is>
          <t>2.3.11.42.17</t>
        </is>
      </c>
      <c r="C1213" s="25" t="inlineStr">
        <is>
          <t>Part 2 – Technical Systems</t>
        </is>
      </c>
      <c r="D1213" s="25" t="inlineStr">
        <is>
          <t>2.3 INCIDENT AND RESOURCE MANAGEMENT SYSTEM (IRMS)</t>
        </is>
      </c>
      <c r="E1213" s="25" t="inlineStr">
        <is>
          <t>2.3.11 DISPATCHING</t>
        </is>
      </c>
      <c r="F1213" s="25" t="inlineStr">
        <is>
          <t>If a unit is the only unit or the last unit assigned to an incident, the incident shall be automatically placed in the pending incident queue and either held (stacked) for that unit or available for the dispatch of another unit.</t>
        </is>
      </c>
      <c r="G1213" s="19" t="n"/>
      <c r="H1213" s="20" t="n"/>
      <c r="I1213" s="20" t="n"/>
      <c r="J1213" s="19" t="n"/>
      <c r="K1213" s="21" t="n"/>
      <c r="L1213" s="22">
        <f>IF(OR(J1213="",K1213=""),"",J1213*K1213)</f>
        <v/>
      </c>
      <c r="M1213" s="19" t="n"/>
      <c r="N1213" s="20" t="n"/>
      <c r="O1213" s="20" t="n"/>
    </row>
    <row r="1214">
      <c r="A1214" s="16" t="n">
        <v>1211</v>
      </c>
      <c r="B1214" s="16" t="inlineStr">
        <is>
          <t>2.3.11.42.18</t>
        </is>
      </c>
      <c r="C1214" s="18" t="inlineStr">
        <is>
          <t>Part 2 – Technical Systems</t>
        </is>
      </c>
      <c r="D1214" s="18" t="inlineStr">
        <is>
          <t>2.3 INCIDENT AND RESOURCE MANAGEMENT SYSTEM (IRMS)</t>
        </is>
      </c>
      <c r="E1214" s="18" t="inlineStr">
        <is>
          <t>2.3.11 DISPATCHING</t>
        </is>
      </c>
      <c r="F1214" s="18" t="inlineStr">
        <is>
          <t>When the unit clears the incident to which it was assigned, the unit shall be recommended to the incident from which it was pre-empted, if incident is still pending.</t>
        </is>
      </c>
      <c r="G1214" s="19" t="n"/>
      <c r="H1214" s="20" t="n"/>
      <c r="I1214" s="20" t="n"/>
      <c r="J1214" s="19" t="n"/>
      <c r="K1214" s="21" t="n"/>
      <c r="L1214" s="22">
        <f>IF(OR(J1214="",K1214=""),"",J1214*K1214)</f>
        <v/>
      </c>
      <c r="M1214" s="19" t="n"/>
      <c r="N1214" s="20" t="n"/>
      <c r="O1214" s="20" t="n"/>
    </row>
    <row r="1215">
      <c r="A1215" s="23" t="n">
        <v>1212</v>
      </c>
      <c r="B1215" s="23" t="inlineStr">
        <is>
          <t>2.3.11.42.19</t>
        </is>
      </c>
      <c r="C1215" s="25" t="inlineStr">
        <is>
          <t>Part 2 – Technical Systems</t>
        </is>
      </c>
      <c r="D1215" s="25" t="inlineStr">
        <is>
          <t>2.3 INCIDENT AND RESOURCE MANAGEMENT SYSTEM (IRMS)</t>
        </is>
      </c>
      <c r="E1215" s="25" t="inlineStr">
        <is>
          <t>2.3.11 DISPATCHING</t>
        </is>
      </c>
      <c r="F1215" s="25" t="inlineStr">
        <is>
          <t>If a different unit is assigned to the incident in the pending queue, the incident shall no longer be stacked (held) for the original unit and the system shall not automatically recommend it when the unit becomes available again for dispatch.</t>
        </is>
      </c>
      <c r="G1215" s="19" t="n"/>
      <c r="H1215" s="20" t="n"/>
      <c r="I1215" s="20" t="n"/>
      <c r="J1215" s="19" t="n"/>
      <c r="K1215" s="21" t="n"/>
      <c r="L1215" s="22">
        <f>IF(OR(J1215="",K1215=""),"",J1215*K1215)</f>
        <v/>
      </c>
      <c r="M1215" s="19" t="n"/>
      <c r="N1215" s="20" t="n"/>
      <c r="O1215" s="20" t="n"/>
    </row>
    <row r="1216">
      <c r="A1216" s="16" t="n">
        <v>1213</v>
      </c>
      <c r="B1216" s="16" t="inlineStr">
        <is>
          <t>2.3.11.42.20</t>
        </is>
      </c>
      <c r="C1216" s="18" t="inlineStr">
        <is>
          <t>Part 2 – Technical Systems</t>
        </is>
      </c>
      <c r="D1216" s="18" t="inlineStr">
        <is>
          <t>2.3 INCIDENT AND RESOURCE MANAGEMENT SYSTEM (IRMS)</t>
        </is>
      </c>
      <c r="E1216" s="18" t="inlineStr">
        <is>
          <t>2.3.11 DISPATCHING</t>
        </is>
      </c>
      <c r="F1216" s="18" t="inlineStr">
        <is>
          <t>All times associated with assignment and re-assignment shall be kept in the incident history file.</t>
        </is>
      </c>
      <c r="G1216" s="19" t="n"/>
      <c r="H1216" s="20" t="n"/>
      <c r="I1216" s="20" t="n"/>
      <c r="J1216" s="19" t="n"/>
      <c r="K1216" s="21" t="n"/>
      <c r="L1216" s="22">
        <f>IF(OR(J1216="",K1216=""),"",J1216*K1216)</f>
        <v/>
      </c>
      <c r="M1216" s="19" t="n"/>
      <c r="N1216" s="20" t="n"/>
      <c r="O1216" s="20" t="n"/>
    </row>
    <row r="1217">
      <c r="A1217" s="23" t="n">
        <v>1214</v>
      </c>
      <c r="B1217" s="23" t="inlineStr">
        <is>
          <t>2.3.11.42.21</t>
        </is>
      </c>
      <c r="C1217" s="25" t="inlineStr">
        <is>
          <t>Part 2 – Technical Systems</t>
        </is>
      </c>
      <c r="D1217" s="25" t="inlineStr">
        <is>
          <t>2.3 INCIDENT AND RESOURCE MANAGEMENT SYSTEM (IRMS)</t>
        </is>
      </c>
      <c r="E1217" s="25" t="inlineStr">
        <is>
          <t>2.3.11 DISPATCHING</t>
        </is>
      </c>
      <c r="F1217" s="25" t="inlineStr">
        <is>
          <t>The dispatcher shall have the ability to change the primary unit at the time of dispatch or at any time during the handling of the incident.</t>
        </is>
      </c>
      <c r="G1217" s="19" t="n"/>
      <c r="H1217" s="20" t="n"/>
      <c r="I1217" s="20" t="n"/>
      <c r="J1217" s="19" t="n"/>
      <c r="K1217" s="21" t="n"/>
      <c r="L1217" s="22">
        <f>IF(OR(J1217="",K1217=""),"",J1217*K1217)</f>
        <v/>
      </c>
      <c r="M1217" s="19" t="n"/>
      <c r="N1217" s="20" t="n"/>
      <c r="O1217" s="20" t="n"/>
    </row>
    <row r="1218">
      <c r="A1218" s="16" t="n">
        <v>1215</v>
      </c>
      <c r="B1218" s="16" t="inlineStr">
        <is>
          <t>2.3.11.42.22</t>
        </is>
      </c>
      <c r="C1218" s="18" t="inlineStr">
        <is>
          <t>Part 2 – Technical Systems</t>
        </is>
      </c>
      <c r="D1218" s="18" t="inlineStr">
        <is>
          <t>2.3 INCIDENT AND RESOURCE MANAGEMENT SYSTEM (IRMS)</t>
        </is>
      </c>
      <c r="E1218" s="18" t="inlineStr">
        <is>
          <t>2.3.11 DISPATCHING</t>
        </is>
      </c>
      <c r="F1218" s="18" t="inlineStr">
        <is>
          <t>The IRMS shall provide the ability to stack, or assign low priority incidents to a busy unit. These incidents shall be time stamped, and displayed in the pending incident display with an indication that the incident has been stacked to a unit.</t>
        </is>
      </c>
      <c r="G1218" s="19" t="n"/>
      <c r="H1218" s="20" t="n"/>
      <c r="I1218" s="20" t="n"/>
      <c r="J1218" s="19" t="n"/>
      <c r="K1218" s="21" t="n"/>
      <c r="L1218" s="22">
        <f>IF(OR(J1218="",K1218=""),"",J1218*K1218)</f>
        <v/>
      </c>
      <c r="M1218" s="19" t="n"/>
      <c r="N1218" s="20" t="n"/>
      <c r="O1218" s="20" t="n"/>
    </row>
    <row r="1219">
      <c r="A1219" s="23" t="n">
        <v>1216</v>
      </c>
      <c r="B1219" s="23" t="inlineStr">
        <is>
          <t>2.3.11.42.23</t>
        </is>
      </c>
      <c r="C1219" s="25" t="inlineStr">
        <is>
          <t>Part 2 – Technical Systems</t>
        </is>
      </c>
      <c r="D1219" s="25" t="inlineStr">
        <is>
          <t>2.3 INCIDENT AND RESOURCE MANAGEMENT SYSTEM (IRMS)</t>
        </is>
      </c>
      <c r="E1219" s="25" t="inlineStr">
        <is>
          <t>2.3.11 DISPATCHING</t>
        </is>
      </c>
      <c r="F1219" s="25" t="inlineStr">
        <is>
          <t>When a unit clears from one incident, the IRMS shall provide an indication that the unit is now available.</t>
        </is>
      </c>
      <c r="G1219" s="19" t="n"/>
      <c r="H1219" s="20" t="n"/>
      <c r="I1219" s="20" t="n"/>
      <c r="J1219" s="19" t="n"/>
      <c r="K1219" s="21" t="n"/>
      <c r="L1219" s="22">
        <f>IF(OR(J1219="",K1219=""),"",J1219*K1219)</f>
        <v/>
      </c>
      <c r="M1219" s="19" t="n"/>
      <c r="N1219" s="20" t="n"/>
      <c r="O1219" s="20" t="n"/>
    </row>
    <row r="1220">
      <c r="A1220" s="16" t="n">
        <v>1217</v>
      </c>
      <c r="B1220" s="16" t="inlineStr">
        <is>
          <t>2.3.11.42.24</t>
        </is>
      </c>
      <c r="C1220" s="18" t="inlineStr">
        <is>
          <t>Part 2 – Technical Systems</t>
        </is>
      </c>
      <c r="D1220" s="18" t="inlineStr">
        <is>
          <t>2.3 INCIDENT AND RESOURCE MANAGEMENT SYSTEM (IRMS)</t>
        </is>
      </c>
      <c r="E1220" s="18" t="inlineStr">
        <is>
          <t>2.3.11 DISPATCHING</t>
        </is>
      </c>
      <c r="F1220" s="18" t="inlineStr">
        <is>
          <t>The IRMS shall time stamp when the unit is en route to the new incident.</t>
        </is>
      </c>
      <c r="G1220" s="19" t="n"/>
      <c r="H1220" s="20" t="n"/>
      <c r="I1220" s="20" t="n"/>
      <c r="J1220" s="19" t="n"/>
      <c r="K1220" s="21" t="n"/>
      <c r="L1220" s="22">
        <f>IF(OR(J1220="",K1220=""),"",J1220*K1220)</f>
        <v/>
      </c>
      <c r="M1220" s="19" t="n"/>
      <c r="N1220" s="20" t="n"/>
      <c r="O1220" s="20" t="n"/>
    </row>
    <row r="1221">
      <c r="A1221" s="23" t="n">
        <v>1218</v>
      </c>
      <c r="B1221" s="23" t="inlineStr">
        <is>
          <t>2.3.11.42.25</t>
        </is>
      </c>
      <c r="C1221" s="25" t="inlineStr">
        <is>
          <t>Part 2 – Technical Systems</t>
        </is>
      </c>
      <c r="D1221" s="25" t="inlineStr">
        <is>
          <t>2.3 INCIDENT AND RESOURCE MANAGEMENT SYSTEM (IRMS)</t>
        </is>
      </c>
      <c r="E1221" s="25" t="inlineStr">
        <is>
          <t>2.3.11 DISPATCHING</t>
        </is>
      </c>
      <c r="F1221" s="25" t="inlineStr">
        <is>
          <t>Upon acceptance of a unit dispatch recommendation or input of a dispatcher's own unit recommendation, the applications software shall automatically and dynamically update the status of all affected units throughout the IRMS and the updated status shall be shown at all IRMS operators.</t>
        </is>
      </c>
      <c r="G1221" s="19" t="n"/>
      <c r="H1221" s="20" t="n"/>
      <c r="I1221" s="20" t="n"/>
      <c r="J1221" s="19" t="n"/>
      <c r="K1221" s="21" t="n"/>
      <c r="L1221" s="22">
        <f>IF(OR(J1221="",K1221=""),"",J1221*K1221)</f>
        <v/>
      </c>
      <c r="M1221" s="19" t="n"/>
      <c r="N1221" s="20" t="n"/>
      <c r="O1221" s="20" t="n"/>
    </row>
    <row r="1222">
      <c r="A1222" s="16" t="n">
        <v>1219</v>
      </c>
      <c r="B1222" s="16" t="inlineStr">
        <is>
          <t>2.3.11.42.26</t>
        </is>
      </c>
      <c r="C1222" s="18" t="inlineStr">
        <is>
          <t>Part 2 – Technical Systems</t>
        </is>
      </c>
      <c r="D1222" s="18" t="inlineStr">
        <is>
          <t>2.3 INCIDENT AND RESOURCE MANAGEMENT SYSTEM (IRMS)</t>
        </is>
      </c>
      <c r="E1222" s="18" t="inlineStr">
        <is>
          <t>2.3.11 DISPATCHING</t>
        </is>
      </c>
      <c r="F1222" s="18" t="inlineStr">
        <is>
          <t>The IRMS shall provide the ability to automatically transmit "pre-defined" messages to MOI authorized field application and/or SMS, based on the type of incident.</t>
        </is>
      </c>
      <c r="G1222" s="19" t="n"/>
      <c r="H1222" s="20" t="n"/>
      <c r="I1222" s="20" t="n"/>
      <c r="J1222" s="19" t="n"/>
      <c r="K1222" s="21" t="n"/>
      <c r="L1222" s="22">
        <f>IF(OR(J1222="",K1222=""),"",J1222*K1222)</f>
        <v/>
      </c>
      <c r="M1222" s="19" t="n"/>
      <c r="N1222" s="20" t="n"/>
      <c r="O1222" s="20" t="n"/>
    </row>
    <row r="1223">
      <c r="A1223" s="23" t="n">
        <v>1220</v>
      </c>
      <c r="B1223" s="23" t="inlineStr">
        <is>
          <t>2.3.11.42.27</t>
        </is>
      </c>
      <c r="C1223" s="25" t="inlineStr">
        <is>
          <t>Part 2 – Technical Systems</t>
        </is>
      </c>
      <c r="D1223" s="25" t="inlineStr">
        <is>
          <t>2.3 INCIDENT AND RESOURCE MANAGEMENT SYSTEM (IRMS)</t>
        </is>
      </c>
      <c r="E1223" s="25" t="inlineStr">
        <is>
          <t>2.3.11 DISPATCHING</t>
        </is>
      </c>
      <c r="F1223" s="25" t="inlineStr">
        <is>
          <t>The IRMS shall have the ability to transmit specific information from the incident to specified users via MOI authorized field application and/or SMS.</t>
        </is>
      </c>
      <c r="G1223" s="19" t="n"/>
      <c r="H1223" s="20" t="n"/>
      <c r="I1223" s="20" t="n"/>
      <c r="J1223" s="19" t="n"/>
      <c r="K1223" s="21" t="n"/>
      <c r="L1223" s="22">
        <f>IF(OR(J1223="",K1223=""),"",J1223*K1223)</f>
        <v/>
      </c>
      <c r="M1223" s="19" t="n"/>
      <c r="N1223" s="20" t="n"/>
      <c r="O1223" s="20" t="n"/>
    </row>
    <row r="1224">
      <c r="A1224" s="16" t="n">
        <v>1221</v>
      </c>
      <c r="B1224" s="16" t="inlineStr">
        <is>
          <t>2.3.11.42.28</t>
        </is>
      </c>
      <c r="C1224" s="18" t="inlineStr">
        <is>
          <t>Part 2 – Technical Systems</t>
        </is>
      </c>
      <c r="D1224" s="18" t="inlineStr">
        <is>
          <t>2.3 INCIDENT AND RESOURCE MANAGEMENT SYSTEM (IRMS)</t>
        </is>
      </c>
      <c r="E1224" s="18" t="inlineStr">
        <is>
          <t>2.3.11 DISPATCHING</t>
        </is>
      </c>
      <c r="F1224" s="18" t="inlineStr">
        <is>
          <t>The IRMS shall provide the use of drag-and-drop functionality for dispatching units and for performing status changes.</t>
        </is>
      </c>
      <c r="G1224" s="19" t="n"/>
      <c r="H1224" s="20" t="n"/>
      <c r="I1224" s="20" t="n"/>
      <c r="J1224" s="19" t="n"/>
      <c r="K1224" s="21" t="n"/>
      <c r="L1224" s="22">
        <f>IF(OR(J1224="",K1224=""),"",J1224*K1224)</f>
        <v/>
      </c>
      <c r="M1224" s="19" t="n"/>
      <c r="N1224" s="20" t="n"/>
      <c r="O1224" s="20" t="n"/>
    </row>
    <row r="1225">
      <c r="A1225" s="23" t="n">
        <v>1222</v>
      </c>
      <c r="B1225" s="23" t="inlineStr">
        <is>
          <t>2.3.11.42.29</t>
        </is>
      </c>
      <c r="C1225" s="25" t="inlineStr">
        <is>
          <t>Part 2 – Technical Systems</t>
        </is>
      </c>
      <c r="D1225" s="25" t="inlineStr">
        <is>
          <t>2.3 INCIDENT AND RESOURCE MANAGEMENT SYSTEM (IRMS)</t>
        </is>
      </c>
      <c r="E1225" s="25" t="inlineStr">
        <is>
          <t>2.3.11 DISPATCHING</t>
        </is>
      </c>
      <c r="F1225" s="25" t="inlineStr">
        <is>
          <t>The IRMS shall provide an indication as to whether a Patrol unit is a single or multi-person unit. The unit icon displayed on the map shall indicate this also.</t>
        </is>
      </c>
      <c r="G1225" s="19" t="n"/>
      <c r="H1225" s="20" t="n"/>
      <c r="I1225" s="20" t="n"/>
      <c r="J1225" s="19" t="n"/>
      <c r="K1225" s="21" t="n"/>
      <c r="L1225" s="22">
        <f>IF(OR(J1225="",K1225=""),"",J1225*K1225)</f>
        <v/>
      </c>
      <c r="M1225" s="19" t="n"/>
      <c r="N1225" s="20" t="n"/>
      <c r="O1225" s="20" t="n"/>
    </row>
    <row r="1226">
      <c r="A1226" s="16" t="n">
        <v>1223</v>
      </c>
      <c r="B1226" s="16" t="inlineStr">
        <is>
          <t>2.3.11.42.30</t>
        </is>
      </c>
      <c r="C1226" s="18" t="inlineStr">
        <is>
          <t>Part 2 – Technical Systems</t>
        </is>
      </c>
      <c r="D1226" s="18" t="inlineStr">
        <is>
          <t>2.3 INCIDENT AND RESOURCE MANAGEMENT SYSTEM (IRMS)</t>
        </is>
      </c>
      <c r="E1226" s="18" t="inlineStr">
        <is>
          <t>2.3.11 DISPATCHING</t>
        </is>
      </c>
      <c r="F1226" s="18" t="inlineStr">
        <is>
          <t>The IRMS shall provide unit status timers that will advise the dispatcher if a unit has exceeded the predefined amount of time in a status condition.</t>
        </is>
      </c>
      <c r="G1226" s="19" t="n"/>
      <c r="H1226" s="20" t="n"/>
      <c r="I1226" s="20" t="n"/>
      <c r="J1226" s="19" t="n"/>
      <c r="K1226" s="21" t="n"/>
      <c r="L1226" s="22">
        <f>IF(OR(J1226="",K1226=""),"",J1226*K1226)</f>
        <v/>
      </c>
      <c r="M1226" s="19" t="n"/>
      <c r="N1226" s="20" t="n"/>
      <c r="O1226" s="20" t="n"/>
    </row>
    <row r="1227">
      <c r="A1227" s="23" t="n">
        <v>1224</v>
      </c>
      <c r="B1227" s="23" t="inlineStr">
        <is>
          <t>2.3.11.42.31</t>
        </is>
      </c>
      <c r="C1227" s="25" t="inlineStr">
        <is>
          <t>Part 2 – Technical Systems</t>
        </is>
      </c>
      <c r="D1227" s="25" t="inlineStr">
        <is>
          <t>2.3 INCIDENT AND RESOURCE MANAGEMENT SYSTEM (IRMS)</t>
        </is>
      </c>
      <c r="E1227" s="25" t="inlineStr">
        <is>
          <t>2.3.11 DISPATCHING</t>
        </is>
      </c>
      <c r="F1227" s="25" t="inlineStr">
        <is>
          <t>The time interval for each status timer shall be defined and set by the system administrator. The time of the original assignment shall be maintained as part of the incident record.</t>
        </is>
      </c>
      <c r="G1227" s="19" t="n"/>
      <c r="H1227" s="20" t="n"/>
      <c r="I1227" s="20" t="n"/>
      <c r="J1227" s="19" t="n"/>
      <c r="K1227" s="21" t="n"/>
      <c r="L1227" s="22">
        <f>IF(OR(J1227="",K1227=""),"",J1227*K1227)</f>
        <v/>
      </c>
      <c r="M1227" s="19" t="n"/>
      <c r="N1227" s="20" t="n"/>
      <c r="O1227" s="20" t="n"/>
    </row>
    <row r="1228">
      <c r="A1228" s="16" t="n">
        <v>1225</v>
      </c>
      <c r="B1228" s="16" t="inlineStr">
        <is>
          <t>2.3.11.42.32</t>
        </is>
      </c>
      <c r="C1228" s="18" t="inlineStr">
        <is>
          <t>Part 2 – Technical Systems</t>
        </is>
      </c>
      <c r="D1228" s="18" t="inlineStr">
        <is>
          <t>2.3 INCIDENT AND RESOURCE MANAGEMENT SYSTEM (IRMS)</t>
        </is>
      </c>
      <c r="E1228" s="18" t="inlineStr">
        <is>
          <t>2.3.11 DISPATCHING</t>
        </is>
      </c>
      <c r="F1228" s="18" t="inlineStr">
        <is>
          <t>The application shall provide secondary check-back times which shall be the defined time periods, after the initial check-back, that the IRMS shall continue to prompt the dispatcher to check on a unit's condition.</t>
        </is>
      </c>
      <c r="G1228" s="19" t="n"/>
      <c r="H1228" s="20" t="n"/>
      <c r="I1228" s="20" t="n"/>
      <c r="J1228" s="19" t="n"/>
      <c r="K1228" s="21" t="n"/>
      <c r="L1228" s="22">
        <f>IF(OR(J1228="",K1228=""),"",J1228*K1228)</f>
        <v/>
      </c>
      <c r="M1228" s="19" t="n"/>
      <c r="N1228" s="20" t="n"/>
      <c r="O1228" s="20" t="n"/>
    </row>
    <row r="1229">
      <c r="A1229" s="23" t="n">
        <v>1226</v>
      </c>
      <c r="B1229" s="23" t="inlineStr">
        <is>
          <t>2.3.11.42.33</t>
        </is>
      </c>
      <c r="C1229" s="25" t="inlineStr">
        <is>
          <t>Part 2 – Technical Systems</t>
        </is>
      </c>
      <c r="D1229" s="25" t="inlineStr">
        <is>
          <t>2.3 INCIDENT AND RESOURCE MANAGEMENT SYSTEM (IRMS)</t>
        </is>
      </c>
      <c r="E1229" s="25" t="inlineStr">
        <is>
          <t>2.3.11 DISPATCHING</t>
        </is>
      </c>
      <c r="F1229" s="25" t="inlineStr">
        <is>
          <t>When a defined check-back period has expired, the system shall visually and aurally alert the dispatcher assigned to the unit to make contact with the unit.</t>
        </is>
      </c>
      <c r="G1229" s="19" t="n"/>
      <c r="H1229" s="20" t="n"/>
      <c r="I1229" s="20" t="n"/>
      <c r="J1229" s="19" t="n"/>
      <c r="K1229" s="21" t="n"/>
      <c r="L1229" s="22">
        <f>IF(OR(J1229="",K1229=""),"",J1229*K1229)</f>
        <v/>
      </c>
      <c r="M1229" s="19" t="n"/>
      <c r="N1229" s="20" t="n"/>
      <c r="O1229" s="20" t="n"/>
    </row>
    <row r="1230">
      <c r="A1230" s="16" t="n">
        <v>1227</v>
      </c>
      <c r="B1230" s="16" t="inlineStr">
        <is>
          <t>2.3.11.42.34</t>
        </is>
      </c>
      <c r="C1230" s="18" t="inlineStr">
        <is>
          <t>Part 2 – Technical Systems</t>
        </is>
      </c>
      <c r="D1230" s="18" t="inlineStr">
        <is>
          <t>2.3 INCIDENT AND RESOURCE MANAGEMENT SYSTEM (IRMS)</t>
        </is>
      </c>
      <c r="E1230" s="18" t="inlineStr">
        <is>
          <t>2.3.11 DISPATCHING</t>
        </is>
      </c>
      <c r="F1230" s="18" t="inlineStr">
        <is>
          <t>Once contact is made with a unit whose check-back timer has expired, and the unit advises that its status is fine, the dispatcher shall be provided with an appropriate means to cancel the check-back alert and reset the unit's check-back timer.</t>
        </is>
      </c>
      <c r="G1230" s="19" t="n"/>
      <c r="H1230" s="20" t="n"/>
      <c r="I1230" s="20" t="n"/>
      <c r="J1230" s="19" t="n"/>
      <c r="K1230" s="21" t="n"/>
      <c r="L1230" s="22">
        <f>IF(OR(J1230="",K1230=""),"",J1230*K1230)</f>
        <v/>
      </c>
      <c r="M1230" s="19" t="n"/>
      <c r="N1230" s="20" t="n"/>
      <c r="O1230" s="20" t="n"/>
    </row>
    <row r="1231">
      <c r="A1231" s="23" t="n">
        <v>1228</v>
      </c>
      <c r="B1231" s="23" t="inlineStr">
        <is>
          <t>2.3.11.42.35</t>
        </is>
      </c>
      <c r="C1231" s="25" t="inlineStr">
        <is>
          <t>Part 2 – Technical Systems</t>
        </is>
      </c>
      <c r="D1231" s="25" t="inlineStr">
        <is>
          <t>2.3 INCIDENT AND RESOURCE MANAGEMENT SYSTEM (IRMS)</t>
        </is>
      </c>
      <c r="E1231" s="25" t="inlineStr">
        <is>
          <t>2.3.11 DISPATCHING</t>
        </is>
      </c>
      <c r="F1231" s="25" t="inlineStr">
        <is>
          <t>In addition to incident related timers, the proposed IRMS system shall include a unit welfare check function.</t>
        </is>
      </c>
      <c r="G1231" s="19" t="n"/>
      <c r="H1231" s="20" t="n"/>
      <c r="I1231" s="20" t="n"/>
      <c r="J1231" s="19" t="n"/>
      <c r="K1231" s="21" t="n"/>
      <c r="L1231" s="22">
        <f>IF(OR(J1231="",K1231=""),"",J1231*K1231)</f>
        <v/>
      </c>
      <c r="M1231" s="19" t="n"/>
      <c r="N1231" s="20" t="n"/>
      <c r="O1231" s="20" t="n"/>
    </row>
    <row r="1232">
      <c r="A1232" s="16" t="n">
        <v>1229</v>
      </c>
      <c r="B1232" s="16" t="inlineStr">
        <is>
          <t>2.3.11.42.36</t>
        </is>
      </c>
      <c r="C1232" s="18" t="inlineStr">
        <is>
          <t>Part 2 – Technical Systems</t>
        </is>
      </c>
      <c r="D1232" s="18" t="inlineStr">
        <is>
          <t>2.3 INCIDENT AND RESOURCE MANAGEMENT SYSTEM (IRMS)</t>
        </is>
      </c>
      <c r="E1232" s="18" t="inlineStr">
        <is>
          <t>2.3.11 DISPATCHING</t>
        </is>
      </c>
      <c r="F1232" s="18" t="inlineStr">
        <is>
          <t>The IRMS shall be configured to track the elapsed time since the last welfare check or since the unit went on duty and to prompt the controlling dispatcher to check on the unit’s welfare if it hasn’t called in.</t>
        </is>
      </c>
      <c r="G1232" s="19" t="n"/>
      <c r="H1232" s="20" t="n"/>
      <c r="I1232" s="20" t="n"/>
      <c r="J1232" s="19" t="n"/>
      <c r="K1232" s="21" t="n"/>
      <c r="L1232" s="22">
        <f>IF(OR(J1232="",K1232=""),"",J1232*K1232)</f>
        <v/>
      </c>
      <c r="M1232" s="19" t="n"/>
      <c r="N1232" s="20" t="n"/>
      <c r="O1232" s="20" t="n"/>
    </row>
    <row r="1233">
      <c r="A1233" s="23" t="n">
        <v>1230</v>
      </c>
      <c r="B1233" s="23" t="inlineStr">
        <is>
          <t>2.3.11.42.37</t>
        </is>
      </c>
      <c r="C1233" s="25" t="inlineStr">
        <is>
          <t>Part 2 – Technical Systems</t>
        </is>
      </c>
      <c r="D1233" s="25" t="inlineStr">
        <is>
          <t>2.3 INCIDENT AND RESOURCE MANAGEMENT SYSTEM (IRMS)</t>
        </is>
      </c>
      <c r="E1233" s="25" t="inlineStr">
        <is>
          <t>2.3.11 DISPATCHING</t>
        </is>
      </c>
      <c r="F1233" s="25" t="inlineStr">
        <is>
          <t>The timers shall be table driven, and have the ability to be configured by shift, such that more frequent checks may be performed at night.</t>
        </is>
      </c>
      <c r="G1233" s="19" t="n"/>
      <c r="H1233" s="20" t="n"/>
      <c r="I1233" s="20" t="n"/>
      <c r="J1233" s="19" t="n"/>
      <c r="K1233" s="21" t="n"/>
      <c r="L1233" s="22">
        <f>IF(OR(J1233="",K1233=""),"",J1233*K1233)</f>
        <v/>
      </c>
      <c r="M1233" s="19" t="n"/>
      <c r="N1233" s="20" t="n"/>
      <c r="O1233" s="20" t="n"/>
    </row>
    <row r="1234">
      <c r="A1234" s="16" t="n">
        <v>1231</v>
      </c>
      <c r="B1234" s="16" t="inlineStr">
        <is>
          <t>2.3.11.42.38</t>
        </is>
      </c>
      <c r="C1234" s="18" t="inlineStr">
        <is>
          <t>Part 2 – Technical Systems</t>
        </is>
      </c>
      <c r="D1234" s="18" t="inlineStr">
        <is>
          <t>2.3 INCIDENT AND RESOURCE MANAGEMENT SYSTEM (IRMS)</t>
        </is>
      </c>
      <c r="E1234" s="18" t="inlineStr">
        <is>
          <t>2.3.11 DISPATCHING</t>
        </is>
      </c>
      <c r="F1234" s="18" t="inlineStr">
        <is>
          <t>Dispatchers shall be capable of updating unit status through keyboard input of appropriate unit identifiers and a single function key, by a pointing device or via command line entry.</t>
        </is>
      </c>
      <c r="G1234" s="19" t="n"/>
      <c r="H1234" s="20" t="n"/>
      <c r="I1234" s="20" t="n"/>
      <c r="J1234" s="19" t="n"/>
      <c r="K1234" s="21" t="n"/>
      <c r="L1234" s="22">
        <f>IF(OR(J1234="",K1234=""),"",J1234*K1234)</f>
        <v/>
      </c>
      <c r="M1234" s="19" t="n"/>
      <c r="N1234" s="20" t="n"/>
      <c r="O1234" s="20" t="n"/>
    </row>
    <row r="1235">
      <c r="A1235" s="23" t="n">
        <v>1232</v>
      </c>
      <c r="B1235" s="23" t="inlineStr">
        <is>
          <t>2.3.11.42.39</t>
        </is>
      </c>
      <c r="C1235" s="25" t="inlineStr">
        <is>
          <t>Part 2 – Technical Systems</t>
        </is>
      </c>
      <c r="D1235" s="25" t="inlineStr">
        <is>
          <t>2.3 INCIDENT AND RESOURCE MANAGEMENT SYSTEM (IRMS)</t>
        </is>
      </c>
      <c r="E1235" s="25" t="inlineStr">
        <is>
          <t>2.3.11 DISPATCHING</t>
        </is>
      </c>
      <c r="F1235" s="25" t="inlineStr">
        <is>
          <t>The IRMS shall allow dispatchers to update a unit's status while performing any call taking or dispatching function within the IRMS system by providing easy accessibility to an interactive command line at all times. This command line shall allow multiple units to have the same status update simultaneously.</t>
        </is>
      </c>
      <c r="G1235" s="19" t="n"/>
      <c r="H1235" s="20" t="n"/>
      <c r="I1235" s="20" t="n"/>
      <c r="J1235" s="19" t="n"/>
      <c r="K1235" s="21" t="n"/>
      <c r="L1235" s="22">
        <f>IF(OR(J1235="",K1235=""),"",J1235*K1235)</f>
        <v/>
      </c>
      <c r="M1235" s="19" t="n"/>
      <c r="N1235" s="20" t="n"/>
      <c r="O1235" s="20" t="n"/>
    </row>
    <row r="1236">
      <c r="A1236" s="16" t="n">
        <v>1233</v>
      </c>
      <c r="B1236" s="16" t="inlineStr">
        <is>
          <t>2.3.11.42.40</t>
        </is>
      </c>
      <c r="C1236" s="18" t="inlineStr">
        <is>
          <t>Part 2 – Technical Systems</t>
        </is>
      </c>
      <c r="D1236" s="18" t="inlineStr">
        <is>
          <t>2.3 INCIDENT AND RESOURCE MANAGEMENT SYSTEM (IRMS)</t>
        </is>
      </c>
      <c r="E1236" s="18" t="inlineStr">
        <is>
          <t>2.3.11 DISPATCHING</t>
        </is>
      </c>
      <c r="F1236" s="18" t="inlineStr">
        <is>
          <t>Updating unit statuses must be accomplished without losing the incident information displayed on the screen. If the cursor is repositioned to perform the command, it must be automatically returned to the correct screen and cursor position where the user left off, without losing any information.</t>
        </is>
      </c>
      <c r="G1236" s="19" t="n"/>
      <c r="H1236" s="20" t="n"/>
      <c r="I1236" s="20" t="n"/>
      <c r="J1236" s="19" t="n"/>
      <c r="K1236" s="21" t="n"/>
      <c r="L1236" s="22">
        <f>IF(OR(J1236="",K1236=""),"",J1236*K1236)</f>
        <v/>
      </c>
      <c r="M1236" s="19" t="n"/>
      <c r="N1236" s="20" t="n"/>
      <c r="O1236" s="20" t="n"/>
    </row>
    <row r="1237">
      <c r="A1237" s="23" t="n">
        <v>1234</v>
      </c>
      <c r="B1237" s="23" t="inlineStr">
        <is>
          <t>2.3.11.42.41</t>
        </is>
      </c>
      <c r="C1237" s="25" t="inlineStr">
        <is>
          <t>Part 2 – Technical Systems</t>
        </is>
      </c>
      <c r="D1237" s="25" t="inlineStr">
        <is>
          <t>2.3 INCIDENT AND RESOURCE MANAGEMENT SYSTEM (IRMS)</t>
        </is>
      </c>
      <c r="E1237" s="25" t="inlineStr">
        <is>
          <t>2.3.11 DISPATCHING</t>
        </is>
      </c>
      <c r="F1237" s="25" t="inlineStr">
        <is>
          <t>The IRMS shall provide dispatchers with the capability to clear any number of, or all units, assigned to an incident with a single command.</t>
        </is>
      </c>
      <c r="G1237" s="19" t="n"/>
      <c r="H1237" s="20" t="n"/>
      <c r="I1237" s="20" t="n"/>
      <c r="J1237" s="19" t="n"/>
      <c r="K1237" s="21" t="n"/>
      <c r="L1237" s="22">
        <f>IF(OR(J1237="",K1237=""),"",J1237*K1237)</f>
        <v/>
      </c>
      <c r="M1237" s="19" t="n"/>
      <c r="N1237" s="20" t="n"/>
      <c r="O1237" s="20" t="n"/>
    </row>
    <row r="1238">
      <c r="A1238" s="16" t="n">
        <v>1235</v>
      </c>
      <c r="B1238" s="16" t="inlineStr">
        <is>
          <t>2.3.11.42.42</t>
        </is>
      </c>
      <c r="C1238" s="18" t="inlineStr">
        <is>
          <t>Part 2 – Technical Systems</t>
        </is>
      </c>
      <c r="D1238" s="18" t="inlineStr">
        <is>
          <t>2.3 INCIDENT AND RESOURCE MANAGEMENT SYSTEM (IRMS)</t>
        </is>
      </c>
      <c r="E1238" s="18" t="inlineStr">
        <is>
          <t>2.3.11 DISPATCHING</t>
        </is>
      </c>
      <c r="F1238" s="18" t="inlineStr">
        <is>
          <t>From the field, equipped vehicles shall be able to update their own statuses through its integration with the IRMS.</t>
        </is>
      </c>
      <c r="G1238" s="19" t="n"/>
      <c r="H1238" s="20" t="n"/>
      <c r="I1238" s="20" t="n"/>
      <c r="J1238" s="19" t="n"/>
      <c r="K1238" s="21" t="n"/>
      <c r="L1238" s="22">
        <f>IF(OR(J1238="",K1238=""),"",J1238*K1238)</f>
        <v/>
      </c>
      <c r="M1238" s="19" t="n"/>
      <c r="N1238" s="20" t="n"/>
      <c r="O1238" s="20" t="n"/>
    </row>
    <row r="1239">
      <c r="A1239" s="23" t="n">
        <v>1236</v>
      </c>
      <c r="B1239" s="23" t="inlineStr">
        <is>
          <t>2.3.11.42.43</t>
        </is>
      </c>
      <c r="C1239" s="25" t="inlineStr">
        <is>
          <t>Part 2 – Technical Systems</t>
        </is>
      </c>
      <c r="D1239" s="25" t="inlineStr">
        <is>
          <t>2.3 INCIDENT AND RESOURCE MANAGEMENT SYSTEM (IRMS)</t>
        </is>
      </c>
      <c r="E1239" s="25" t="inlineStr">
        <is>
          <t>2.3.11 DISPATCHING</t>
        </is>
      </c>
      <c r="F1239" s="25" t="inlineStr">
        <is>
          <t>The system shall track these status updates as if they were entered by system operators, but indicate that they were updated by the unit itself (e.g., track the time and the ID of the person/device completing the status update)</t>
        </is>
      </c>
      <c r="G1239" s="19" t="n"/>
      <c r="H1239" s="20" t="n"/>
      <c r="I1239" s="20" t="n"/>
      <c r="J1239" s="19" t="n"/>
      <c r="K1239" s="21" t="n"/>
      <c r="L1239" s="22">
        <f>IF(OR(J1239="",K1239=""),"",J1239*K1239)</f>
        <v/>
      </c>
      <c r="M1239" s="19" t="n"/>
      <c r="N1239" s="20" t="n"/>
      <c r="O1239" s="20" t="n"/>
    </row>
    <row r="1240">
      <c r="A1240" s="16" t="n">
        <v>1237</v>
      </c>
      <c r="B1240" s="16" t="inlineStr">
        <is>
          <t>2.3.11.42.44</t>
        </is>
      </c>
      <c r="C1240" s="18" t="inlineStr">
        <is>
          <t>Part 2 – Technical Systems</t>
        </is>
      </c>
      <c r="D1240" s="18" t="inlineStr">
        <is>
          <t>2.3 INCIDENT AND RESOURCE MANAGEMENT SYSTEM (IRMS)</t>
        </is>
      </c>
      <c r="E1240" s="18" t="inlineStr">
        <is>
          <t>2.3.11 DISPATCHING</t>
        </is>
      </c>
      <c r="F1240" s="18" t="inlineStr">
        <is>
          <t>The IRMS shall allow both call takers and/or dispatchers to review an active incident and update the incident with corrections or additions.</t>
        </is>
      </c>
      <c r="G1240" s="19" t="n"/>
      <c r="H1240" s="20" t="n"/>
      <c r="I1240" s="20" t="n"/>
      <c r="J1240" s="19" t="n"/>
      <c r="K1240" s="21" t="n"/>
      <c r="L1240" s="22">
        <f>IF(OR(J1240="",K1240=""),"",J1240*K1240)</f>
        <v/>
      </c>
      <c r="M1240" s="19" t="n"/>
      <c r="N1240" s="20" t="n"/>
      <c r="O1240" s="20" t="n"/>
    </row>
    <row r="1241">
      <c r="A1241" s="23" t="n">
        <v>1238</v>
      </c>
      <c r="B1241" s="23" t="inlineStr">
        <is>
          <t>2.3.11.42.45</t>
        </is>
      </c>
      <c r="C1241" s="25" t="inlineStr">
        <is>
          <t>Part 2 – Technical Systems</t>
        </is>
      </c>
      <c r="D1241" s="25" t="inlineStr">
        <is>
          <t>2.3 INCIDENT AND RESOURCE MANAGEMENT SYSTEM (IRMS)</t>
        </is>
      </c>
      <c r="E1241" s="25" t="inlineStr">
        <is>
          <t>2.3.11 DISPATCHING</t>
        </is>
      </c>
      <c r="F1241" s="25" t="inlineStr">
        <is>
          <t>All corrections or additions shall contain the time, date, and operator ID.</t>
        </is>
      </c>
      <c r="G1241" s="19" t="n"/>
      <c r="H1241" s="20" t="n"/>
      <c r="I1241" s="20" t="n"/>
      <c r="J1241" s="19" t="n"/>
      <c r="K1241" s="21" t="n"/>
      <c r="L1241" s="22">
        <f>IF(OR(J1241="",K1241=""),"",J1241*K1241)</f>
        <v/>
      </c>
      <c r="M1241" s="19" t="n"/>
      <c r="N1241" s="20" t="n"/>
      <c r="O1241" s="20" t="n"/>
    </row>
    <row r="1242">
      <c r="A1242" s="16" t="n">
        <v>1239</v>
      </c>
      <c r="B1242" s="16" t="inlineStr">
        <is>
          <t>2.3.11.42.46</t>
        </is>
      </c>
      <c r="C1242" s="18" t="inlineStr">
        <is>
          <t>Part 2 – Technical Systems</t>
        </is>
      </c>
      <c r="D1242" s="18" t="inlineStr">
        <is>
          <t>2.3 INCIDENT AND RESOURCE MANAGEMENT SYSTEM (IRMS)</t>
        </is>
      </c>
      <c r="E1242" s="18" t="inlineStr">
        <is>
          <t>2.3.11 DISPATCHING</t>
        </is>
      </c>
      <c r="F1242" s="18" t="inlineStr">
        <is>
          <t>When a call taker forwards updated information to the appropriate dispatcher, the dispatcher shall be visually/aurally alerted by the system to the presence of the update.</t>
        </is>
      </c>
      <c r="G1242" s="19" t="n"/>
      <c r="H1242" s="20" t="n"/>
      <c r="I1242" s="20" t="n"/>
      <c r="J1242" s="19" t="n"/>
      <c r="K1242" s="21" t="n"/>
      <c r="L1242" s="22">
        <f>IF(OR(J1242="",K1242=""),"",J1242*K1242)</f>
        <v/>
      </c>
      <c r="M1242" s="19" t="n"/>
      <c r="N1242" s="20" t="n"/>
      <c r="O1242" s="20" t="n"/>
    </row>
    <row r="1243">
      <c r="A1243" s="23" t="n">
        <v>1240</v>
      </c>
      <c r="B1243" s="23" t="inlineStr">
        <is>
          <t>2.3.11.42.47</t>
        </is>
      </c>
      <c r="C1243" s="25" t="inlineStr">
        <is>
          <t>Part 2 – Technical Systems</t>
        </is>
      </c>
      <c r="D1243" s="25" t="inlineStr">
        <is>
          <t>2.3 INCIDENT AND RESOURCE MANAGEMENT SYSTEM (IRMS)</t>
        </is>
      </c>
      <c r="E1243" s="25" t="inlineStr">
        <is>
          <t>2.3.11 DISPATCHING</t>
        </is>
      </c>
      <c r="F1243" s="25" t="inlineStr">
        <is>
          <t>In addition, there shall be a clear indication of which information is new or changed.</t>
        </is>
      </c>
      <c r="G1243" s="19" t="n"/>
      <c r="H1243" s="20" t="n"/>
      <c r="I1243" s="20" t="n"/>
      <c r="J1243" s="19" t="n"/>
      <c r="K1243" s="21" t="n"/>
      <c r="L1243" s="22">
        <f>IF(OR(J1243="",K1243=""),"",J1243*K1243)</f>
        <v/>
      </c>
      <c r="M1243" s="19" t="n"/>
      <c r="N1243" s="20" t="n"/>
      <c r="O1243" s="20" t="n"/>
    </row>
    <row r="1244">
      <c r="A1244" s="16" t="n">
        <v>1241</v>
      </c>
      <c r="B1244" s="16" t="inlineStr">
        <is>
          <t>2.3.11.42.48</t>
        </is>
      </c>
      <c r="C1244" s="18" t="inlineStr">
        <is>
          <t>Part 2 – Technical Systems</t>
        </is>
      </c>
      <c r="D1244" s="18" t="inlineStr">
        <is>
          <t>2.3 INCIDENT AND RESOURCE MANAGEMENT SYSTEM (IRMS)</t>
        </is>
      </c>
      <c r="E1244" s="18" t="inlineStr">
        <is>
          <t>2.3.11 DISPATCHING</t>
        </is>
      </c>
      <c r="F1244" s="18" t="inlineStr">
        <is>
          <t>The IRMS shall allow units to be added as assisting units to an incident after it has been dispatched.</t>
        </is>
      </c>
      <c r="G1244" s="19" t="n"/>
      <c r="H1244" s="20" t="n"/>
      <c r="I1244" s="20" t="n"/>
      <c r="J1244" s="19" t="n"/>
      <c r="K1244" s="21" t="n"/>
      <c r="L1244" s="22">
        <f>IF(OR(J1244="",K1244=""),"",J1244*K1244)</f>
        <v/>
      </c>
      <c r="M1244" s="19" t="n"/>
      <c r="N1244" s="20" t="n"/>
      <c r="O1244" s="20" t="n"/>
    </row>
    <row r="1245">
      <c r="A1245" s="23" t="n">
        <v>1242</v>
      </c>
      <c r="B1245" s="23" t="inlineStr">
        <is>
          <t>2.3.11.42.49</t>
        </is>
      </c>
      <c r="C1245" s="25" t="inlineStr">
        <is>
          <t>Part 2 – Technical Systems</t>
        </is>
      </c>
      <c r="D1245" s="25" t="inlineStr">
        <is>
          <t>2.3 INCIDENT AND RESOURCE MANAGEMENT SYSTEM (IRMS)</t>
        </is>
      </c>
      <c r="E1245" s="25" t="inlineStr">
        <is>
          <t>2.3.11 DISPATCHING</t>
        </is>
      </c>
      <c r="F1245" s="25" t="inlineStr">
        <is>
          <t>If another agency response is required, such as adding an ambulance to an incident, the IRMS shall automatically copy the active incident and route the new incident to the appropriate dispatcher.</t>
        </is>
      </c>
      <c r="G1245" s="19" t="n"/>
      <c r="H1245" s="20" t="n"/>
      <c r="I1245" s="20" t="n"/>
      <c r="J1245" s="19" t="n"/>
      <c r="K1245" s="21" t="n"/>
      <c r="L1245" s="22">
        <f>IF(OR(J1245="",K1245=""),"",J1245*K1245)</f>
        <v/>
      </c>
      <c r="M1245" s="19" t="n"/>
      <c r="N1245" s="20" t="n"/>
      <c r="O1245" s="20" t="n"/>
    </row>
    <row r="1246">
      <c r="A1246" s="16" t="n">
        <v>1243</v>
      </c>
      <c r="B1246" s="16" t="inlineStr">
        <is>
          <t>2.3.11.42.50</t>
        </is>
      </c>
      <c r="C1246" s="18" t="inlineStr">
        <is>
          <t>Part 2 – Technical Systems</t>
        </is>
      </c>
      <c r="D1246" s="18" t="inlineStr">
        <is>
          <t>2.3 INCIDENT AND RESOURCE MANAGEMENT SYSTEM (IRMS)</t>
        </is>
      </c>
      <c r="E1246" s="18" t="inlineStr">
        <is>
          <t>2.3.11 DISPATCHING</t>
        </is>
      </c>
      <c r="F1246" s="18" t="inlineStr">
        <is>
          <t>The BIDDER shall provide an explanation of their system’s ability to add additional public safety agency resources to an active incident.</t>
        </is>
      </c>
      <c r="G1246" s="19" t="n"/>
      <c r="H1246" s="20" t="n"/>
      <c r="I1246" s="20" t="n"/>
      <c r="J1246" s="19" t="n"/>
      <c r="K1246" s="21" t="n"/>
      <c r="L1246" s="22">
        <f>IF(OR(J1246="",K1246=""),"",J1246*K1246)</f>
        <v/>
      </c>
      <c r="M1246" s="19" t="n"/>
      <c r="N1246" s="20" t="n"/>
      <c r="O1246" s="20" t="n"/>
    </row>
    <row r="1247">
      <c r="A1247" s="23" t="n">
        <v>1244</v>
      </c>
      <c r="B1247" s="23" t="inlineStr">
        <is>
          <t>2.3.11.42.51</t>
        </is>
      </c>
      <c r="C1247" s="25" t="inlineStr">
        <is>
          <t>Part 2 – Technical Systems</t>
        </is>
      </c>
      <c r="D1247" s="25" t="inlineStr">
        <is>
          <t>2.3 INCIDENT AND RESOURCE MANAGEMENT SYSTEM (IRMS)</t>
        </is>
      </c>
      <c r="E1247" s="25" t="inlineStr">
        <is>
          <t>2.3.11 DISPATCHING</t>
        </is>
      </c>
      <c r="F1247" s="25" t="inlineStr">
        <is>
          <t>The dispatcher shall be able to escalate the priority of an event.</t>
        </is>
      </c>
      <c r="G1247" s="19" t="n"/>
      <c r="H1247" s="20" t="n"/>
      <c r="I1247" s="20" t="n"/>
      <c r="J1247" s="19" t="n"/>
      <c r="K1247" s="21" t="n"/>
      <c r="L1247" s="22">
        <f>IF(OR(J1247="",K1247=""),"",J1247*K1247)</f>
        <v/>
      </c>
      <c r="M1247" s="19" t="n"/>
      <c r="N1247" s="20" t="n"/>
      <c r="O1247" s="20" t="n"/>
    </row>
    <row r="1248">
      <c r="A1248" s="16" t="n">
        <v>1245</v>
      </c>
      <c r="B1248" s="16" t="inlineStr">
        <is>
          <t>2.3.11.42.52</t>
        </is>
      </c>
      <c r="C1248" s="18" t="inlineStr">
        <is>
          <t>Part 2 – Technical Systems</t>
        </is>
      </c>
      <c r="D1248" s="18" t="inlineStr">
        <is>
          <t>2.3 INCIDENT AND RESOURCE MANAGEMENT SYSTEM (IRMS)</t>
        </is>
      </c>
      <c r="E1248" s="18" t="inlineStr">
        <is>
          <t>2.3.11 DISPATCHING</t>
        </is>
      </c>
      <c r="F1248" s="18" t="inlineStr">
        <is>
          <t>The IRMS shall make additional unit recommendations based on the new priority level. Dispatchers must be able to “preview” the next priority level assignments for an active incident.</t>
        </is>
      </c>
      <c r="G1248" s="19" t="n"/>
      <c r="H1248" s="20" t="n"/>
      <c r="I1248" s="20" t="n"/>
      <c r="J1248" s="19" t="n"/>
      <c r="K1248" s="21" t="n"/>
      <c r="L1248" s="22">
        <f>IF(OR(J1248="",K1248=""),"",J1248*K1248)</f>
        <v/>
      </c>
      <c r="M1248" s="19" t="n"/>
      <c r="N1248" s="20" t="n"/>
      <c r="O1248" s="20" t="n"/>
    </row>
    <row r="1249">
      <c r="A1249" s="23" t="n">
        <v>1246</v>
      </c>
      <c r="B1249" s="23" t="inlineStr">
        <is>
          <t>2.3.11.42.53</t>
        </is>
      </c>
      <c r="C1249" s="25" t="inlineStr">
        <is>
          <t>Part 2 – Technical Systems</t>
        </is>
      </c>
      <c r="D1249" s="25" t="inlineStr">
        <is>
          <t>2.3 INCIDENT AND RESOURCE MANAGEMENT SYSTEM (IRMS)</t>
        </is>
      </c>
      <c r="E1249" s="25" t="inlineStr">
        <is>
          <t>2.3.11 DISPATCHING</t>
        </is>
      </c>
      <c r="F1249" s="25" t="inlineStr">
        <is>
          <t>The IRMS shall only recommend the “remainder of the required units” for an incident if units have already been assigned and dispatched to the incident.</t>
        </is>
      </c>
      <c r="G1249" s="19" t="n"/>
      <c r="H1249" s="20" t="n"/>
      <c r="I1249" s="20" t="n"/>
      <c r="J1249" s="19" t="n"/>
      <c r="K1249" s="21" t="n"/>
      <c r="L1249" s="22">
        <f>IF(OR(J1249="",K1249=""),"",J1249*K1249)</f>
        <v/>
      </c>
      <c r="M1249" s="19" t="n"/>
      <c r="N1249" s="20" t="n"/>
      <c r="O1249" s="20" t="n"/>
    </row>
    <row r="1250">
      <c r="A1250" s="16" t="n">
        <v>1247</v>
      </c>
      <c r="B1250" s="16" t="inlineStr">
        <is>
          <t>2.3.11.42.54</t>
        </is>
      </c>
      <c r="C1250" s="18" t="inlineStr">
        <is>
          <t>Part 2 – Technical Systems</t>
        </is>
      </c>
      <c r="D1250" s="18" t="inlineStr">
        <is>
          <t>2.3 INCIDENT AND RESOURCE MANAGEMENT SYSTEM (IRMS)</t>
        </is>
      </c>
      <c r="E1250" s="18" t="inlineStr">
        <is>
          <t>2.3.11 DISPATCHING</t>
        </is>
      </c>
      <c r="F1250" s="18" t="inlineStr">
        <is>
          <t>The IRMS shall allow units to be reassigned from one incident to another or to be easily “exchanged” from one active incident to another.</t>
        </is>
      </c>
      <c r="G1250" s="19" t="n"/>
      <c r="H1250" s="20" t="n"/>
      <c r="I1250" s="20" t="n"/>
      <c r="J1250" s="19" t="n"/>
      <c r="K1250" s="21" t="n"/>
      <c r="L1250" s="22">
        <f>IF(OR(J1250="",K1250=""),"",J1250*K1250)</f>
        <v/>
      </c>
      <c r="M1250" s="19" t="n"/>
      <c r="N1250" s="20" t="n"/>
      <c r="O1250" s="20" t="n"/>
    </row>
    <row r="1251">
      <c r="A1251" s="23" t="n">
        <v>1248</v>
      </c>
      <c r="B1251" s="23" t="inlineStr">
        <is>
          <t>2.3.11.42.55</t>
        </is>
      </c>
      <c r="C1251" s="25" t="inlineStr">
        <is>
          <t>Part 2 – Technical Systems</t>
        </is>
      </c>
      <c r="D1251" s="25" t="inlineStr">
        <is>
          <t>2.3 INCIDENT AND RESOURCE MANAGEMENT SYSTEM (IRMS)</t>
        </is>
      </c>
      <c r="E1251" s="25" t="inlineStr">
        <is>
          <t>2.3.11 DISPATCHING</t>
        </is>
      </c>
      <c r="F1251" s="25" t="inlineStr">
        <is>
          <t>The previous incident shall be returned to the pending queue if the reassigned unit is the last or only unit assigned to the incident.</t>
        </is>
      </c>
      <c r="G1251" s="19" t="n"/>
      <c r="H1251" s="20" t="n"/>
      <c r="I1251" s="20" t="n"/>
      <c r="J1251" s="19" t="n"/>
      <c r="K1251" s="21" t="n"/>
      <c r="L1251" s="22">
        <f>IF(OR(J1251="",K1251=""),"",J1251*K1251)</f>
        <v/>
      </c>
      <c r="M1251" s="19" t="n"/>
      <c r="N1251" s="20" t="n"/>
      <c r="O1251" s="20" t="n"/>
    </row>
    <row r="1252">
      <c r="A1252" s="16" t="n">
        <v>1249</v>
      </c>
      <c r="B1252" s="16" t="inlineStr">
        <is>
          <t>2.3.11.42.56</t>
        </is>
      </c>
      <c r="C1252" s="18" t="inlineStr">
        <is>
          <t>Part 2 – Technical Systems</t>
        </is>
      </c>
      <c r="D1252" s="18" t="inlineStr">
        <is>
          <t>2.3 INCIDENT AND RESOURCE MANAGEMENT SYSTEM (IRMS)</t>
        </is>
      </c>
      <c r="E1252" s="18" t="inlineStr">
        <is>
          <t>2.3.11 DISPATCHING</t>
        </is>
      </c>
      <c r="F1252" s="18" t="inlineStr">
        <is>
          <t>The BIDDER shall provide an explanation of how these functions are accomplished by their systems.</t>
        </is>
      </c>
      <c r="G1252" s="19" t="n"/>
      <c r="H1252" s="20" t="n"/>
      <c r="I1252" s="20" t="n"/>
      <c r="J1252" s="19" t="n"/>
      <c r="K1252" s="21" t="n"/>
      <c r="L1252" s="22">
        <f>IF(OR(J1252="",K1252=""),"",J1252*K1252)</f>
        <v/>
      </c>
      <c r="M1252" s="19" t="n"/>
      <c r="N1252" s="20" t="n"/>
      <c r="O1252" s="20" t="n"/>
    </row>
    <row r="1253">
      <c r="A1253" s="23" t="n">
        <v>1250</v>
      </c>
      <c r="B1253" s="23" t="inlineStr">
        <is>
          <t>2.3.11.42.57</t>
        </is>
      </c>
      <c r="C1253" s="25" t="inlineStr">
        <is>
          <t>Part 2 – Technical Systems</t>
        </is>
      </c>
      <c r="D1253" s="25" t="inlineStr">
        <is>
          <t>2.3 INCIDENT AND RESOURCE MANAGEMENT SYSTEM (IRMS)</t>
        </is>
      </c>
      <c r="E1253" s="25" t="inlineStr">
        <is>
          <t>2.3.11 DISPATCHING</t>
        </is>
      </c>
      <c r="F1253" s="25" t="inlineStr">
        <is>
          <t>The IRMS shall allow users to clear either single units or all units on an incident with a single command, function key, or point-and-click device action.</t>
        </is>
      </c>
      <c r="G1253" s="19" t="n"/>
      <c r="H1253" s="20" t="n"/>
      <c r="I1253" s="20" t="n"/>
      <c r="J1253" s="19" t="n"/>
      <c r="K1253" s="21" t="n"/>
      <c r="L1253" s="22">
        <f>IF(OR(J1253="",K1253=""),"",J1253*K1253)</f>
        <v/>
      </c>
      <c r="M1253" s="19" t="n"/>
      <c r="N1253" s="20" t="n"/>
      <c r="O1253" s="20" t="n"/>
    </row>
    <row r="1254">
      <c r="A1254" s="16" t="n">
        <v>1251</v>
      </c>
      <c r="B1254" s="16" t="inlineStr">
        <is>
          <t>2.3.11.42.58</t>
        </is>
      </c>
      <c r="C1254" s="18" t="inlineStr">
        <is>
          <t>Part 2 – Technical Systems</t>
        </is>
      </c>
      <c r="D1254" s="18" t="inlineStr">
        <is>
          <t>2.3 INCIDENT AND RESOURCE MANAGEMENT SYSTEM (IRMS)</t>
        </is>
      </c>
      <c r="E1254" s="18" t="inlineStr">
        <is>
          <t>2.3.11 DISPATCHING</t>
        </is>
      </c>
      <c r="F1254" s="18" t="inlineStr">
        <is>
          <t>If the last unit on an incident is cleared, IRMS shall require a disposition code.</t>
        </is>
      </c>
      <c r="G1254" s="19" t="n"/>
      <c r="H1254" s="20" t="n"/>
      <c r="I1254" s="20" t="n"/>
      <c r="J1254" s="19" t="n"/>
      <c r="K1254" s="21" t="n"/>
      <c r="L1254" s="22">
        <f>IF(OR(J1254="",K1254=""),"",J1254*K1254)</f>
        <v/>
      </c>
      <c r="M1254" s="19" t="n"/>
      <c r="N1254" s="20" t="n"/>
      <c r="O1254" s="20" t="n"/>
    </row>
    <row r="1255">
      <c r="A1255" s="23" t="n">
        <v>1252</v>
      </c>
      <c r="B1255" s="23" t="inlineStr">
        <is>
          <t>2.3.11.42.59</t>
        </is>
      </c>
      <c r="C1255" s="25" t="inlineStr">
        <is>
          <t>Part 2 – Technical Systems</t>
        </is>
      </c>
      <c r="D1255" s="25" t="inlineStr">
        <is>
          <t>2.3 INCIDENT AND RESOURCE MANAGEMENT SYSTEM (IRMS)</t>
        </is>
      </c>
      <c r="E1255" s="25" t="inlineStr">
        <is>
          <t>2.3.11 DISPATCHING</t>
        </is>
      </c>
      <c r="F1255" s="25" t="inlineStr">
        <is>
          <t>The IRMS shall provide for the capture of a user- maintainable incident disposition code, an indicator that a report is or is not required and incident completion comments.</t>
        </is>
      </c>
      <c r="G1255" s="19" t="n"/>
      <c r="H1255" s="20" t="n"/>
      <c r="I1255" s="20" t="n"/>
      <c r="J1255" s="19" t="n"/>
      <c r="K1255" s="21" t="n"/>
      <c r="L1255" s="22">
        <f>IF(OR(J1255="",K1255=""),"",J1255*K1255)</f>
        <v/>
      </c>
      <c r="M1255" s="19" t="n"/>
      <c r="N1255" s="20" t="n"/>
      <c r="O1255" s="20" t="n"/>
    </row>
    <row r="1256">
      <c r="A1256" s="16" t="n">
        <v>1253</v>
      </c>
      <c r="B1256" s="17" t="inlineStr">
        <is>
          <t>2.3.12.1</t>
        </is>
      </c>
      <c r="C1256" s="18" t="inlineStr">
        <is>
          <t>Part 2 – Technical Systems</t>
        </is>
      </c>
      <c r="D1256" s="18" t="inlineStr">
        <is>
          <t>2.3 INCIDENT AND RESOURCE MANAGEMENT SYSTEM (IRMS)</t>
        </is>
      </c>
      <c r="E1256" s="18" t="inlineStr">
        <is>
          <t>2.3.12 IRMS INTEGRATED GEOGRAPHICAL INFORMATION SYSTEM CAPABILITY</t>
        </is>
      </c>
      <c r="F1256" s="18" t="inlineStr">
        <is>
          <t>The IRMS with its integration with GIS, maps, map data and imagery shall all the requirements mentioned in sections 2.1 and 2.2 of this RFP.</t>
        </is>
      </c>
      <c r="G1256" s="19" t="n"/>
      <c r="H1256" s="20" t="n"/>
      <c r="I1256" s="20" t="n"/>
      <c r="J1256" s="19" t="n"/>
      <c r="K1256" s="21" t="n"/>
      <c r="L1256" s="22">
        <f>IF(OR(J1256="",K1256=""),"",J1256*K1256)</f>
        <v/>
      </c>
      <c r="M1256" s="19" t="n"/>
      <c r="N1256" s="20" t="n"/>
      <c r="O1256" s="20" t="n"/>
    </row>
    <row r="1257">
      <c r="A1257" s="23" t="n">
        <v>1254</v>
      </c>
      <c r="B1257" s="24" t="inlineStr">
        <is>
          <t>2.3.12.2</t>
        </is>
      </c>
      <c r="C1257" s="25" t="inlineStr">
        <is>
          <t>Part 2 – Technical Systems</t>
        </is>
      </c>
      <c r="D1257" s="25" t="inlineStr">
        <is>
          <t>2.3 INCIDENT AND RESOURCE MANAGEMENT SYSTEM (IRMS)</t>
        </is>
      </c>
      <c r="E1257" s="25" t="inlineStr">
        <is>
          <t>2.3.12 IRMS INTEGRATED GEOGRAPHICAL INFORMATION SYSTEM CAPABILITY</t>
        </is>
      </c>
      <c r="F1257" s="25" t="inlineStr">
        <is>
          <t>The IRMS system shall have the following capabilities:</t>
        </is>
      </c>
      <c r="G1257" s="19" t="n"/>
      <c r="H1257" s="20" t="n"/>
      <c r="I1257" s="20" t="n"/>
      <c r="J1257" s="19" t="n"/>
      <c r="K1257" s="21" t="n"/>
      <c r="L1257" s="22">
        <f>IF(OR(J1257="",K1257=""),"",J1257*K1257)</f>
        <v/>
      </c>
      <c r="M1257" s="19" t="n"/>
      <c r="N1257" s="20" t="n"/>
      <c r="O1257" s="20" t="n"/>
    </row>
    <row r="1258">
      <c r="A1258" s="16" t="n">
        <v>1255</v>
      </c>
      <c r="B1258" s="16" t="inlineStr">
        <is>
          <t>2.3.12.2.1</t>
        </is>
      </c>
      <c r="C1258" s="18" t="inlineStr">
        <is>
          <t>Part 2 – Technical Systems</t>
        </is>
      </c>
      <c r="D1258" s="18" t="inlineStr">
        <is>
          <t>2.3 INCIDENT AND RESOURCE MANAGEMENT SYSTEM (IRMS)</t>
        </is>
      </c>
      <c r="E1258" s="18" t="inlineStr">
        <is>
          <t>2.3.12 IRMS INTEGRATED GEOGRAPHICAL INFORMATION SYSTEM CAPABILITY</t>
        </is>
      </c>
      <c r="F1258" s="18" t="inlineStr">
        <is>
          <t>Address the needs of first responders in regular incidents and crisis and emergencies, including: a. Providing situational awareness interactively on the map b. Providing access to mission-critical information like previous incidents in the area, estimated hazards etc. c. Providing routing information, via map and voice, from current location to destination d. Provide history of routing information</t>
        </is>
      </c>
      <c r="G1258" s="19" t="n"/>
      <c r="H1258" s="20" t="n"/>
      <c r="I1258" s="20" t="n"/>
      <c r="J1258" s="19" t="n"/>
      <c r="K1258" s="21" t="n"/>
      <c r="L1258" s="22">
        <f>IF(OR(J1258="",K1258=""),"",J1258*K1258)</f>
        <v/>
      </c>
      <c r="M1258" s="19" t="n"/>
      <c r="N1258" s="20" t="n"/>
      <c r="O1258" s="20" t="n"/>
    </row>
    <row r="1259">
      <c r="A1259" s="23" t="n">
        <v>1256</v>
      </c>
      <c r="B1259" s="23" t="inlineStr">
        <is>
          <t>2.3.12.2.2</t>
        </is>
      </c>
      <c r="C1259" s="25" t="inlineStr">
        <is>
          <t>Part 2 – Technical Systems</t>
        </is>
      </c>
      <c r="D1259" s="25" t="inlineStr">
        <is>
          <t>2.3 INCIDENT AND RESOURCE MANAGEMENT SYSTEM (IRMS)</t>
        </is>
      </c>
      <c r="E1259" s="25" t="inlineStr">
        <is>
          <t>2.3.12 IRMS INTEGRATED GEOGRAPHICAL INFORMATION SYSTEM CAPABILITY</t>
        </is>
      </c>
      <c r="F1259" s="25" t="inlineStr">
        <is>
          <t>If the IRMS system is unable to provide an exact location match, a list of potential matches, shall be displayed to the user. An operator shall be able to select the correct location from the displayed list, scroll forward or backward for other potential locations, or restart the location lookup with a new location.</t>
        </is>
      </c>
      <c r="G1259" s="19" t="n"/>
      <c r="H1259" s="20" t="n"/>
      <c r="I1259" s="20" t="n"/>
      <c r="J1259" s="19" t="n"/>
      <c r="K1259" s="21" t="n"/>
      <c r="L1259" s="22">
        <f>IF(OR(J1259="",K1259=""),"",J1259*K1259)</f>
        <v/>
      </c>
      <c r="M1259" s="19" t="n"/>
      <c r="N1259" s="20" t="n"/>
      <c r="O1259" s="20" t="n"/>
    </row>
    <row r="1260">
      <c r="A1260" s="16" t="n">
        <v>1257</v>
      </c>
      <c r="B1260" s="16" t="inlineStr">
        <is>
          <t>2.3.12.2.3</t>
        </is>
      </c>
      <c r="C1260" s="18" t="inlineStr">
        <is>
          <t>Part 2 – Technical Systems</t>
        </is>
      </c>
      <c r="D1260" s="18" t="inlineStr">
        <is>
          <t>2.3 INCIDENT AND RESOURCE MANAGEMENT SYSTEM (IRMS)</t>
        </is>
      </c>
      <c r="E1260" s="18" t="inlineStr">
        <is>
          <t>2.3.12 IRMS INTEGRATED GEOGRAPHICAL INFORMATION SYSTEM CAPABILITY</t>
        </is>
      </c>
      <c r="F1260" s="18" t="inlineStr">
        <is>
          <t>Resources / units shall be displayed on the maps by means of different shaped, colored and expressive symbols.</t>
        </is>
      </c>
      <c r="G1260" s="19" t="n"/>
      <c r="H1260" s="20" t="n"/>
      <c r="I1260" s="20" t="n"/>
      <c r="J1260" s="19" t="n"/>
      <c r="K1260" s="21" t="n"/>
      <c r="L1260" s="22">
        <f>IF(OR(J1260="",K1260=""),"",J1260*K1260)</f>
        <v/>
      </c>
      <c r="M1260" s="19" t="n"/>
      <c r="N1260" s="20" t="n"/>
      <c r="O1260" s="20" t="n"/>
    </row>
    <row r="1261">
      <c r="A1261" s="23" t="n">
        <v>1258</v>
      </c>
      <c r="B1261" s="23" t="inlineStr">
        <is>
          <t>2.3.12.2.4</t>
        </is>
      </c>
      <c r="C1261" s="25" t="inlineStr">
        <is>
          <t>Part 2 – Technical Systems</t>
        </is>
      </c>
      <c r="D1261" s="25" t="inlineStr">
        <is>
          <t>2.3 INCIDENT AND RESOURCE MANAGEMENT SYSTEM (IRMS)</t>
        </is>
      </c>
      <c r="E1261" s="25" t="inlineStr">
        <is>
          <t>2.3.12 IRMS INTEGRATED GEOGRAPHICAL INFORMATION SYSTEM CAPABILITY</t>
        </is>
      </c>
      <c r="F1261" s="25" t="inlineStr">
        <is>
          <t>The display of resource / unit group, type and status shall be configurable by authorized department, agency and respective managers.</t>
        </is>
      </c>
      <c r="G1261" s="19" t="n"/>
      <c r="H1261" s="20" t="n"/>
      <c r="I1261" s="20" t="n"/>
      <c r="J1261" s="19" t="n"/>
      <c r="K1261" s="21" t="n"/>
      <c r="L1261" s="22">
        <f>IF(OR(J1261="",K1261=""),"",J1261*K1261)</f>
        <v/>
      </c>
      <c r="M1261" s="19" t="n"/>
      <c r="N1261" s="20" t="n"/>
      <c r="O1261" s="20" t="n"/>
    </row>
    <row r="1262">
      <c r="A1262" s="16" t="n">
        <v>1259</v>
      </c>
      <c r="B1262" s="16" t="inlineStr">
        <is>
          <t>2.3.12.2.5</t>
        </is>
      </c>
      <c r="C1262" s="18" t="inlineStr">
        <is>
          <t>Part 2 – Technical Systems</t>
        </is>
      </c>
      <c r="D1262" s="18" t="inlineStr">
        <is>
          <t>2.3 INCIDENT AND RESOURCE MANAGEMENT SYSTEM (IRMS)</t>
        </is>
      </c>
      <c r="E1262" s="18" t="inlineStr">
        <is>
          <t>2.3.12 IRMS INTEGRATED GEOGRAPHICAL INFORMATION SYSTEM CAPABILITY</t>
        </is>
      </c>
      <c r="F1262" s="18" t="inlineStr">
        <is>
          <t>It shall be customizable if such display about a resource is always available or available when hovering over with the mouse or available on a click.</t>
        </is>
      </c>
      <c r="G1262" s="19" t="n"/>
      <c r="H1262" s="20" t="n"/>
      <c r="I1262" s="20" t="n"/>
      <c r="J1262" s="19" t="n"/>
      <c r="K1262" s="21" t="n"/>
      <c r="L1262" s="22">
        <f>IF(OR(J1262="",K1262=""),"",J1262*K1262)</f>
        <v/>
      </c>
      <c r="M1262" s="19" t="n"/>
      <c r="N1262" s="20" t="n"/>
      <c r="O1262" s="20" t="n"/>
    </row>
    <row r="1263">
      <c r="A1263" s="23" t="n">
        <v>1260</v>
      </c>
      <c r="B1263" s="23" t="inlineStr">
        <is>
          <t>2.3.12.2.6</t>
        </is>
      </c>
      <c r="C1263" s="25" t="inlineStr">
        <is>
          <t>Part 2 – Technical Systems</t>
        </is>
      </c>
      <c r="D1263" s="25" t="inlineStr">
        <is>
          <t>2.3 INCIDENT AND RESOURCE MANAGEMENT SYSTEM (IRMS)</t>
        </is>
      </c>
      <c r="E1263" s="25" t="inlineStr">
        <is>
          <t>2.3.12 IRMS INTEGRATED GEOGRAPHICAL INFORMATION SYSTEM CAPABILITY</t>
        </is>
      </c>
      <c r="F1263" s="25" t="inlineStr">
        <is>
          <t>The CONTRACTOR shall submit legend, asset, and resource symbols to the MOI; the MOI may make changes at their discretion; the CONTRACTOR shall incorporate these changes into the solution.</t>
        </is>
      </c>
      <c r="G1263" s="19" t="n"/>
      <c r="H1263" s="20" t="n"/>
      <c r="I1263" s="20" t="n"/>
      <c r="J1263" s="19" t="n"/>
      <c r="K1263" s="21" t="n"/>
      <c r="L1263" s="22">
        <f>IF(OR(J1263="",K1263=""),"",J1263*K1263)</f>
        <v/>
      </c>
      <c r="M1263" s="19" t="n"/>
      <c r="N1263" s="20" t="n"/>
      <c r="O1263" s="20" t="n"/>
    </row>
    <row r="1264">
      <c r="A1264" s="16" t="n">
        <v>1261</v>
      </c>
      <c r="B1264" s="16" t="inlineStr">
        <is>
          <t>2.3.12.2.7</t>
        </is>
      </c>
      <c r="C1264" s="18" t="inlineStr">
        <is>
          <t>Part 2 – Technical Systems</t>
        </is>
      </c>
      <c r="D1264" s="18" t="inlineStr">
        <is>
          <t>2.3 INCIDENT AND RESOURCE MANAGEMENT SYSTEM (IRMS)</t>
        </is>
      </c>
      <c r="E1264" s="18" t="inlineStr">
        <is>
          <t>2.3.12 IRMS INTEGRATED GEOGRAPHICAL INFORMATION SYSTEM CAPABILITY</t>
        </is>
      </c>
      <c r="F1264" s="18" t="inlineStr">
        <is>
          <t>When the map is displaying the entire dispatch area, all vehicles shall be clearly displayed. Each icon shall display the resource / unit identification number within, either immediately above, or immediately below the icon.</t>
        </is>
      </c>
      <c r="G1264" s="19" t="n"/>
      <c r="H1264" s="20" t="n"/>
      <c r="I1264" s="20" t="n"/>
      <c r="J1264" s="19" t="n"/>
      <c r="K1264" s="21" t="n"/>
      <c r="L1264" s="22">
        <f>IF(OR(J1264="",K1264=""),"",J1264*K1264)</f>
        <v/>
      </c>
      <c r="M1264" s="19" t="n"/>
      <c r="N1264" s="20" t="n"/>
      <c r="O1264" s="20" t="n"/>
    </row>
    <row r="1265">
      <c r="A1265" s="23" t="n">
        <v>1262</v>
      </c>
      <c r="B1265" s="23" t="inlineStr">
        <is>
          <t>2.3.12.2.8</t>
        </is>
      </c>
      <c r="C1265" s="25" t="inlineStr">
        <is>
          <t>Part 2 – Technical Systems</t>
        </is>
      </c>
      <c r="D1265" s="25" t="inlineStr">
        <is>
          <t>2.3 INCIDENT AND RESOURCE MANAGEMENT SYSTEM (IRMS)</t>
        </is>
      </c>
      <c r="E1265" s="25" t="inlineStr">
        <is>
          <t>2.3.12 IRMS INTEGRATED GEOGRAPHICAL INFORMATION SYSTEM CAPABILITY</t>
        </is>
      </c>
      <c r="F1265" s="25" t="inlineStr">
        <is>
          <t>The IRMS solution shall support as minimum the following types of map services and APIs- WebGL/MapGL, WMS, WFS, WMTS.</t>
        </is>
      </c>
      <c r="G1265" s="19" t="n"/>
      <c r="H1265" s="20" t="n"/>
      <c r="I1265" s="20" t="n"/>
      <c r="J1265" s="19" t="n"/>
      <c r="K1265" s="21" t="n"/>
      <c r="L1265" s="22">
        <f>IF(OR(J1265="",K1265=""),"",J1265*K1265)</f>
        <v/>
      </c>
      <c r="M1265" s="19" t="n"/>
      <c r="N1265" s="20" t="n"/>
      <c r="O1265" s="20" t="n"/>
    </row>
    <row r="1266">
      <c r="A1266" s="16" t="n">
        <v>1263</v>
      </c>
      <c r="B1266" s="17" t="inlineStr">
        <is>
          <t>2.3.12.3</t>
        </is>
      </c>
      <c r="C1266" s="18" t="inlineStr">
        <is>
          <t>Part 2 – Technical Systems</t>
        </is>
      </c>
      <c r="D1266" s="18" t="inlineStr">
        <is>
          <t>2.3 INCIDENT AND RESOURCE MANAGEMENT SYSTEM (IRMS)</t>
        </is>
      </c>
      <c r="E1266" s="18" t="inlineStr">
        <is>
          <t>2.3.12 IRMS INTEGRATED GEOGRAPHICAL INFORMATION SYSTEM CAPABILITY</t>
        </is>
      </c>
      <c r="F1266" s="18" t="inlineStr">
        <is>
          <t>The BIDDER shall explain in their proposal how their solutions deliver support to the following operational scenarios:</t>
        </is>
      </c>
      <c r="G1266" s="19" t="n"/>
      <c r="H1266" s="20" t="n"/>
      <c r="I1266" s="20" t="n"/>
      <c r="J1266" s="19" t="n"/>
      <c r="K1266" s="21" t="n"/>
      <c r="L1266" s="22">
        <f>IF(OR(J1266="",K1266=""),"",J1266*K1266)</f>
        <v/>
      </c>
      <c r="M1266" s="19" t="n"/>
      <c r="N1266" s="20" t="n"/>
      <c r="O1266" s="20" t="n"/>
    </row>
    <row r="1267">
      <c r="A1267" s="23" t="n">
        <v>1264</v>
      </c>
      <c r="B1267" s="23" t="inlineStr">
        <is>
          <t>2.3.12.3.1</t>
        </is>
      </c>
      <c r="C1267" s="25" t="inlineStr">
        <is>
          <t>Part 2 – Technical Systems</t>
        </is>
      </c>
      <c r="D1267" s="25" t="inlineStr">
        <is>
          <t>2.3 INCIDENT AND RESOURCE MANAGEMENT SYSTEM (IRMS)</t>
        </is>
      </c>
      <c r="E1267" s="25" t="inlineStr">
        <is>
          <t>2.3.12 IRMS INTEGRATED GEOGRAPHICAL INFORMATION SYSTEM CAPABILITY</t>
        </is>
      </c>
      <c r="F1267" s="25" t="inlineStr">
        <is>
          <t>Caller and incident location</t>
        </is>
      </c>
      <c r="G1267" s="19" t="n"/>
      <c r="H1267" s="20" t="n"/>
      <c r="I1267" s="20" t="n"/>
      <c r="J1267" s="19" t="n"/>
      <c r="K1267" s="21" t="n"/>
      <c r="L1267" s="22">
        <f>IF(OR(J1267="",K1267=""),"",J1267*K1267)</f>
        <v/>
      </c>
      <c r="M1267" s="19" t="n"/>
      <c r="N1267" s="20" t="n"/>
      <c r="O1267" s="20" t="n"/>
    </row>
    <row r="1268">
      <c r="A1268" s="16" t="n">
        <v>1265</v>
      </c>
      <c r="B1268" s="16" t="inlineStr">
        <is>
          <t>2.3.12.3.2</t>
        </is>
      </c>
      <c r="C1268" s="18" t="inlineStr">
        <is>
          <t>Part 2 – Technical Systems</t>
        </is>
      </c>
      <c r="D1268" s="18" t="inlineStr">
        <is>
          <t>2.3 INCIDENT AND RESOURCE MANAGEMENT SYSTEM (IRMS)</t>
        </is>
      </c>
      <c r="E1268" s="18" t="inlineStr">
        <is>
          <t>2.3.12 IRMS INTEGRATED GEOGRAPHICAL INFORMATION SYSTEM CAPABILITY</t>
        </is>
      </c>
      <c r="F1268" s="18" t="inlineStr">
        <is>
          <t>Caller and incident validation</t>
        </is>
      </c>
      <c r="G1268" s="19" t="n"/>
      <c r="H1268" s="20" t="n"/>
      <c r="I1268" s="20" t="n"/>
      <c r="J1268" s="19" t="n"/>
      <c r="K1268" s="21" t="n"/>
      <c r="L1268" s="22">
        <f>IF(OR(J1268="",K1268=""),"",J1268*K1268)</f>
        <v/>
      </c>
      <c r="M1268" s="19" t="n"/>
      <c r="N1268" s="20" t="n"/>
      <c r="O1268" s="20" t="n"/>
    </row>
    <row r="1269">
      <c r="A1269" s="23" t="n">
        <v>1266</v>
      </c>
      <c r="B1269" s="23" t="inlineStr">
        <is>
          <t>2.3.12.3.3</t>
        </is>
      </c>
      <c r="C1269" s="25" t="inlineStr">
        <is>
          <t>Part 2 – Technical Systems</t>
        </is>
      </c>
      <c r="D1269" s="25" t="inlineStr">
        <is>
          <t>2.3 INCIDENT AND RESOURCE MANAGEMENT SYSTEM (IRMS)</t>
        </is>
      </c>
      <c r="E1269" s="25" t="inlineStr">
        <is>
          <t>2.3.12 IRMS INTEGRATED GEOGRAPHICAL INFORMATION SYSTEM CAPABILITY</t>
        </is>
      </c>
      <c r="F1269" s="25" t="inlineStr">
        <is>
          <t>Incident response resource allocation</t>
        </is>
      </c>
      <c r="G1269" s="19" t="n"/>
      <c r="H1269" s="20" t="n"/>
      <c r="I1269" s="20" t="n"/>
      <c r="J1269" s="19" t="n"/>
      <c r="K1269" s="21" t="n"/>
      <c r="L1269" s="22">
        <f>IF(OR(J1269="",K1269=""),"",J1269*K1269)</f>
        <v/>
      </c>
      <c r="M1269" s="19" t="n"/>
      <c r="N1269" s="20" t="n"/>
      <c r="O1269" s="20" t="n"/>
    </row>
    <row r="1270">
      <c r="A1270" s="16" t="n">
        <v>1267</v>
      </c>
      <c r="B1270" s="16" t="inlineStr">
        <is>
          <t>2.3.12.3.4</t>
        </is>
      </c>
      <c r="C1270" s="18" t="inlineStr">
        <is>
          <t>Part 2 – Technical Systems</t>
        </is>
      </c>
      <c r="D1270" s="18" t="inlineStr">
        <is>
          <t>2.3 INCIDENT AND RESOURCE MANAGEMENT SYSTEM (IRMS)</t>
        </is>
      </c>
      <c r="E1270" s="18" t="inlineStr">
        <is>
          <t>2.3.12 IRMS INTEGRATED GEOGRAPHICAL INFORMATION SYSTEM CAPABILITY</t>
        </is>
      </c>
      <c r="F1270" s="18" t="inlineStr">
        <is>
          <t>Incident response routing</t>
        </is>
      </c>
      <c r="G1270" s="19" t="n"/>
      <c r="H1270" s="20" t="n"/>
      <c r="I1270" s="20" t="n"/>
      <c r="J1270" s="19" t="n"/>
      <c r="K1270" s="21" t="n"/>
      <c r="L1270" s="22">
        <f>IF(OR(J1270="",K1270=""),"",J1270*K1270)</f>
        <v/>
      </c>
      <c r="M1270" s="19" t="n"/>
      <c r="N1270" s="20" t="n"/>
      <c r="O1270" s="20" t="n"/>
    </row>
    <row r="1271">
      <c r="A1271" s="23" t="n">
        <v>1268</v>
      </c>
      <c r="B1271" s="23" t="inlineStr">
        <is>
          <t>2.3.12.3.5</t>
        </is>
      </c>
      <c r="C1271" s="25" t="inlineStr">
        <is>
          <t>Part 2 – Technical Systems</t>
        </is>
      </c>
      <c r="D1271" s="25" t="inlineStr">
        <is>
          <t>2.3 INCIDENT AND RESOURCE MANAGEMENT SYSTEM (IRMS)</t>
        </is>
      </c>
      <c r="E1271" s="25" t="inlineStr">
        <is>
          <t>2.3.12 IRMS INTEGRATED GEOGRAPHICAL INFORMATION SYSTEM CAPABILITY</t>
        </is>
      </c>
      <c r="F1271" s="25" t="inlineStr">
        <is>
          <t>Incident management</t>
        </is>
      </c>
      <c r="G1271" s="19" t="n"/>
      <c r="H1271" s="20" t="n"/>
      <c r="I1271" s="20" t="n"/>
      <c r="J1271" s="19" t="n"/>
      <c r="K1271" s="21" t="n"/>
      <c r="L1271" s="22">
        <f>IF(OR(J1271="",K1271=""),"",J1271*K1271)</f>
        <v/>
      </c>
      <c r="M1271" s="19" t="n"/>
      <c r="N1271" s="20" t="n"/>
      <c r="O1271" s="20" t="n"/>
    </row>
    <row r="1272">
      <c r="A1272" s="16" t="n">
        <v>1269</v>
      </c>
      <c r="B1272" s="16" t="inlineStr">
        <is>
          <t>2.3.12.3.6</t>
        </is>
      </c>
      <c r="C1272" s="18" t="inlineStr">
        <is>
          <t>Part 2 – Technical Systems</t>
        </is>
      </c>
      <c r="D1272" s="18" t="inlineStr">
        <is>
          <t>2.3 INCIDENT AND RESOURCE MANAGEMENT SYSTEM (IRMS)</t>
        </is>
      </c>
      <c r="E1272" s="18" t="inlineStr">
        <is>
          <t>2.3.12 IRMS INTEGRATED GEOGRAPHICAL INFORMATION SYSTEM CAPABILITY</t>
        </is>
      </c>
      <c r="F1272" s="18" t="inlineStr">
        <is>
          <t>Resource monitoring</t>
        </is>
      </c>
      <c r="G1272" s="19" t="n"/>
      <c r="H1272" s="20" t="n"/>
      <c r="I1272" s="20" t="n"/>
      <c r="J1272" s="19" t="n"/>
      <c r="K1272" s="21" t="n"/>
      <c r="L1272" s="22">
        <f>IF(OR(J1272="",K1272=""),"",J1272*K1272)</f>
        <v/>
      </c>
      <c r="M1272" s="19" t="n"/>
      <c r="N1272" s="20" t="n"/>
      <c r="O1272" s="20" t="n"/>
    </row>
    <row r="1273">
      <c r="A1273" s="23" t="n">
        <v>1270</v>
      </c>
      <c r="B1273" s="23" t="inlineStr">
        <is>
          <t>2.3.12.3.7</t>
        </is>
      </c>
      <c r="C1273" s="25" t="inlineStr">
        <is>
          <t>Part 2 – Technical Systems</t>
        </is>
      </c>
      <c r="D1273" s="25" t="inlineStr">
        <is>
          <t>2.3 INCIDENT AND RESOURCE MANAGEMENT SYSTEM (IRMS)</t>
        </is>
      </c>
      <c r="E1273" s="25" t="inlineStr">
        <is>
          <t>2.3.12 IRMS INTEGRATED GEOGRAPHICAL INFORMATION SYSTEM CAPABILITY</t>
        </is>
      </c>
      <c r="F1273" s="25" t="inlineStr">
        <is>
          <t>Responder route planning</t>
        </is>
      </c>
      <c r="G1273" s="19" t="n"/>
      <c r="H1273" s="20" t="n"/>
      <c r="I1273" s="20" t="n"/>
      <c r="J1273" s="19" t="n"/>
      <c r="K1273" s="21" t="n"/>
      <c r="L1273" s="22">
        <f>IF(OR(J1273="",K1273=""),"",J1273*K1273)</f>
        <v/>
      </c>
      <c r="M1273" s="19" t="n"/>
      <c r="N1273" s="20" t="n"/>
      <c r="O1273" s="20" t="n"/>
    </row>
    <row r="1274">
      <c r="A1274" s="16" t="n">
        <v>1271</v>
      </c>
      <c r="B1274" s="16" t="inlineStr">
        <is>
          <t>2.3.12.3.8</t>
        </is>
      </c>
      <c r="C1274" s="18" t="inlineStr">
        <is>
          <t>Part 2 – Technical Systems</t>
        </is>
      </c>
      <c r="D1274" s="18" t="inlineStr">
        <is>
          <t>2.3 INCIDENT AND RESOURCE MANAGEMENT SYSTEM (IRMS)</t>
        </is>
      </c>
      <c r="E1274" s="18" t="inlineStr">
        <is>
          <t>2.3.12 IRMS INTEGRATED GEOGRAPHICAL INFORMATION SYSTEM CAPABILITY</t>
        </is>
      </c>
      <c r="F1274" s="18" t="inlineStr">
        <is>
          <t>Selecting exclusion zones</t>
        </is>
      </c>
      <c r="G1274" s="19" t="n"/>
      <c r="H1274" s="20" t="n"/>
      <c r="I1274" s="20" t="n"/>
      <c r="J1274" s="19" t="n"/>
      <c r="K1274" s="21" t="n"/>
      <c r="L1274" s="22">
        <f>IF(OR(J1274="",K1274=""),"",J1274*K1274)</f>
        <v/>
      </c>
      <c r="M1274" s="19" t="n"/>
      <c r="N1274" s="20" t="n"/>
      <c r="O1274" s="20" t="n"/>
    </row>
    <row r="1275">
      <c r="A1275" s="23" t="n">
        <v>1272</v>
      </c>
      <c r="B1275" s="23" t="inlineStr">
        <is>
          <t>2.3.12.3.9</t>
        </is>
      </c>
      <c r="C1275" s="25" t="inlineStr">
        <is>
          <t>Part 2 – Technical Systems</t>
        </is>
      </c>
      <c r="D1275" s="25" t="inlineStr">
        <is>
          <t>2.3 INCIDENT AND RESOURCE MANAGEMENT SYSTEM (IRMS)</t>
        </is>
      </c>
      <c r="E1275" s="25" t="inlineStr">
        <is>
          <t>2.3.12 IRMS INTEGRATED GEOGRAPHICAL INFORMATION SYSTEM CAPABILITY</t>
        </is>
      </c>
      <c r="F1275" s="25" t="inlineStr">
        <is>
          <t>Selecting evacuation routes and zones</t>
        </is>
      </c>
      <c r="G1275" s="19" t="n"/>
      <c r="H1275" s="20" t="n"/>
      <c r="I1275" s="20" t="n"/>
      <c r="J1275" s="19" t="n"/>
      <c r="K1275" s="21" t="n"/>
      <c r="L1275" s="22">
        <f>IF(OR(J1275="",K1275=""),"",J1275*K1275)</f>
        <v/>
      </c>
      <c r="M1275" s="19" t="n"/>
      <c r="N1275" s="20" t="n"/>
      <c r="O1275" s="20" t="n"/>
    </row>
    <row r="1276">
      <c r="A1276" s="16" t="n">
        <v>1273</v>
      </c>
      <c r="B1276" s="16" t="inlineStr">
        <is>
          <t>2.3.12.3.10</t>
        </is>
      </c>
      <c r="C1276" s="18" t="inlineStr">
        <is>
          <t>Part 2 – Technical Systems</t>
        </is>
      </c>
      <c r="D1276" s="18" t="inlineStr">
        <is>
          <t>2.3 INCIDENT AND RESOURCE MANAGEMENT SYSTEM (IRMS)</t>
        </is>
      </c>
      <c r="E1276" s="18" t="inlineStr">
        <is>
          <t>2.3.12 IRMS INTEGRATED GEOGRAPHICAL INFORMATION SYSTEM CAPABILITY</t>
        </is>
      </c>
      <c r="F1276" s="18" t="inlineStr">
        <is>
          <t>Deployment of security checkpoints</t>
        </is>
      </c>
      <c r="G1276" s="19" t="n"/>
      <c r="H1276" s="20" t="n"/>
      <c r="I1276" s="20" t="n"/>
      <c r="J1276" s="19" t="n"/>
      <c r="K1276" s="21" t="n"/>
      <c r="L1276" s="22">
        <f>IF(OR(J1276="",K1276=""),"",J1276*K1276)</f>
        <v/>
      </c>
      <c r="M1276" s="19" t="n"/>
      <c r="N1276" s="20" t="n"/>
      <c r="O1276" s="20" t="n"/>
    </row>
    <row r="1277">
      <c r="A1277" s="23" t="n">
        <v>1274</v>
      </c>
      <c r="B1277" s="23" t="inlineStr">
        <is>
          <t>2.3.12.3.11</t>
        </is>
      </c>
      <c r="C1277" s="25" t="inlineStr">
        <is>
          <t>Part 2 – Technical Systems</t>
        </is>
      </c>
      <c r="D1277" s="25" t="inlineStr">
        <is>
          <t>2.3 INCIDENT AND RESOURCE MANAGEMENT SYSTEM (IRMS)</t>
        </is>
      </c>
      <c r="E1277" s="25" t="inlineStr">
        <is>
          <t>2.3.12 IRMS INTEGRATED GEOGRAPHICAL INFORMATION SYSTEM CAPABILITY</t>
        </is>
      </c>
      <c r="F1277" s="25" t="inlineStr">
        <is>
          <t>Automatic resource location</t>
        </is>
      </c>
      <c r="G1277" s="19" t="n"/>
      <c r="H1277" s="20" t="n"/>
      <c r="I1277" s="20" t="n"/>
      <c r="J1277" s="19" t="n"/>
      <c r="K1277" s="21" t="n"/>
      <c r="L1277" s="22">
        <f>IF(OR(J1277="",K1277=""),"",J1277*K1277)</f>
        <v/>
      </c>
      <c r="M1277" s="19" t="n"/>
      <c r="N1277" s="20" t="n"/>
      <c r="O1277" s="20" t="n"/>
    </row>
    <row r="1278">
      <c r="A1278" s="16" t="n">
        <v>1275</v>
      </c>
      <c r="B1278" s="16" t="inlineStr">
        <is>
          <t>2.3.12.3.12</t>
        </is>
      </c>
      <c r="C1278" s="18" t="inlineStr">
        <is>
          <t>Part 2 – Technical Systems</t>
        </is>
      </c>
      <c r="D1278" s="18" t="inlineStr">
        <is>
          <t>2.3 INCIDENT AND RESOURCE MANAGEMENT SYSTEM (IRMS)</t>
        </is>
      </c>
      <c r="E1278" s="18" t="inlineStr">
        <is>
          <t>2.3.12 IRMS INTEGRATED GEOGRAPHICAL INFORMATION SYSTEM CAPABILITY</t>
        </is>
      </c>
      <c r="F1278" s="18" t="inlineStr">
        <is>
          <t>Spatial incident analysis</t>
        </is>
      </c>
      <c r="G1278" s="19" t="n"/>
      <c r="H1278" s="20" t="n"/>
      <c r="I1278" s="20" t="n"/>
      <c r="J1278" s="19" t="n"/>
      <c r="K1278" s="21" t="n"/>
      <c r="L1278" s="22">
        <f>IF(OR(J1278="",K1278=""),"",J1278*K1278)</f>
        <v/>
      </c>
      <c r="M1278" s="19" t="n"/>
      <c r="N1278" s="20" t="n"/>
      <c r="O1278" s="20" t="n"/>
    </row>
    <row r="1279">
      <c r="A1279" s="23" t="n">
        <v>1276</v>
      </c>
      <c r="B1279" s="23" t="inlineStr">
        <is>
          <t>2.3.12.3.13</t>
        </is>
      </c>
      <c r="C1279" s="25" t="inlineStr">
        <is>
          <t>Part 2 – Technical Systems</t>
        </is>
      </c>
      <c r="D1279" s="25" t="inlineStr">
        <is>
          <t>2.3 INCIDENT AND RESOURCE MANAGEMENT SYSTEM (IRMS)</t>
        </is>
      </c>
      <c r="E1279" s="25" t="inlineStr">
        <is>
          <t>2.3.12 IRMS INTEGRATED GEOGRAPHICAL INFORMATION SYSTEM CAPABILITY</t>
        </is>
      </c>
      <c r="F1279" s="25" t="inlineStr">
        <is>
          <t>Geo-fencing</t>
        </is>
      </c>
      <c r="G1279" s="19" t="n"/>
      <c r="H1279" s="20" t="n"/>
      <c r="I1279" s="20" t="n"/>
      <c r="J1279" s="19" t="n"/>
      <c r="K1279" s="21" t="n"/>
      <c r="L1279" s="22">
        <f>IF(OR(J1279="",K1279=""),"",J1279*K1279)</f>
        <v/>
      </c>
      <c r="M1279" s="19" t="n"/>
      <c r="N1279" s="20" t="n"/>
      <c r="O1279" s="20" t="n"/>
    </row>
    <row r="1280">
      <c r="A1280" s="16" t="n">
        <v>1277</v>
      </c>
      <c r="B1280" s="17" t="inlineStr">
        <is>
          <t>2.3.13.1</t>
        </is>
      </c>
      <c r="C1280" s="18" t="inlineStr">
        <is>
          <t>Part 2 – Technical Systems</t>
        </is>
      </c>
      <c r="D1280" s="18" t="inlineStr">
        <is>
          <t>2.3 INCIDENT AND RESOURCE MANAGEMENT SYSTEM (IRMS)</t>
        </is>
      </c>
      <c r="E1280" s="18" t="inlineStr">
        <is>
          <t>2.3.13 ESCALATED INCIDENTS AND EMERGENCIES MANAGEMENT</t>
        </is>
      </c>
      <c r="F1280" s="18" t="inlineStr">
        <is>
          <t>The MOI requires that the CONTRACTOR supplied IRMS solution incorporate handling emergency and crisis to support the OSS911 Center response to major emergency incidents.</t>
        </is>
      </c>
      <c r="G1280" s="19" t="n"/>
      <c r="H1280" s="20" t="n"/>
      <c r="I1280" s="20" t="n"/>
      <c r="J1280" s="19" t="n"/>
      <c r="K1280" s="21" t="n"/>
      <c r="L1280" s="22">
        <f>IF(OR(J1280="",K1280=""),"",J1280*K1280)</f>
        <v/>
      </c>
      <c r="M1280" s="19" t="n"/>
      <c r="N1280" s="20" t="n"/>
      <c r="O1280" s="20" t="n"/>
    </row>
    <row r="1281">
      <c r="A1281" s="23" t="n">
        <v>1278</v>
      </c>
      <c r="B1281" s="24" t="inlineStr">
        <is>
          <t>2.3.13.2</t>
        </is>
      </c>
      <c r="C1281" s="25" t="inlineStr">
        <is>
          <t>Part 2 – Technical Systems</t>
        </is>
      </c>
      <c r="D1281" s="25" t="inlineStr">
        <is>
          <t>2.3 INCIDENT AND RESOURCE MANAGEMENT SYSTEM (IRMS)</t>
        </is>
      </c>
      <c r="E1281" s="25" t="inlineStr">
        <is>
          <t>2.3.13 ESCALATED INCIDENTS AND EMERGENCIES MANAGEMENT</t>
        </is>
      </c>
      <c r="F1281" s="25" t="inlineStr">
        <is>
          <t>The BIDDER shall confirm the understanding of the MOI definition that an “Emergency Incident” is defined an occurrence or event, natural or man-made that requires an immediate response to protect life or property.</t>
        </is>
      </c>
      <c r="G1281" s="19" t="n"/>
      <c r="H1281" s="20" t="n"/>
      <c r="I1281" s="20" t="n"/>
      <c r="J1281" s="19" t="n"/>
      <c r="K1281" s="21" t="n"/>
      <c r="L1281" s="22">
        <f>IF(OR(J1281="",K1281=""),"",J1281*K1281)</f>
        <v/>
      </c>
      <c r="M1281" s="19" t="n"/>
      <c r="N1281" s="20" t="n"/>
      <c r="O1281" s="20" t="n"/>
    </row>
    <row r="1282">
      <c r="A1282" s="16" t="n">
        <v>1279</v>
      </c>
      <c r="B1282" s="17" t="inlineStr">
        <is>
          <t>2.3.13.3</t>
        </is>
      </c>
      <c r="C1282" s="18" t="inlineStr">
        <is>
          <t>Part 2 – Technical Systems</t>
        </is>
      </c>
      <c r="D1282" s="18" t="inlineStr">
        <is>
          <t>2.3 INCIDENT AND RESOURCE MANAGEMENT SYSTEM (IRMS)</t>
        </is>
      </c>
      <c r="E1282" s="18" t="inlineStr">
        <is>
          <t>2.3.13 ESCALATED INCIDENTS AND EMERGENCIES MANAGEMENT</t>
        </is>
      </c>
      <c r="F1282" s="18" t="inlineStr">
        <is>
          <t>The IRMS shall combine contingency plans, standard operating procedures and the data to provide support for commanders, incident managers and communications dispatchers for emergencies.</t>
        </is>
      </c>
      <c r="G1282" s="19" t="n"/>
      <c r="H1282" s="20" t="n"/>
      <c r="I1282" s="20" t="n"/>
      <c r="J1282" s="19" t="n"/>
      <c r="K1282" s="21" t="n"/>
      <c r="L1282" s="22">
        <f>IF(OR(J1282="",K1282=""),"",J1282*K1282)</f>
        <v/>
      </c>
      <c r="M1282" s="19" t="n"/>
      <c r="N1282" s="20" t="n"/>
      <c r="O1282" s="20" t="n"/>
    </row>
    <row r="1283">
      <c r="A1283" s="23" t="n">
        <v>1280</v>
      </c>
      <c r="B1283" s="24" t="inlineStr">
        <is>
          <t>2.3.13.4</t>
        </is>
      </c>
      <c r="C1283" s="25" t="inlineStr">
        <is>
          <t>Part 2 – Technical Systems</t>
        </is>
      </c>
      <c r="D1283" s="25" t="inlineStr">
        <is>
          <t>2.3 INCIDENT AND RESOURCE MANAGEMENT SYSTEM (IRMS)</t>
        </is>
      </c>
      <c r="E1283" s="25" t="inlineStr">
        <is>
          <t>2.3.13 ESCALATED INCIDENTS AND EMERGENCIES MANAGEMENT</t>
        </is>
      </c>
      <c r="F1283" s="25" t="inlineStr">
        <is>
          <t>The IRMS tool shall include a spatially referenced database of contingency plans integrated with the maps.</t>
        </is>
      </c>
      <c r="G1283" s="19" t="n"/>
      <c r="H1283" s="20" t="n"/>
      <c r="I1283" s="20" t="n"/>
      <c r="J1283" s="19" t="n"/>
      <c r="K1283" s="21" t="n"/>
      <c r="L1283" s="22">
        <f>IF(OR(J1283="",K1283=""),"",J1283*K1283)</f>
        <v/>
      </c>
      <c r="M1283" s="19" t="n"/>
      <c r="N1283" s="20" t="n"/>
      <c r="O1283" s="20" t="n"/>
    </row>
    <row r="1284">
      <c r="A1284" s="16" t="n">
        <v>1281</v>
      </c>
      <c r="B1284" s="17" t="inlineStr">
        <is>
          <t>2.3.13.5</t>
        </is>
      </c>
      <c r="C1284" s="18" t="inlineStr">
        <is>
          <t>Part 2 – Technical Systems</t>
        </is>
      </c>
      <c r="D1284" s="18" t="inlineStr">
        <is>
          <t>2.3 INCIDENT AND RESOURCE MANAGEMENT SYSTEM (IRMS)</t>
        </is>
      </c>
      <c r="E1284" s="18" t="inlineStr">
        <is>
          <t>2.3.13 ESCALATED INCIDENTS AND EMERGENCIES MANAGEMENT</t>
        </is>
      </c>
      <c r="F1284" s="18" t="inlineStr">
        <is>
          <t>The BIDDER shall provide a list of all the hazards and events the IRMS shall support and shall supply the necessary tools and training for the MOI to add more hazards and events to the system in future, should the need arise.</t>
        </is>
      </c>
      <c r="G1284" s="19" t="n"/>
      <c r="H1284" s="20" t="n"/>
      <c r="I1284" s="20" t="n"/>
      <c r="J1284" s="19" t="n"/>
      <c r="K1284" s="21" t="n"/>
      <c r="L1284" s="22">
        <f>IF(OR(J1284="",K1284=""),"",J1284*K1284)</f>
        <v/>
      </c>
      <c r="M1284" s="19" t="n"/>
      <c r="N1284" s="20" t="n"/>
      <c r="O1284" s="20" t="n"/>
    </row>
    <row r="1285">
      <c r="A1285" s="23" t="n">
        <v>1282</v>
      </c>
      <c r="B1285" s="24" t="inlineStr">
        <is>
          <t>2.3.13.6</t>
        </is>
      </c>
      <c r="C1285" s="25" t="inlineStr">
        <is>
          <t>Part 2 – Technical Systems</t>
        </is>
      </c>
      <c r="D1285" s="25" t="inlineStr">
        <is>
          <t>2.3 INCIDENT AND RESOURCE MANAGEMENT SYSTEM (IRMS)</t>
        </is>
      </c>
      <c r="E1285" s="25" t="inlineStr">
        <is>
          <t>2.3.13 ESCALATED INCIDENTS AND EMERGENCIES MANAGEMENT</t>
        </is>
      </c>
      <c r="F1285" s="25" t="inlineStr">
        <is>
          <t>The IRMS shall have the capability to assist commanders and operators to ascertain the nature and magnitude of an emergency or crisis situation so that appropriate resources can be deployed to limit the extent of disruption (Protect) and begin the Response and Recovery phases without delay.</t>
        </is>
      </c>
      <c r="G1285" s="19" t="n"/>
      <c r="H1285" s="20" t="n"/>
      <c r="I1285" s="20" t="n"/>
      <c r="J1285" s="19" t="n"/>
      <c r="K1285" s="21" t="n"/>
      <c r="L1285" s="22">
        <f>IF(OR(J1285="",K1285=""),"",J1285*K1285)</f>
        <v/>
      </c>
      <c r="M1285" s="19" t="n"/>
      <c r="N1285" s="20" t="n"/>
      <c r="O1285" s="20" t="n"/>
    </row>
    <row r="1286">
      <c r="A1286" s="16" t="n">
        <v>1283</v>
      </c>
      <c r="B1286" s="17" t="inlineStr">
        <is>
          <t>2.3.13.7</t>
        </is>
      </c>
      <c r="C1286" s="18" t="inlineStr">
        <is>
          <t>Part 2 – Technical Systems</t>
        </is>
      </c>
      <c r="D1286" s="18" t="inlineStr">
        <is>
          <t>2.3 INCIDENT AND RESOURCE MANAGEMENT SYSTEM (IRMS)</t>
        </is>
      </c>
      <c r="E1286" s="18" t="inlineStr">
        <is>
          <t>2.3.13 ESCALATED INCIDENTS AND EMERGENCIES MANAGEMENT</t>
        </is>
      </c>
      <c r="F1286" s="18" t="inlineStr">
        <is>
          <t>The IRMS shall be able to:</t>
        </is>
      </c>
      <c r="G1286" s="19" t="n"/>
      <c r="H1286" s="20" t="n"/>
      <c r="I1286" s="20" t="n"/>
      <c r="J1286" s="19" t="n"/>
      <c r="K1286" s="21" t="n"/>
      <c r="L1286" s="22">
        <f>IF(OR(J1286="",K1286=""),"",J1286*K1286)</f>
        <v/>
      </c>
      <c r="M1286" s="19" t="n"/>
      <c r="N1286" s="20" t="n"/>
      <c r="O1286" s="20" t="n"/>
    </row>
    <row r="1287">
      <c r="A1287" s="23" t="n">
        <v>1284</v>
      </c>
      <c r="B1287" s="23" t="inlineStr">
        <is>
          <t>2.3.13.7.1</t>
        </is>
      </c>
      <c r="C1287" s="25" t="inlineStr">
        <is>
          <t>Part 2 – Technical Systems</t>
        </is>
      </c>
      <c r="D1287" s="25" t="inlineStr">
        <is>
          <t>2.3 INCIDENT AND RESOURCE MANAGEMENT SYSTEM (IRMS)</t>
        </is>
      </c>
      <c r="E1287" s="25" t="inlineStr">
        <is>
          <t>2.3.13 ESCALATED INCIDENTS AND EMERGENCIES MANAGEMENT</t>
        </is>
      </c>
      <c r="F1287" s="25" t="inlineStr">
        <is>
          <t>Link an incident to the appropriate contingency plans.</t>
        </is>
      </c>
      <c r="G1287" s="19" t="n"/>
      <c r="H1287" s="20" t="n"/>
      <c r="I1287" s="20" t="n"/>
      <c r="J1287" s="19" t="n"/>
      <c r="K1287" s="21" t="n"/>
      <c r="L1287" s="22">
        <f>IF(OR(J1287="",K1287=""),"",J1287*K1287)</f>
        <v/>
      </c>
      <c r="M1287" s="19" t="n"/>
      <c r="N1287" s="20" t="n"/>
      <c r="O1287" s="20" t="n"/>
    </row>
    <row r="1288">
      <c r="A1288" s="16" t="n">
        <v>1285</v>
      </c>
      <c r="B1288" s="16" t="inlineStr">
        <is>
          <t>2.3.13.7.2</t>
        </is>
      </c>
      <c r="C1288" s="18" t="inlineStr">
        <is>
          <t>Part 2 – Technical Systems</t>
        </is>
      </c>
      <c r="D1288" s="18" t="inlineStr">
        <is>
          <t>2.3 INCIDENT AND RESOURCE MANAGEMENT SYSTEM (IRMS)</t>
        </is>
      </c>
      <c r="E1288" s="18" t="inlineStr">
        <is>
          <t>2.3.13 ESCALATED INCIDENTS AND EMERGENCIES MANAGEMENT</t>
        </is>
      </c>
      <c r="F1288" s="18" t="inlineStr">
        <is>
          <t>Prompt the dispatcher in line with prepared plans and documented SOPs.</t>
        </is>
      </c>
      <c r="G1288" s="19" t="n"/>
      <c r="H1288" s="20" t="n"/>
      <c r="I1288" s="20" t="n"/>
      <c r="J1288" s="19" t="n"/>
      <c r="K1288" s="21" t="n"/>
      <c r="L1288" s="22">
        <f>IF(OR(J1288="",K1288=""),"",J1288*K1288)</f>
        <v/>
      </c>
      <c r="M1288" s="19" t="n"/>
      <c r="N1288" s="20" t="n"/>
      <c r="O1288" s="20" t="n"/>
    </row>
    <row r="1289">
      <c r="A1289" s="23" t="n">
        <v>1286</v>
      </c>
      <c r="B1289" s="23" t="inlineStr">
        <is>
          <t>2.3.13.7.3</t>
        </is>
      </c>
      <c r="C1289" s="25" t="inlineStr">
        <is>
          <t>Part 2 – Technical Systems</t>
        </is>
      </c>
      <c r="D1289" s="25" t="inlineStr">
        <is>
          <t>2.3 INCIDENT AND RESOURCE MANAGEMENT SYSTEM (IRMS)</t>
        </is>
      </c>
      <c r="E1289" s="25" t="inlineStr">
        <is>
          <t>2.3.13 ESCALATED INCIDENTS AND EMERGENCIES MANAGEMENT</t>
        </is>
      </c>
      <c r="F1289" s="25" t="inlineStr">
        <is>
          <t>Identify associated hazards related to a location based on the provisioning of such information from the MOI.</t>
        </is>
      </c>
      <c r="G1289" s="19" t="n"/>
      <c r="H1289" s="20" t="n"/>
      <c r="I1289" s="20" t="n"/>
      <c r="J1289" s="19" t="n"/>
      <c r="K1289" s="21" t="n"/>
      <c r="L1289" s="22">
        <f>IF(OR(J1289="",K1289=""),"",J1289*K1289)</f>
        <v/>
      </c>
      <c r="M1289" s="19" t="n"/>
      <c r="N1289" s="20" t="n"/>
      <c r="O1289" s="20" t="n"/>
    </row>
    <row r="1290">
      <c r="A1290" s="16" t="n">
        <v>1287</v>
      </c>
      <c r="B1290" s="16" t="inlineStr">
        <is>
          <t>2.3.13.7.4</t>
        </is>
      </c>
      <c r="C1290" s="18" t="inlineStr">
        <is>
          <t>Part 2 – Technical Systems</t>
        </is>
      </c>
      <c r="D1290" s="18" t="inlineStr">
        <is>
          <t>2.3 INCIDENT AND RESOURCE MANAGEMENT SYSTEM (IRMS)</t>
        </is>
      </c>
      <c r="E1290" s="18" t="inlineStr">
        <is>
          <t>2.3.13 ESCALATED INCIDENTS AND EMERGENCIES MANAGEMENT</t>
        </is>
      </c>
      <c r="F1290" s="18" t="inlineStr">
        <is>
          <t>Locate resources, log incident activities, track requests and tasks, generate situation reports and communicate critical information across local and wide area networks and the internet.</t>
        </is>
      </c>
      <c r="G1290" s="19" t="n"/>
      <c r="H1290" s="20" t="n"/>
      <c r="I1290" s="20" t="n"/>
      <c r="J1290" s="19" t="n"/>
      <c r="K1290" s="21" t="n"/>
      <c r="L1290" s="22">
        <f>IF(OR(J1290="",K1290=""),"",J1290*K1290)</f>
        <v/>
      </c>
      <c r="M1290" s="19" t="n"/>
      <c r="N1290" s="20" t="n"/>
      <c r="O1290" s="20" t="n"/>
    </row>
    <row r="1291">
      <c r="A1291" s="23" t="n">
        <v>1288</v>
      </c>
      <c r="B1291" s="23" t="inlineStr">
        <is>
          <t>2.3.13.7.5</t>
        </is>
      </c>
      <c r="C1291" s="25" t="inlineStr">
        <is>
          <t>Part 2 – Technical Systems</t>
        </is>
      </c>
      <c r="D1291" s="25" t="inlineStr">
        <is>
          <t>2.3 INCIDENT AND RESOURCE MANAGEMENT SYSTEM (IRMS)</t>
        </is>
      </c>
      <c r="E1291" s="25" t="inlineStr">
        <is>
          <t>2.3.13 ESCALATED INCIDENTS AND EMERGENCIES MANAGEMENT</t>
        </is>
      </c>
      <c r="F1291" s="25" t="inlineStr">
        <is>
          <t>Identify resource availability, including their locations and specialist skills.</t>
        </is>
      </c>
      <c r="G1291" s="19" t="n"/>
      <c r="H1291" s="20" t="n"/>
      <c r="I1291" s="20" t="n"/>
      <c r="J1291" s="19" t="n"/>
      <c r="K1291" s="21" t="n"/>
      <c r="L1291" s="22">
        <f>IF(OR(J1291="",K1291=""),"",J1291*K1291)</f>
        <v/>
      </c>
      <c r="M1291" s="19" t="n"/>
      <c r="N1291" s="20" t="n"/>
      <c r="O1291" s="20" t="n"/>
    </row>
    <row r="1292">
      <c r="A1292" s="16" t="n">
        <v>1289</v>
      </c>
      <c r="B1292" s="16" t="inlineStr">
        <is>
          <t>2.3.13.7.6</t>
        </is>
      </c>
      <c r="C1292" s="18" t="inlineStr">
        <is>
          <t>Part 2 – Technical Systems</t>
        </is>
      </c>
      <c r="D1292" s="18" t="inlineStr">
        <is>
          <t>2.3 INCIDENT AND RESOURCE MANAGEMENT SYSTEM (IRMS)</t>
        </is>
      </c>
      <c r="E1292" s="18" t="inlineStr">
        <is>
          <t>2.3.13 ESCALATED INCIDENTS AND EMERGENCIES MANAGEMENT</t>
        </is>
      </c>
      <c r="F1292" s="18" t="inlineStr">
        <is>
          <t>Support task allocation to individuals, departments or Agencies.</t>
        </is>
      </c>
      <c r="G1292" s="19" t="n"/>
      <c r="H1292" s="20" t="n"/>
      <c r="I1292" s="20" t="n"/>
      <c r="J1292" s="19" t="n"/>
      <c r="K1292" s="21" t="n"/>
      <c r="L1292" s="22">
        <f>IF(OR(J1292="",K1292=""),"",J1292*K1292)</f>
        <v/>
      </c>
      <c r="M1292" s="19" t="n"/>
      <c r="N1292" s="20" t="n"/>
      <c r="O1292" s="20" t="n"/>
    </row>
    <row r="1293">
      <c r="A1293" s="23" t="n">
        <v>1290</v>
      </c>
      <c r="B1293" s="23" t="inlineStr">
        <is>
          <t>2.3.13.7.7</t>
        </is>
      </c>
      <c r="C1293" s="25" t="inlineStr">
        <is>
          <t>Part 2 – Technical Systems</t>
        </is>
      </c>
      <c r="D1293" s="25" t="inlineStr">
        <is>
          <t>2.3 INCIDENT AND RESOURCE MANAGEMENT SYSTEM (IRMS)</t>
        </is>
      </c>
      <c r="E1293" s="25" t="inlineStr">
        <is>
          <t>2.3.13 ESCALATED INCIDENTS AND EMERGENCIES MANAGEMENT</t>
        </is>
      </c>
      <c r="F1293" s="25" t="inlineStr">
        <is>
          <t>Maintain duty logs for recording all significant activities and actions taken during a fixed period of time (duty shift).</t>
        </is>
      </c>
      <c r="G1293" s="19" t="n"/>
      <c r="H1293" s="20" t="n"/>
      <c r="I1293" s="20" t="n"/>
      <c r="J1293" s="19" t="n"/>
      <c r="K1293" s="21" t="n"/>
      <c r="L1293" s="22">
        <f>IF(OR(J1293="",K1293=""),"",J1293*K1293)</f>
        <v/>
      </c>
      <c r="M1293" s="19" t="n"/>
      <c r="N1293" s="20" t="n"/>
      <c r="O1293" s="20" t="n"/>
    </row>
    <row r="1294">
      <c r="A1294" s="16" t="n">
        <v>1291</v>
      </c>
      <c r="B1294" s="17" t="inlineStr">
        <is>
          <t>2.3.13.8</t>
        </is>
      </c>
      <c r="C1294" s="18" t="inlineStr">
        <is>
          <t>Part 2 – Technical Systems</t>
        </is>
      </c>
      <c r="D1294" s="18" t="inlineStr">
        <is>
          <t>2.3 INCIDENT AND RESOURCE MANAGEMENT SYSTEM (IRMS)</t>
        </is>
      </c>
      <c r="E1294" s="18" t="inlineStr">
        <is>
          <t>2.3.13 ESCALATED INCIDENTS AND EMERGENCIES MANAGEMENT</t>
        </is>
      </c>
      <c r="F1294" s="18" t="inlineStr">
        <is>
          <t>The CONTRACTOR shall provide a solution for the IRMS to be able to disseminate through SMS solution warnings related to emergencies and crisis to agencies, and to people at large.</t>
        </is>
      </c>
      <c r="G1294" s="19" t="n"/>
      <c r="H1294" s="20" t="n"/>
      <c r="I1294" s="20" t="n"/>
      <c r="J1294" s="19" t="n"/>
      <c r="K1294" s="21" t="n"/>
      <c r="L1294" s="22">
        <f>IF(OR(J1294="",K1294=""),"",J1294*K1294)</f>
        <v/>
      </c>
      <c r="M1294" s="19" t="n"/>
      <c r="N1294" s="20" t="n"/>
      <c r="O1294" s="20" t="n"/>
    </row>
    <row r="1295">
      <c r="A1295" s="23" t="n">
        <v>1292</v>
      </c>
      <c r="B1295" s="24" t="inlineStr">
        <is>
          <t>2.3.13.9</t>
        </is>
      </c>
      <c r="C1295" s="25" t="inlineStr">
        <is>
          <t>Part 2 – Technical Systems</t>
        </is>
      </c>
      <c r="D1295" s="25" t="inlineStr">
        <is>
          <t>2.3 INCIDENT AND RESOURCE MANAGEMENT SYSTEM (IRMS)</t>
        </is>
      </c>
      <c r="E1295" s="25" t="inlineStr">
        <is>
          <t>2.3.13 ESCALATED INCIDENTS AND EMERGENCIES MANAGEMENT</t>
        </is>
      </c>
      <c r="F1295" s="25" t="inlineStr">
        <is>
          <t>The CONTRACTOR shall provide a solution for the IRMS to be able to disseminate through SMS alerts to agency staff and officials informing them about an event and for eliciting their participation in event resolution.</t>
        </is>
      </c>
      <c r="G1295" s="19" t="n"/>
      <c r="H1295" s="20" t="n"/>
      <c r="I1295" s="20" t="n"/>
      <c r="J1295" s="19" t="n"/>
      <c r="K1295" s="21" t="n"/>
      <c r="L1295" s="22">
        <f>IF(OR(J1295="",K1295=""),"",J1295*K1295)</f>
        <v/>
      </c>
      <c r="M1295" s="19" t="n"/>
      <c r="N1295" s="20" t="n"/>
      <c r="O1295" s="20" t="n"/>
    </row>
    <row r="1296">
      <c r="A1296" s="16" t="n">
        <v>1293</v>
      </c>
      <c r="B1296" s="17" t="inlineStr">
        <is>
          <t>2.3.13.10</t>
        </is>
      </c>
      <c r="C1296" s="18" t="inlineStr">
        <is>
          <t>Part 2 – Technical Systems</t>
        </is>
      </c>
      <c r="D1296" s="18" t="inlineStr">
        <is>
          <t>2.3 INCIDENT AND RESOURCE MANAGEMENT SYSTEM (IRMS)</t>
        </is>
      </c>
      <c r="E1296" s="18" t="inlineStr">
        <is>
          <t>2.3.13 ESCALATED INCIDENTS AND EMERGENCIES MANAGEMENT</t>
        </is>
      </c>
      <c r="F1296" s="18" t="inlineStr">
        <is>
          <t>The IRMS shall support OSS911 operators and supervisors by providing the following capability:</t>
        </is>
      </c>
      <c r="G1296" s="19" t="n"/>
      <c r="H1296" s="20" t="n"/>
      <c r="I1296" s="20" t="n"/>
      <c r="J1296" s="19" t="n"/>
      <c r="K1296" s="21" t="n"/>
      <c r="L1296" s="22">
        <f>IF(OR(J1296="",K1296=""),"",J1296*K1296)</f>
        <v/>
      </c>
      <c r="M1296" s="19" t="n"/>
      <c r="N1296" s="20" t="n"/>
      <c r="O1296" s="20" t="n"/>
    </row>
    <row r="1297">
      <c r="A1297" s="23" t="n">
        <v>1294</v>
      </c>
      <c r="B1297" s="23" t="inlineStr">
        <is>
          <t>2.3.13.10.1</t>
        </is>
      </c>
      <c r="C1297" s="25" t="inlineStr">
        <is>
          <t>Part 2 – Technical Systems</t>
        </is>
      </c>
      <c r="D1297" s="25" t="inlineStr">
        <is>
          <t>2.3 INCIDENT AND RESOURCE MANAGEMENT SYSTEM (IRMS)</t>
        </is>
      </c>
      <c r="E1297" s="25" t="inlineStr">
        <is>
          <t>2.3.13 ESCALATED INCIDENTS AND EMERGENCIES MANAGEMENT</t>
        </is>
      </c>
      <c r="F1297" s="25" t="inlineStr">
        <is>
          <t>Assess and Control Hazards a. Analyse the hazard b. Display links for relevant SOPs based on type and location of the crisis event, c. Determine and disseminate the public warnings, d. Display links for relevant SOPs based on type and location of the crisis event.</t>
        </is>
      </c>
      <c r="G1297" s="19" t="n"/>
      <c r="H1297" s="20" t="n"/>
      <c r="I1297" s="20" t="n"/>
      <c r="J1297" s="19" t="n"/>
      <c r="K1297" s="21" t="n"/>
      <c r="L1297" s="22">
        <f>IF(OR(J1297="",K1297=""),"",J1297*K1297)</f>
        <v/>
      </c>
      <c r="M1297" s="19" t="n"/>
      <c r="N1297" s="20" t="n"/>
      <c r="O1297" s="20" t="n"/>
    </row>
    <row r="1298">
      <c r="A1298" s="16" t="n">
        <v>1295</v>
      </c>
      <c r="B1298" s="16" t="inlineStr">
        <is>
          <t>2.3.13.10.2</t>
        </is>
      </c>
      <c r="C1298" s="18" t="inlineStr">
        <is>
          <t>Part 2 – Technical Systems</t>
        </is>
      </c>
      <c r="D1298" s="18" t="inlineStr">
        <is>
          <t>2.3 INCIDENT AND RESOURCE MANAGEMENT SYSTEM (IRMS)</t>
        </is>
      </c>
      <c r="E1298" s="18" t="inlineStr">
        <is>
          <t>2.3.13 ESCALATED INCIDENTS AND EMERGENCIES MANAGEMENT</t>
        </is>
      </c>
      <c r="F1298" s="18" t="inlineStr">
        <is>
          <t>Ensure that the solution will deliver and display links for relevant SOPs based on type and location.</t>
        </is>
      </c>
      <c r="G1298" s="19" t="n"/>
      <c r="H1298" s="20" t="n"/>
      <c r="I1298" s="20" t="n"/>
      <c r="J1298" s="19" t="n"/>
      <c r="K1298" s="21" t="n"/>
      <c r="L1298" s="22">
        <f>IF(OR(J1298="",K1298=""),"",J1298*K1298)</f>
        <v/>
      </c>
      <c r="M1298" s="19" t="n"/>
      <c r="N1298" s="20" t="n"/>
      <c r="O1298" s="20" t="n"/>
    </row>
    <row r="1299">
      <c r="A1299" s="23" t="n">
        <v>1296</v>
      </c>
      <c r="B1299" s="23" t="inlineStr">
        <is>
          <t>2.3.13.10.3</t>
        </is>
      </c>
      <c r="C1299" s="25" t="inlineStr">
        <is>
          <t>Part 2 – Technical Systems</t>
        </is>
      </c>
      <c r="D1299" s="25" t="inlineStr">
        <is>
          <t>2.3 INCIDENT AND RESOURCE MANAGEMENT SYSTEM (IRMS)</t>
        </is>
      </c>
      <c r="E1299" s="25" t="inlineStr">
        <is>
          <t>2.3.13 ESCALATED INCIDENTS AND EMERGENCIES MANAGEMENT</t>
        </is>
      </c>
      <c r="F1299" s="25" t="inlineStr">
        <is>
          <t>Ensure that the solution will deliver and display links for relevant SOPs based on type and location and capture the relevant task and activity data.</t>
        </is>
      </c>
      <c r="G1299" s="19" t="n"/>
      <c r="H1299" s="20" t="n"/>
      <c r="I1299" s="20" t="n"/>
      <c r="J1299" s="19" t="n"/>
      <c r="K1299" s="21" t="n"/>
      <c r="L1299" s="22">
        <f>IF(OR(J1299="",K1299=""),"",J1299*K1299)</f>
        <v/>
      </c>
      <c r="M1299" s="19" t="n"/>
      <c r="N1299" s="20" t="n"/>
      <c r="O1299" s="20" t="n"/>
    </row>
    <row r="1300">
      <c r="A1300" s="16" t="n">
        <v>1297</v>
      </c>
      <c r="B1300" s="16" t="inlineStr">
        <is>
          <t>2.3.13.10.4</t>
        </is>
      </c>
      <c r="C1300" s="18" t="inlineStr">
        <is>
          <t>Part 2 – Technical Systems</t>
        </is>
      </c>
      <c r="D1300" s="18" t="inlineStr">
        <is>
          <t>2.3 INCIDENT AND RESOURCE MANAGEMENT SYSTEM (IRMS)</t>
        </is>
      </c>
      <c r="E1300" s="18" t="inlineStr">
        <is>
          <t>2.3.13 ESCALATED INCIDENTS AND EMERGENCIES MANAGEMENT</t>
        </is>
      </c>
      <c r="F1300" s="18" t="inlineStr">
        <is>
          <t>Ensure that the solution will deliver and display links for relevant SOPs based on type and location and capture the relevant task and activity data.</t>
        </is>
      </c>
      <c r="G1300" s="19" t="n"/>
      <c r="H1300" s="20" t="n"/>
      <c r="I1300" s="20" t="n"/>
      <c r="J1300" s="19" t="n"/>
      <c r="K1300" s="21" t="n"/>
      <c r="L1300" s="22">
        <f>IF(OR(J1300="",K1300=""),"",J1300*K1300)</f>
        <v/>
      </c>
      <c r="M1300" s="19" t="n"/>
      <c r="N1300" s="20" t="n"/>
      <c r="O1300" s="20" t="n"/>
    </row>
    <row r="1301">
      <c r="A1301" s="23" t="n">
        <v>1298</v>
      </c>
      <c r="B1301" s="24" t="inlineStr">
        <is>
          <t>2.3.13.11</t>
        </is>
      </c>
      <c r="C1301" s="25" t="inlineStr">
        <is>
          <t>Part 2 – Technical Systems</t>
        </is>
      </c>
      <c r="D1301" s="25" t="inlineStr">
        <is>
          <t>2.3 INCIDENT AND RESOURCE MANAGEMENT SYSTEM (IRMS)</t>
        </is>
      </c>
      <c r="E1301" s="25" t="inlineStr">
        <is>
          <t>2.3.13 ESCALATED INCIDENTS AND EMERGENCIES MANAGEMENT</t>
        </is>
      </c>
      <c r="F1301" s="25" t="inlineStr">
        <is>
          <t>Information that shall be available through the IRMS shall include, at a minimum:</t>
        </is>
      </c>
      <c r="G1301" s="19" t="n"/>
      <c r="H1301" s="20" t="n"/>
      <c r="I1301" s="20" t="n"/>
      <c r="J1301" s="19" t="n"/>
      <c r="K1301" s="21" t="n"/>
      <c r="L1301" s="22">
        <f>IF(OR(J1301="",K1301=""),"",J1301*K1301)</f>
        <v/>
      </c>
      <c r="M1301" s="19" t="n"/>
      <c r="N1301" s="20" t="n"/>
      <c r="O1301" s="20" t="n"/>
    </row>
    <row r="1302">
      <c r="A1302" s="16" t="n">
        <v>1299</v>
      </c>
      <c r="B1302" s="16" t="inlineStr">
        <is>
          <t>2.3.13.11.1</t>
        </is>
      </c>
      <c r="C1302" s="18" t="inlineStr">
        <is>
          <t>Part 2 – Technical Systems</t>
        </is>
      </c>
      <c r="D1302" s="18" t="inlineStr">
        <is>
          <t>2.3 INCIDENT AND RESOURCE MANAGEMENT SYSTEM (IRMS)</t>
        </is>
      </c>
      <c r="E1302" s="18" t="inlineStr">
        <is>
          <t>2.3.13 ESCALATED INCIDENTS AND EMERGENCIES MANAGEMENT</t>
        </is>
      </c>
      <c r="F1302" s="18" t="inlineStr">
        <is>
          <t>Initial Notification - Recognizing that an emergency has occurred and then notifying the proper agencies and authorities to respond to the emergency.</t>
        </is>
      </c>
      <c r="G1302" s="19" t="n"/>
      <c r="H1302" s="20" t="n"/>
      <c r="I1302" s="20" t="n"/>
      <c r="J1302" s="19" t="n"/>
      <c r="K1302" s="21" t="n"/>
      <c r="L1302" s="22">
        <f>IF(OR(J1302="",K1302=""),"",J1302*K1302)</f>
        <v/>
      </c>
      <c r="M1302" s="19" t="n"/>
      <c r="N1302" s="20" t="n"/>
      <c r="O1302" s="20" t="n"/>
    </row>
    <row r="1303">
      <c r="A1303" s="23" t="n">
        <v>1300</v>
      </c>
      <c r="B1303" s="23" t="inlineStr">
        <is>
          <t>2.3.13.11.2</t>
        </is>
      </c>
      <c r="C1303" s="25" t="inlineStr">
        <is>
          <t>Part 2 – Technical Systems</t>
        </is>
      </c>
      <c r="D1303" s="25" t="inlineStr">
        <is>
          <t>2.3 INCIDENT AND RESOURCE MANAGEMENT SYSTEM (IRMS)</t>
        </is>
      </c>
      <c r="E1303" s="25" t="inlineStr">
        <is>
          <t>2.3.13 ESCALATED INCIDENTS AND EMERGENCIES MANAGEMENT</t>
        </is>
      </c>
      <c r="F1303" s="25" t="inlineStr">
        <is>
          <t>Incident Assessment -The procedures to be followed by those who arrive on the scene first and identify the risks posed by the incident.</t>
        </is>
      </c>
      <c r="G1303" s="19" t="n"/>
      <c r="H1303" s="20" t="n"/>
      <c r="I1303" s="20" t="n"/>
      <c r="J1303" s="19" t="n"/>
      <c r="K1303" s="21" t="n"/>
      <c r="L1303" s="22">
        <f>IF(OR(J1303="",K1303=""),"",J1303*K1303)</f>
        <v/>
      </c>
      <c r="M1303" s="19" t="n"/>
      <c r="N1303" s="20" t="n"/>
      <c r="O1303" s="20" t="n"/>
    </row>
    <row r="1304">
      <c r="A1304" s="16" t="n">
        <v>1301</v>
      </c>
      <c r="B1304" s="16" t="inlineStr">
        <is>
          <t>2.3.13.11.3</t>
        </is>
      </c>
      <c r="C1304" s="18" t="inlineStr">
        <is>
          <t>Part 2 – Technical Systems</t>
        </is>
      </c>
      <c r="D1304" s="18" t="inlineStr">
        <is>
          <t>2.3 INCIDENT AND RESOURCE MANAGEMENT SYSTEM (IRMS)</t>
        </is>
      </c>
      <c r="E1304" s="18" t="inlineStr">
        <is>
          <t>2.3.13 ESCALATED INCIDENTS AND EMERGENCIES MANAGEMENT</t>
        </is>
      </c>
      <c r="F1304" s="18" t="inlineStr">
        <is>
          <t>Incident Command - The processes used by the OSS911 to implement an Incident Command and manage emergency operations.</t>
        </is>
      </c>
      <c r="G1304" s="19" t="n"/>
      <c r="H1304" s="20" t="n"/>
      <c r="I1304" s="20" t="n"/>
      <c r="J1304" s="19" t="n"/>
      <c r="K1304" s="21" t="n"/>
      <c r="L1304" s="22">
        <f>IF(OR(J1304="",K1304=""),"",J1304*K1304)</f>
        <v/>
      </c>
      <c r="M1304" s="19" t="n"/>
      <c r="N1304" s="20" t="n"/>
      <c r="O1304" s="20" t="n"/>
    </row>
    <row r="1305">
      <c r="A1305" s="23" t="n">
        <v>1302</v>
      </c>
      <c r="B1305" s="23" t="inlineStr">
        <is>
          <t>2.3.13.11.4</t>
        </is>
      </c>
      <c r="C1305" s="25" t="inlineStr">
        <is>
          <t>Part 2 – Technical Systems</t>
        </is>
      </c>
      <c r="D1305" s="25" t="inlineStr">
        <is>
          <t>2.3 INCIDENT AND RESOURCE MANAGEMENT SYSTEM (IRMS)</t>
        </is>
      </c>
      <c r="E1305" s="25" t="inlineStr">
        <is>
          <t>2.3.13 ESCALATED INCIDENTS AND EMERGENCIES MANAGEMENT</t>
        </is>
      </c>
      <c r="F1305" s="25" t="inlineStr">
        <is>
          <t>Communications - The processes for providing reliable and effective communications among organizations participating in an emergency operation.</t>
        </is>
      </c>
      <c r="G1305" s="19" t="n"/>
      <c r="H1305" s="20" t="n"/>
      <c r="I1305" s="20" t="n"/>
      <c r="J1305" s="19" t="n"/>
      <c r="K1305" s="21" t="n"/>
      <c r="L1305" s="22">
        <f>IF(OR(J1305="",K1305=""),"",J1305*K1305)</f>
        <v/>
      </c>
      <c r="M1305" s="19" t="n"/>
      <c r="N1305" s="20" t="n"/>
      <c r="O1305" s="20" t="n"/>
    </row>
    <row r="1306">
      <c r="A1306" s="16" t="n">
        <v>1303</v>
      </c>
      <c r="B1306" s="16" t="inlineStr">
        <is>
          <t>2.3.13.11.5</t>
        </is>
      </c>
      <c r="C1306" s="18" t="inlineStr">
        <is>
          <t>Part 2 – Technical Systems</t>
        </is>
      </c>
      <c r="D1306" s="18" t="inlineStr">
        <is>
          <t>2.3 INCIDENT AND RESOURCE MANAGEMENT SYSTEM (IRMS)</t>
        </is>
      </c>
      <c r="E1306" s="18" t="inlineStr">
        <is>
          <t>2.3.13 ESCALATED INCIDENTS AND EMERGENCIES MANAGEMENT</t>
        </is>
      </c>
      <c r="F1306" s="18" t="inlineStr">
        <is>
          <t>Warning - The system that provides reliable, timely, and effective warnings to the public at the onset and throughout a disaster.</t>
        </is>
      </c>
      <c r="G1306" s="19" t="n"/>
      <c r="H1306" s="20" t="n"/>
      <c r="I1306" s="20" t="n"/>
      <c r="J1306" s="19" t="n"/>
      <c r="K1306" s="21" t="n"/>
      <c r="L1306" s="22">
        <f>IF(OR(J1306="",K1306=""),"",J1306*K1306)</f>
        <v/>
      </c>
      <c r="M1306" s="19" t="n"/>
      <c r="N1306" s="20" t="n"/>
      <c r="O1306" s="20" t="n"/>
    </row>
    <row r="1307">
      <c r="A1307" s="23" t="n">
        <v>1304</v>
      </c>
      <c r="B1307" s="23" t="inlineStr">
        <is>
          <t>2.3.13.11.6</t>
        </is>
      </c>
      <c r="C1307" s="25" t="inlineStr">
        <is>
          <t>Part 2 – Technical Systems</t>
        </is>
      </c>
      <c r="D1307" s="25" t="inlineStr">
        <is>
          <t>2.3 INCIDENT AND RESOURCE MANAGEMENT SYSTEM (IRMS)</t>
        </is>
      </c>
      <c r="E1307" s="25" t="inlineStr">
        <is>
          <t>2.3.13 ESCALATED INCIDENTS AND EMERGENCIES MANAGEMENT</t>
        </is>
      </c>
      <c r="F1307" s="25" t="inlineStr">
        <is>
          <t>Resource Management - The resource management mechanisms used to identify and acquire resources during the response to a disaster.</t>
        </is>
      </c>
      <c r="G1307" s="19" t="n"/>
      <c r="H1307" s="20" t="n"/>
      <c r="I1307" s="20" t="n"/>
      <c r="J1307" s="19" t="n"/>
      <c r="K1307" s="21" t="n"/>
      <c r="L1307" s="22">
        <f>IF(OR(J1307="",K1307=""),"",J1307*K1307)</f>
        <v/>
      </c>
      <c r="M1307" s="19" t="n"/>
      <c r="N1307" s="20" t="n"/>
      <c r="O1307" s="20" t="n"/>
    </row>
    <row r="1308">
      <c r="A1308" s="16" t="n">
        <v>1305</v>
      </c>
      <c r="B1308" s="16" t="inlineStr">
        <is>
          <t>2.3.13.11.7</t>
        </is>
      </c>
      <c r="C1308" s="18" t="inlineStr">
        <is>
          <t>Part 2 – Technical Systems</t>
        </is>
      </c>
      <c r="D1308" s="18" t="inlineStr">
        <is>
          <t>2.3 INCIDENT AND RESOURCE MANAGEMENT SYSTEM (IRMS)</t>
        </is>
      </c>
      <c r="E1308" s="18" t="inlineStr">
        <is>
          <t>2.3.13 ESCALATED INCIDENTS AND EMERGENCIES MANAGEMENT</t>
        </is>
      </c>
      <c r="F1308" s="18" t="inlineStr">
        <is>
          <t>Critical Infrastructure and Key Resource Restoration</t>
        </is>
      </c>
      <c r="G1308" s="19" t="n"/>
      <c r="H1308" s="20" t="n"/>
      <c r="I1308" s="20" t="n"/>
      <c r="J1308" s="19" t="n"/>
      <c r="K1308" s="21" t="n"/>
      <c r="L1308" s="22">
        <f>IF(OR(J1308="",K1308=""),"",J1308*K1308)</f>
        <v/>
      </c>
      <c r="M1308" s="19" t="n"/>
      <c r="N1308" s="20" t="n"/>
      <c r="O1308" s="20" t="n"/>
    </row>
    <row r="1309">
      <c r="A1309" s="23" t="n">
        <v>1306</v>
      </c>
      <c r="B1309" s="24" t="inlineStr">
        <is>
          <t>2.3.13.12</t>
        </is>
      </c>
      <c r="C1309" s="25" t="inlineStr">
        <is>
          <t>Part 2 – Technical Systems</t>
        </is>
      </c>
      <c r="D1309" s="25" t="inlineStr">
        <is>
          <t>2.3 INCIDENT AND RESOURCE MANAGEMENT SYSTEM (IRMS)</t>
        </is>
      </c>
      <c r="E1309" s="25" t="inlineStr">
        <is>
          <t>2.3.13 ESCALATED INCIDENTS AND EMERGENCIES MANAGEMENT</t>
        </is>
      </c>
      <c r="F1309" s="25" t="inlineStr">
        <is>
          <t>The CONTRACTOR shall supply integrated IRMS solutions to take care of escalated incident and emergencies management for the following operational functions as described in this document:</t>
        </is>
      </c>
      <c r="G1309" s="19" t="n"/>
      <c r="H1309" s="20" t="n"/>
      <c r="I1309" s="20" t="n"/>
      <c r="J1309" s="19" t="n"/>
      <c r="K1309" s="21" t="n"/>
      <c r="L1309" s="22">
        <f>IF(OR(J1309="",K1309=""),"",J1309*K1309)</f>
        <v/>
      </c>
      <c r="M1309" s="19" t="n"/>
      <c r="N1309" s="20" t="n"/>
      <c r="O1309" s="20" t="n"/>
    </row>
    <row r="1310">
      <c r="A1310" s="16" t="n">
        <v>1307</v>
      </c>
      <c r="B1310" s="16" t="inlineStr">
        <is>
          <t>2.3.13.12.1</t>
        </is>
      </c>
      <c r="C1310" s="18" t="inlineStr">
        <is>
          <t>Part 2 – Technical Systems</t>
        </is>
      </c>
      <c r="D1310" s="18" t="inlineStr">
        <is>
          <t>2.3 INCIDENT AND RESOURCE MANAGEMENT SYSTEM (IRMS)</t>
        </is>
      </c>
      <c r="E1310" s="18" t="inlineStr">
        <is>
          <t>2.3.13 ESCALATED INCIDENTS AND EMERGENCIES MANAGEMENT</t>
        </is>
      </c>
      <c r="F1310" s="18" t="inlineStr">
        <is>
          <t>Crisis management</t>
        </is>
      </c>
      <c r="G1310" s="19" t="n"/>
      <c r="H1310" s="20" t="n"/>
      <c r="I1310" s="20" t="n"/>
      <c r="J1310" s="19" t="n"/>
      <c r="K1310" s="21" t="n"/>
      <c r="L1310" s="22">
        <f>IF(OR(J1310="",K1310=""),"",J1310*K1310)</f>
        <v/>
      </c>
      <c r="M1310" s="19" t="n"/>
      <c r="N1310" s="20" t="n"/>
      <c r="O1310" s="20" t="n"/>
    </row>
    <row r="1311">
      <c r="A1311" s="23" t="n">
        <v>1308</v>
      </c>
      <c r="B1311" s="23" t="inlineStr">
        <is>
          <t>2.3.13.12.2</t>
        </is>
      </c>
      <c r="C1311" s="25" t="inlineStr">
        <is>
          <t>Part 2 – Technical Systems</t>
        </is>
      </c>
      <c r="D1311" s="25" t="inlineStr">
        <is>
          <t>2.3 INCIDENT AND RESOURCE MANAGEMENT SYSTEM (IRMS)</t>
        </is>
      </c>
      <c r="E1311" s="25" t="inlineStr">
        <is>
          <t>2.3.13 ESCALATED INCIDENTS AND EMERGENCIES MANAGEMENT</t>
        </is>
      </c>
      <c r="F1311" s="25" t="inlineStr">
        <is>
          <t>Joint Operations Dispatch</t>
        </is>
      </c>
      <c r="G1311" s="19" t="n"/>
      <c r="H1311" s="20" t="n"/>
      <c r="I1311" s="20" t="n"/>
      <c r="J1311" s="19" t="n"/>
      <c r="K1311" s="21" t="n"/>
      <c r="L1311" s="22">
        <f>IF(OR(J1311="",K1311=""),"",J1311*K1311)</f>
        <v/>
      </c>
      <c r="M1311" s="19" t="n"/>
      <c r="N1311" s="20" t="n"/>
      <c r="O1311" s="20" t="n"/>
    </row>
    <row r="1312">
      <c r="A1312" s="16" t="n">
        <v>1309</v>
      </c>
      <c r="B1312" s="16" t="inlineStr">
        <is>
          <t>2.3.13.12.3</t>
        </is>
      </c>
      <c r="C1312" s="18" t="inlineStr">
        <is>
          <t>Part 2 – Technical Systems</t>
        </is>
      </c>
      <c r="D1312" s="18" t="inlineStr">
        <is>
          <t>2.3 INCIDENT AND RESOURCE MANAGEMENT SYSTEM (IRMS)</t>
        </is>
      </c>
      <c r="E1312" s="18" t="inlineStr">
        <is>
          <t>2.3.13 ESCALATED INCIDENTS AND EMERGENCIES MANAGEMENT</t>
        </is>
      </c>
      <c r="F1312" s="18" t="inlineStr">
        <is>
          <t>Joint Operations Liaisons</t>
        </is>
      </c>
      <c r="G1312" s="19" t="n"/>
      <c r="H1312" s="20" t="n"/>
      <c r="I1312" s="20" t="n"/>
      <c r="J1312" s="19" t="n"/>
      <c r="K1312" s="21" t="n"/>
      <c r="L1312" s="22">
        <f>IF(OR(J1312="",K1312=""),"",J1312*K1312)</f>
        <v/>
      </c>
      <c r="M1312" s="19" t="n"/>
      <c r="N1312" s="20" t="n"/>
      <c r="O1312" s="20" t="n"/>
    </row>
    <row r="1313">
      <c r="A1313" s="23" t="n">
        <v>1310</v>
      </c>
      <c r="B1313" s="24" t="inlineStr">
        <is>
          <t>2.3.14.1</t>
        </is>
      </c>
      <c r="C1313" s="25" t="inlineStr">
        <is>
          <t>Part 2 – Technical Systems</t>
        </is>
      </c>
      <c r="D1313" s="25" t="inlineStr">
        <is>
          <t>2.3 INCIDENT AND RESOURCE MANAGEMENT SYSTEM (IRMS)</t>
        </is>
      </c>
      <c r="E1313" s="25" t="inlineStr">
        <is>
          <t>2.3.14 MULTI-AGENCY RESOURCE MANAGEMENT</t>
        </is>
      </c>
      <c r="F1313" s="25" t="inlineStr">
        <is>
          <t>The MOI requires that the IRMS incorporate integrated multi-agency resource management which can be used to identify and track resources and display their availability for allocation in response to incidents.</t>
        </is>
      </c>
      <c r="G1313" s="19" t="n"/>
      <c r="H1313" s="20" t="n"/>
      <c r="I1313" s="20" t="n"/>
      <c r="J1313" s="19" t="n"/>
      <c r="K1313" s="21" t="n"/>
      <c r="L1313" s="22">
        <f>IF(OR(J1313="",K1313=""),"",J1313*K1313)</f>
        <v/>
      </c>
      <c r="M1313" s="19" t="n"/>
      <c r="N1313" s="20" t="n"/>
      <c r="O1313" s="20" t="n"/>
    </row>
    <row r="1314">
      <c r="A1314" s="16" t="n">
        <v>1311</v>
      </c>
      <c r="B1314" s="17" t="inlineStr">
        <is>
          <t>2.3.14.2</t>
        </is>
      </c>
      <c r="C1314" s="18" t="inlineStr">
        <is>
          <t>Part 2 – Technical Systems</t>
        </is>
      </c>
      <c r="D1314" s="18" t="inlineStr">
        <is>
          <t>2.3 INCIDENT AND RESOURCE MANAGEMENT SYSTEM (IRMS)</t>
        </is>
      </c>
      <c r="E1314" s="18" t="inlineStr">
        <is>
          <t>2.3.14 MULTI-AGENCY RESOURCE MANAGEMENT</t>
        </is>
      </c>
      <c r="F1314" s="18" t="inlineStr">
        <is>
          <t>The BIDDER shall confirm their understanding that a resource can be defined as personnel, a deployable asset or combination of assets. Assets may include vehicles and equipment, among other items.</t>
        </is>
      </c>
      <c r="G1314" s="19" t="n"/>
      <c r="H1314" s="20" t="n"/>
      <c r="I1314" s="20" t="n"/>
      <c r="J1314" s="19" t="n"/>
      <c r="K1314" s="21" t="n"/>
      <c r="L1314" s="22">
        <f>IF(OR(J1314="",K1314=""),"",J1314*K1314)</f>
        <v/>
      </c>
      <c r="M1314" s="19" t="n"/>
      <c r="N1314" s="20" t="n"/>
      <c r="O1314" s="20" t="n"/>
    </row>
    <row r="1315">
      <c r="A1315" s="23" t="n">
        <v>1312</v>
      </c>
      <c r="B1315" s="24" t="inlineStr">
        <is>
          <t>2.3.14.3</t>
        </is>
      </c>
      <c r="C1315" s="25" t="inlineStr">
        <is>
          <t>Part 2 – Technical Systems</t>
        </is>
      </c>
      <c r="D1315" s="25" t="inlineStr">
        <is>
          <t>2.3 INCIDENT AND RESOURCE MANAGEMENT SYSTEM (IRMS)</t>
        </is>
      </c>
      <c r="E1315" s="25" t="inlineStr">
        <is>
          <t>2.3.14 MULTI-AGENCY RESOURCE MANAGEMENT</t>
        </is>
      </c>
      <c r="F1315" s="25" t="inlineStr">
        <is>
          <t>The IRMS will hold data about resources for use by authorized personnel in the OSS911 Center.</t>
        </is>
      </c>
      <c r="G1315" s="19" t="n"/>
      <c r="H1315" s="20" t="n"/>
      <c r="I1315" s="20" t="n"/>
      <c r="J1315" s="19" t="n"/>
      <c r="K1315" s="21" t="n"/>
      <c r="L1315" s="22">
        <f>IF(OR(J1315="",K1315=""),"",J1315*K1315)</f>
        <v/>
      </c>
      <c r="M1315" s="19" t="n"/>
      <c r="N1315" s="20" t="n"/>
      <c r="O1315" s="20" t="n"/>
    </row>
    <row r="1316">
      <c r="A1316" s="16" t="n">
        <v>1313</v>
      </c>
      <c r="B1316" s="17" t="inlineStr">
        <is>
          <t>2.3.14.4</t>
        </is>
      </c>
      <c r="C1316" s="18" t="inlineStr">
        <is>
          <t>Part 2 – Technical Systems</t>
        </is>
      </c>
      <c r="D1316" s="18" t="inlineStr">
        <is>
          <t>2.3 INCIDENT AND RESOURCE MANAGEMENT SYSTEM (IRMS)</t>
        </is>
      </c>
      <c r="E1316" s="18" t="inlineStr">
        <is>
          <t>2.3.14 MULTI-AGENCY RESOURCE MANAGEMENT</t>
        </is>
      </c>
      <c r="F1316" s="18" t="inlineStr">
        <is>
          <t>The IRMS shall provide map-based tracking of assets.</t>
        </is>
      </c>
      <c r="G1316" s="19" t="n"/>
      <c r="H1316" s="20" t="n"/>
      <c r="I1316" s="20" t="n"/>
      <c r="J1316" s="19" t="n"/>
      <c r="K1316" s="21" t="n"/>
      <c r="L1316" s="22">
        <f>IF(OR(J1316="",K1316=""),"",J1316*K1316)</f>
        <v/>
      </c>
      <c r="M1316" s="19" t="n"/>
      <c r="N1316" s="20" t="n"/>
      <c r="O1316" s="20" t="n"/>
    </row>
    <row r="1317">
      <c r="A1317" s="23" t="n">
        <v>1314</v>
      </c>
      <c r="B1317" s="24" t="inlineStr">
        <is>
          <t>2.3.14.5</t>
        </is>
      </c>
      <c r="C1317" s="25" t="inlineStr">
        <is>
          <t>Part 2 – Technical Systems</t>
        </is>
      </c>
      <c r="D1317" s="25" t="inlineStr">
        <is>
          <t>2.3 INCIDENT AND RESOURCE MANAGEMENT SYSTEM (IRMS)</t>
        </is>
      </c>
      <c r="E1317" s="25" t="inlineStr">
        <is>
          <t>2.3.14 MULTI-AGENCY RESOURCE MANAGEMENT</t>
        </is>
      </c>
      <c r="F1317" s="25" t="inlineStr">
        <is>
          <t>The IRMS shall integrate to the MOI-identified resources to provide GPS-based positional status of assets and personnel.</t>
        </is>
      </c>
      <c r="G1317" s="19" t="n"/>
      <c r="H1317" s="20" t="n"/>
      <c r="I1317" s="20" t="n"/>
      <c r="J1317" s="19" t="n"/>
      <c r="K1317" s="21" t="n"/>
      <c r="L1317" s="22">
        <f>IF(OR(J1317="",K1317=""),"",J1317*K1317)</f>
        <v/>
      </c>
      <c r="M1317" s="19" t="n"/>
      <c r="N1317" s="20" t="n"/>
      <c r="O1317" s="20" t="n"/>
    </row>
    <row r="1318">
      <c r="A1318" s="16" t="n">
        <v>1315</v>
      </c>
      <c r="B1318" s="17" t="inlineStr">
        <is>
          <t>2.3.14.6</t>
        </is>
      </c>
      <c r="C1318" s="18" t="inlineStr">
        <is>
          <t>Part 2 – Technical Systems</t>
        </is>
      </c>
      <c r="D1318" s="18" t="inlineStr">
        <is>
          <t>2.3 INCIDENT AND RESOURCE MANAGEMENT SYSTEM (IRMS)</t>
        </is>
      </c>
      <c r="E1318" s="18" t="inlineStr">
        <is>
          <t>2.3.14 MULTI-AGENCY RESOURCE MANAGEMENT</t>
        </is>
      </c>
      <c r="F1318" s="18" t="inlineStr">
        <is>
          <t>The IRMS shall integrate with MOI systems / platform / apps in the field for bi-directional transfer of data, voice and video.</t>
        </is>
      </c>
      <c r="G1318" s="19" t="n"/>
      <c r="H1318" s="20" t="n"/>
      <c r="I1318" s="20" t="n"/>
      <c r="J1318" s="19" t="n"/>
      <c r="K1318" s="21" t="n"/>
      <c r="L1318" s="22">
        <f>IF(OR(J1318="",K1318=""),"",J1318*K1318)</f>
        <v/>
      </c>
      <c r="M1318" s="19" t="n"/>
      <c r="N1318" s="20" t="n"/>
      <c r="O1318" s="20" t="n"/>
    </row>
    <row r="1319">
      <c r="A1319" s="23" t="n">
        <v>1316</v>
      </c>
      <c r="B1319" s="24" t="inlineStr">
        <is>
          <t>2.3.14.7</t>
        </is>
      </c>
      <c r="C1319" s="25" t="inlineStr">
        <is>
          <t>Part 2 – Technical Systems</t>
        </is>
      </c>
      <c r="D1319" s="25" t="inlineStr">
        <is>
          <t>2.3 INCIDENT AND RESOURCE MANAGEMENT SYSTEM (IRMS)</t>
        </is>
      </c>
      <c r="E1319" s="25" t="inlineStr">
        <is>
          <t>2.3.14 MULTI-AGENCY RESOURCE MANAGEMENT</t>
        </is>
      </c>
      <c r="F1319" s="25" t="inlineStr">
        <is>
          <t>The IRMS shall support the management, allocation, assignment, and monitoring of MOI resources.</t>
        </is>
      </c>
      <c r="G1319" s="19" t="n"/>
      <c r="H1319" s="20" t="n"/>
      <c r="I1319" s="20" t="n"/>
      <c r="J1319" s="19" t="n"/>
      <c r="K1319" s="21" t="n"/>
      <c r="L1319" s="22">
        <f>IF(OR(J1319="",K1319=""),"",J1319*K1319)</f>
        <v/>
      </c>
      <c r="M1319" s="19" t="n"/>
      <c r="N1319" s="20" t="n"/>
      <c r="O1319" s="20" t="n"/>
    </row>
    <row r="1320">
      <c r="A1320" s="16" t="n">
        <v>1317</v>
      </c>
      <c r="B1320" s="17" t="inlineStr">
        <is>
          <t>2.3.14.8</t>
        </is>
      </c>
      <c r="C1320" s="18" t="inlineStr">
        <is>
          <t>Part 2 – Technical Systems</t>
        </is>
      </c>
      <c r="D1320" s="18" t="inlineStr">
        <is>
          <t>2.3 INCIDENT AND RESOURCE MANAGEMENT SYSTEM (IRMS)</t>
        </is>
      </c>
      <c r="E1320" s="18" t="inlineStr">
        <is>
          <t>2.3.14 MULTI-AGENCY RESOURCE MANAGEMENT</t>
        </is>
      </c>
      <c r="F1320" s="18" t="inlineStr">
        <is>
          <t>The system shall support the display of resource availability information for dispatchers and managers. This shall include current availability, short term planned availability, and mid-term availability to identify planned periods of unavailability of resources.</t>
        </is>
      </c>
      <c r="G1320" s="19" t="n"/>
      <c r="H1320" s="20" t="n"/>
      <c r="I1320" s="20" t="n"/>
      <c r="J1320" s="19" t="n"/>
      <c r="K1320" s="21" t="n"/>
      <c r="L1320" s="22">
        <f>IF(OR(J1320="",K1320=""),"",J1320*K1320)</f>
        <v/>
      </c>
      <c r="M1320" s="19" t="n"/>
      <c r="N1320" s="20" t="n"/>
      <c r="O1320" s="20" t="n"/>
    </row>
    <row r="1321">
      <c r="A1321" s="23" t="n">
        <v>1318</v>
      </c>
      <c r="B1321" s="24" t="inlineStr">
        <is>
          <t>2.3.14.9</t>
        </is>
      </c>
      <c r="C1321" s="25" t="inlineStr">
        <is>
          <t>Part 2 – Technical Systems</t>
        </is>
      </c>
      <c r="D1321" s="25" t="inlineStr">
        <is>
          <t>2.3 INCIDENT AND RESOURCE MANAGEMENT SYSTEM (IRMS)</t>
        </is>
      </c>
      <c r="E1321" s="25" t="inlineStr">
        <is>
          <t>2.3.14 MULTI-AGENCY RESOURCE MANAGEMENT</t>
        </is>
      </c>
      <c r="F1321" s="25" t="inlineStr">
        <is>
          <t>Configurable historical resource record search formats shall be provided in the IRMS.</t>
        </is>
      </c>
      <c r="G1321" s="19" t="n"/>
      <c r="H1321" s="20" t="n"/>
      <c r="I1321" s="20" t="n"/>
      <c r="J1321" s="19" t="n"/>
      <c r="K1321" s="21" t="n"/>
      <c r="L1321" s="22">
        <f>IF(OR(J1321="",K1321=""),"",J1321*K1321)</f>
        <v/>
      </c>
      <c r="M1321" s="19" t="n"/>
      <c r="N1321" s="20" t="n"/>
      <c r="O1321" s="20" t="n"/>
    </row>
    <row r="1322">
      <c r="A1322" s="16" t="n">
        <v>1319</v>
      </c>
      <c r="B1322" s="17" t="inlineStr">
        <is>
          <t>2.3.14.10</t>
        </is>
      </c>
      <c r="C1322" s="18" t="inlineStr">
        <is>
          <t>Part 2 – Technical Systems</t>
        </is>
      </c>
      <c r="D1322" s="18" t="inlineStr">
        <is>
          <t>2.3 INCIDENT AND RESOURCE MANAGEMENT SYSTEM (IRMS)</t>
        </is>
      </c>
      <c r="E1322" s="18" t="inlineStr">
        <is>
          <t>2.3.14 MULTI-AGENCY RESOURCE MANAGEMENT</t>
        </is>
      </c>
      <c r="F1322" s="18" t="inlineStr">
        <is>
          <t>The IRMS shall provide for ‘resource designation’, which will typically be alphanumeric. These resource designations will be determined by each user group.</t>
        </is>
      </c>
      <c r="G1322" s="19" t="n"/>
      <c r="H1322" s="20" t="n"/>
      <c r="I1322" s="20" t="n"/>
      <c r="J1322" s="19" t="n"/>
      <c r="K1322" s="21" t="n"/>
      <c r="L1322" s="22">
        <f>IF(OR(J1322="",K1322=""),"",J1322*K1322)</f>
        <v/>
      </c>
      <c r="M1322" s="19" t="n"/>
      <c r="N1322" s="20" t="n"/>
      <c r="O1322" s="20" t="n"/>
    </row>
    <row r="1323">
      <c r="A1323" s="23" t="n">
        <v>1320</v>
      </c>
      <c r="B1323" s="24" t="inlineStr">
        <is>
          <t>2.3.14.11</t>
        </is>
      </c>
      <c r="C1323" s="25" t="inlineStr">
        <is>
          <t>Part 2 – Technical Systems</t>
        </is>
      </c>
      <c r="D1323" s="25" t="inlineStr">
        <is>
          <t>2.3 INCIDENT AND RESOURCE MANAGEMENT SYSTEM (IRMS)</t>
        </is>
      </c>
      <c r="E1323" s="25" t="inlineStr">
        <is>
          <t>2.3.14 MULTI-AGENCY RESOURCE MANAGEMENT</t>
        </is>
      </c>
      <c r="F1323" s="25" t="inlineStr">
        <is>
          <t>The IRMS will provide a translation tool for alphanumeric designations that provide a description of the resource, including resource type, name, etc.</t>
        </is>
      </c>
      <c r="G1323" s="19" t="n"/>
      <c r="H1323" s="20" t="n"/>
      <c r="I1323" s="20" t="n"/>
      <c r="J1323" s="19" t="n"/>
      <c r="K1323" s="21" t="n"/>
      <c r="L1323" s="22">
        <f>IF(OR(J1323="",K1323=""),"",J1323*K1323)</f>
        <v/>
      </c>
      <c r="M1323" s="19" t="n"/>
      <c r="N1323" s="20" t="n"/>
      <c r="O1323" s="20" t="n"/>
    </row>
    <row r="1324">
      <c r="A1324" s="16" t="n">
        <v>1321</v>
      </c>
      <c r="B1324" s="17" t="inlineStr">
        <is>
          <t>2.3.14.12</t>
        </is>
      </c>
      <c r="C1324" s="18" t="inlineStr">
        <is>
          <t>Part 2 – Technical Systems</t>
        </is>
      </c>
      <c r="D1324" s="18" t="inlineStr">
        <is>
          <t>2.3 INCIDENT AND RESOURCE MANAGEMENT SYSTEM (IRMS)</t>
        </is>
      </c>
      <c r="E1324" s="18" t="inlineStr">
        <is>
          <t>2.3.14 MULTI-AGENCY RESOURCE MANAGEMENT</t>
        </is>
      </c>
      <c r="F1324" s="18" t="inlineStr">
        <is>
          <t>The IRMS shall have the flexibility to embody resource designation changes throughout the system life, with the changes, including additions and deletions, available to be made by authorized users and system administrators.</t>
        </is>
      </c>
      <c r="G1324" s="19" t="n"/>
      <c r="H1324" s="20" t="n"/>
      <c r="I1324" s="20" t="n"/>
      <c r="J1324" s="19" t="n"/>
      <c r="K1324" s="21" t="n"/>
      <c r="L1324" s="22">
        <f>IF(OR(J1324="",K1324=""),"",J1324*K1324)</f>
        <v/>
      </c>
      <c r="M1324" s="19" t="n"/>
      <c r="N1324" s="20" t="n"/>
      <c r="O1324" s="20" t="n"/>
    </row>
    <row r="1325">
      <c r="A1325" s="23" t="n">
        <v>1322</v>
      </c>
      <c r="B1325" s="24" t="inlineStr">
        <is>
          <t>2.3.14.13</t>
        </is>
      </c>
      <c r="C1325" s="25" t="inlineStr">
        <is>
          <t>Part 2 – Technical Systems</t>
        </is>
      </c>
      <c r="D1325" s="25" t="inlineStr">
        <is>
          <t>2.3 INCIDENT AND RESOURCE MANAGEMENT SYSTEM (IRMS)</t>
        </is>
      </c>
      <c r="E1325" s="25" t="inlineStr">
        <is>
          <t>2.3.14 MULTI-AGENCY RESOURCE MANAGEMENT</t>
        </is>
      </c>
      <c r="F1325" s="25" t="inlineStr">
        <is>
          <t>The IRMS shall provide facilities for resource groups to be created from individual resources. Individual resources may appear in several groupings.</t>
        </is>
      </c>
      <c r="G1325" s="19" t="n"/>
      <c r="H1325" s="20" t="n"/>
      <c r="I1325" s="20" t="n"/>
      <c r="J1325" s="19" t="n"/>
      <c r="K1325" s="21" t="n"/>
      <c r="L1325" s="22">
        <f>IF(OR(J1325="",K1325=""),"",J1325*K1325)</f>
        <v/>
      </c>
      <c r="M1325" s="19" t="n"/>
      <c r="N1325" s="20" t="n"/>
      <c r="O1325" s="20" t="n"/>
    </row>
    <row r="1326">
      <c r="A1326" s="16" t="n">
        <v>1323</v>
      </c>
      <c r="B1326" s="17" t="inlineStr">
        <is>
          <t>2.3.14.14</t>
        </is>
      </c>
      <c r="C1326" s="18" t="inlineStr">
        <is>
          <t>Part 2 – Technical Systems</t>
        </is>
      </c>
      <c r="D1326" s="18" t="inlineStr">
        <is>
          <t>2.3 INCIDENT AND RESOURCE MANAGEMENT SYSTEM (IRMS)</t>
        </is>
      </c>
      <c r="E1326" s="18" t="inlineStr">
        <is>
          <t>2.3.14 MULTI-AGENCY RESOURCE MANAGEMENT</t>
        </is>
      </c>
      <c r="F1326" s="18" t="inlineStr">
        <is>
          <t>The IRMS shall allow for the editing and modification to resource groups by authorized users and system administrators.</t>
        </is>
      </c>
      <c r="G1326" s="19" t="n"/>
      <c r="H1326" s="20" t="n"/>
      <c r="I1326" s="20" t="n"/>
      <c r="J1326" s="19" t="n"/>
      <c r="K1326" s="21" t="n"/>
      <c r="L1326" s="22">
        <f>IF(OR(J1326="",K1326=""),"",J1326*K1326)</f>
        <v/>
      </c>
      <c r="M1326" s="19" t="n"/>
      <c r="N1326" s="20" t="n"/>
      <c r="O1326" s="20" t="n"/>
    </row>
    <row r="1327">
      <c r="A1327" s="23" t="n">
        <v>1324</v>
      </c>
      <c r="B1327" s="24" t="inlineStr">
        <is>
          <t>2.3.14.15</t>
        </is>
      </c>
      <c r="C1327" s="25" t="inlineStr">
        <is>
          <t>Part 2 – Technical Systems</t>
        </is>
      </c>
      <c r="D1327" s="25" t="inlineStr">
        <is>
          <t>2.3 INCIDENT AND RESOURCE MANAGEMENT SYSTEM (IRMS)</t>
        </is>
      </c>
      <c r="E1327" s="25" t="inlineStr">
        <is>
          <t>2.3.14 MULTI-AGENCY RESOURCE MANAGEMENT</t>
        </is>
      </c>
      <c r="F1327" s="25" t="inlineStr">
        <is>
          <t>When any list is displayed, whether automatically generated or called for, an individual resource shall only appear once and be located in the most appropriate group.</t>
        </is>
      </c>
      <c r="G1327" s="19" t="n"/>
      <c r="H1327" s="20" t="n"/>
      <c r="I1327" s="20" t="n"/>
      <c r="J1327" s="19" t="n"/>
      <c r="K1327" s="21" t="n"/>
      <c r="L1327" s="22">
        <f>IF(OR(J1327="",K1327=""),"",J1327*K1327)</f>
        <v/>
      </c>
      <c r="M1327" s="19" t="n"/>
      <c r="N1327" s="20" t="n"/>
      <c r="O1327" s="20" t="n"/>
    </row>
    <row r="1328">
      <c r="A1328" s="16" t="n">
        <v>1325</v>
      </c>
      <c r="B1328" s="17" t="inlineStr">
        <is>
          <t>2.3.14.16</t>
        </is>
      </c>
      <c r="C1328" s="18" t="inlineStr">
        <is>
          <t>Part 2 – Technical Systems</t>
        </is>
      </c>
      <c r="D1328" s="18" t="inlineStr">
        <is>
          <t>2.3 INCIDENT AND RESOURCE MANAGEMENT SYSTEM (IRMS)</t>
        </is>
      </c>
      <c r="E1328" s="18" t="inlineStr">
        <is>
          <t>2.3.14 MULTI-AGENCY RESOURCE MANAGEMENT</t>
        </is>
      </c>
      <c r="F1328" s="18" t="inlineStr">
        <is>
          <t>Proposed naming conventions and designations shall be presented to the MOI for review and approval as part of the detailed design review.</t>
        </is>
      </c>
      <c r="G1328" s="19" t="n"/>
      <c r="H1328" s="20" t="n"/>
      <c r="I1328" s="20" t="n"/>
      <c r="J1328" s="19" t="n"/>
      <c r="K1328" s="21" t="n"/>
      <c r="L1328" s="22">
        <f>IF(OR(J1328="",K1328=""),"",J1328*K1328)</f>
        <v/>
      </c>
      <c r="M1328" s="19" t="n"/>
      <c r="N1328" s="20" t="n"/>
      <c r="O1328" s="20" t="n"/>
    </row>
    <row r="1329">
      <c r="A1329" s="23" t="n">
        <v>1326</v>
      </c>
      <c r="B1329" s="24" t="inlineStr">
        <is>
          <t>2.3.14.17</t>
        </is>
      </c>
      <c r="C1329" s="25" t="inlineStr">
        <is>
          <t>Part 2 – Technical Systems</t>
        </is>
      </c>
      <c r="D1329" s="25" t="inlineStr">
        <is>
          <t>2.3 INCIDENT AND RESOURCE MANAGEMENT SYSTEM (IRMS)</t>
        </is>
      </c>
      <c r="E1329" s="25" t="inlineStr">
        <is>
          <t>2.3.14 MULTI-AGENCY RESOURCE MANAGEMENT</t>
        </is>
      </c>
      <c r="F1329" s="25" t="inlineStr">
        <is>
          <t>The IRMS shall provide for the resources to be input for an agreed period of time in advance of availability, typically one month.</t>
        </is>
      </c>
      <c r="G1329" s="19" t="n"/>
      <c r="H1329" s="20" t="n"/>
      <c r="I1329" s="20" t="n"/>
      <c r="J1329" s="19" t="n"/>
      <c r="K1329" s="21" t="n"/>
      <c r="L1329" s="22">
        <f>IF(OR(J1329="",K1329=""),"",J1329*K1329)</f>
        <v/>
      </c>
      <c r="M1329" s="19" t="n"/>
      <c r="N1329" s="20" t="n"/>
      <c r="O1329" s="20" t="n"/>
    </row>
    <row r="1330">
      <c r="A1330" s="16" t="n">
        <v>1327</v>
      </c>
      <c r="B1330" s="17" t="inlineStr">
        <is>
          <t>2.3.14.18</t>
        </is>
      </c>
      <c r="C1330" s="18" t="inlineStr">
        <is>
          <t>Part 2 – Technical Systems</t>
        </is>
      </c>
      <c r="D1330" s="18" t="inlineStr">
        <is>
          <t>2.3 INCIDENT AND RESOURCE MANAGEMENT SYSTEM (IRMS)</t>
        </is>
      </c>
      <c r="E1330" s="18" t="inlineStr">
        <is>
          <t>2.3.14 MULTI-AGENCY RESOURCE MANAGEMENT</t>
        </is>
      </c>
      <c r="F1330" s="18" t="inlineStr">
        <is>
          <t>The BIDDER shall propose solutions for populating the IRMS with advance resource data example shift working patters and regular attachments.</t>
        </is>
      </c>
      <c r="G1330" s="19" t="n"/>
      <c r="H1330" s="20" t="n"/>
      <c r="I1330" s="20" t="n"/>
      <c r="J1330" s="19" t="n"/>
      <c r="K1330" s="21" t="n"/>
      <c r="L1330" s="22">
        <f>IF(OR(J1330="",K1330=""),"",J1330*K1330)</f>
        <v/>
      </c>
      <c r="M1330" s="19" t="n"/>
      <c r="N1330" s="20" t="n"/>
      <c r="O1330" s="20" t="n"/>
    </row>
    <row r="1331">
      <c r="A1331" s="23" t="n">
        <v>1328</v>
      </c>
      <c r="B1331" s="24" t="inlineStr">
        <is>
          <t>2.3.14.19</t>
        </is>
      </c>
      <c r="C1331" s="25" t="inlineStr">
        <is>
          <t>Part 2 – Technical Systems</t>
        </is>
      </c>
      <c r="D1331" s="25" t="inlineStr">
        <is>
          <t>2.3 INCIDENT AND RESOURCE MANAGEMENT SYSTEM (IRMS)</t>
        </is>
      </c>
      <c r="E1331" s="25" t="inlineStr">
        <is>
          <t>2.3.14 MULTI-AGENCY RESOURCE MANAGEMENT</t>
        </is>
      </c>
      <c r="F1331" s="25" t="inlineStr">
        <is>
          <t>The IRMS shall provide an ability to quickly change the working status of a single unit, including on or off duty, area of coverage, personnel assigned, and whether it can be recommended for dispatch.</t>
        </is>
      </c>
      <c r="G1331" s="19" t="n"/>
      <c r="H1331" s="20" t="n"/>
      <c r="I1331" s="20" t="n"/>
      <c r="J1331" s="19" t="n"/>
      <c r="K1331" s="21" t="n"/>
      <c r="L1331" s="22">
        <f>IF(OR(J1331="",K1331=""),"",J1331*K1331)</f>
        <v/>
      </c>
      <c r="M1331" s="19" t="n"/>
      <c r="N1331" s="20" t="n"/>
      <c r="O1331" s="20" t="n"/>
    </row>
    <row r="1332">
      <c r="A1332" s="16" t="n">
        <v>1329</v>
      </c>
      <c r="B1332" s="17" t="inlineStr">
        <is>
          <t>2.3.14.20</t>
        </is>
      </c>
      <c r="C1332" s="18" t="inlineStr">
        <is>
          <t>Part 2 – Technical Systems</t>
        </is>
      </c>
      <c r="D1332" s="18" t="inlineStr">
        <is>
          <t>2.3 INCIDENT AND RESOURCE MANAGEMENT SYSTEM (IRMS)</t>
        </is>
      </c>
      <c r="E1332" s="18" t="inlineStr">
        <is>
          <t>2.3.14 MULTI-AGENCY RESOURCE MANAGEMENT</t>
        </is>
      </c>
      <c r="F1332" s="18" t="inlineStr">
        <is>
          <t>The IRMS shall also provide the ability to build a shift roster at least 30 days prior to the shift.</t>
        </is>
      </c>
      <c r="G1332" s="19" t="n"/>
      <c r="H1332" s="20" t="n"/>
      <c r="I1332" s="20" t="n"/>
      <c r="J1332" s="19" t="n"/>
      <c r="K1332" s="21" t="n"/>
      <c r="L1332" s="22">
        <f>IF(OR(J1332="",K1332=""),"",J1332*K1332)</f>
        <v/>
      </c>
      <c r="M1332" s="19" t="n"/>
      <c r="N1332" s="20" t="n"/>
      <c r="O1332" s="20" t="n"/>
    </row>
    <row r="1333">
      <c r="A1333" s="23" t="n">
        <v>1330</v>
      </c>
      <c r="B1333" s="24" t="inlineStr">
        <is>
          <t>2.3.14.21</t>
        </is>
      </c>
      <c r="C1333" s="25" t="inlineStr">
        <is>
          <t>Part 2 – Technical Systems</t>
        </is>
      </c>
      <c r="D1333" s="25" t="inlineStr">
        <is>
          <t>2.3 INCIDENT AND RESOURCE MANAGEMENT SYSTEM (IRMS)</t>
        </is>
      </c>
      <c r="E1333" s="25" t="inlineStr">
        <is>
          <t>2.3.14 MULTI-AGENCY RESOURCE MANAGEMENT</t>
        </is>
      </c>
      <c r="F1333" s="25" t="inlineStr">
        <is>
          <t>Changes to the shift roster shall be able to be accomplished remotely through a web interface to the IRMS.</t>
        </is>
      </c>
      <c r="G1333" s="19" t="n"/>
      <c r="H1333" s="20" t="n"/>
      <c r="I1333" s="20" t="n"/>
      <c r="J1333" s="19" t="n"/>
      <c r="K1333" s="21" t="n"/>
      <c r="L1333" s="22">
        <f>IF(OR(J1333="",K1333=""),"",J1333*K1333)</f>
        <v/>
      </c>
      <c r="M1333" s="19" t="n"/>
      <c r="N1333" s="20" t="n"/>
      <c r="O1333" s="20" t="n"/>
    </row>
    <row r="1334">
      <c r="A1334" s="16" t="n">
        <v>1331</v>
      </c>
      <c r="B1334" s="17" t="inlineStr">
        <is>
          <t>2.3.14.22</t>
        </is>
      </c>
      <c r="C1334" s="18" t="inlineStr">
        <is>
          <t>Part 2 – Technical Systems</t>
        </is>
      </c>
      <c r="D1334" s="18" t="inlineStr">
        <is>
          <t>2.3 INCIDENT AND RESOURCE MANAGEMENT SYSTEM (IRMS)</t>
        </is>
      </c>
      <c r="E1334" s="18" t="inlineStr">
        <is>
          <t>2.3.14 MULTI-AGENCY RESOURCE MANAGEMENT</t>
        </is>
      </c>
      <c r="F1334" s="18" t="inlineStr">
        <is>
          <t>All changes shall be logged and record the user ID making the change.</t>
        </is>
      </c>
      <c r="G1334" s="19" t="n"/>
      <c r="H1334" s="20" t="n"/>
      <c r="I1334" s="20" t="n"/>
      <c r="J1334" s="19" t="n"/>
      <c r="K1334" s="21" t="n"/>
      <c r="L1334" s="22">
        <f>IF(OR(J1334="",K1334=""),"",J1334*K1334)</f>
        <v/>
      </c>
      <c r="M1334" s="19" t="n"/>
      <c r="N1334" s="20" t="n"/>
      <c r="O1334" s="20" t="n"/>
    </row>
    <row r="1335">
      <c r="A1335" s="23" t="n">
        <v>1332</v>
      </c>
      <c r="B1335" s="24" t="inlineStr">
        <is>
          <t>2.3.14.23</t>
        </is>
      </c>
      <c r="C1335" s="25" t="inlineStr">
        <is>
          <t>Part 2 – Technical Systems</t>
        </is>
      </c>
      <c r="D1335" s="25" t="inlineStr">
        <is>
          <t>2.3 INCIDENT AND RESOURCE MANAGEMENT SYSTEM (IRMS)</t>
        </is>
      </c>
      <c r="E1335" s="25" t="inlineStr">
        <is>
          <t>2.3.14 MULTI-AGENCY RESOURCE MANAGEMENT</t>
        </is>
      </c>
      <c r="F1335" s="25" t="inlineStr">
        <is>
          <t>The shift roster shall be maintained in the system for later access and analysis.</t>
        </is>
      </c>
      <c r="G1335" s="19" t="n"/>
      <c r="H1335" s="20" t="n"/>
      <c r="I1335" s="20" t="n"/>
      <c r="J1335" s="19" t="n"/>
      <c r="K1335" s="21" t="n"/>
      <c r="L1335" s="22">
        <f>IF(OR(J1335="",K1335=""),"",J1335*K1335)</f>
        <v/>
      </c>
      <c r="M1335" s="19" t="n"/>
      <c r="N1335" s="20" t="n"/>
      <c r="O1335" s="20" t="n"/>
    </row>
    <row r="1336">
      <c r="A1336" s="16" t="n">
        <v>1333</v>
      </c>
      <c r="B1336" s="17" t="inlineStr">
        <is>
          <t>2.3.14.24</t>
        </is>
      </c>
      <c r="C1336" s="18" t="inlineStr">
        <is>
          <t>Part 2 – Technical Systems</t>
        </is>
      </c>
      <c r="D1336" s="18" t="inlineStr">
        <is>
          <t>2.3 INCIDENT AND RESOURCE MANAGEMENT SYSTEM (IRMS)</t>
        </is>
      </c>
      <c r="E1336" s="18" t="inlineStr">
        <is>
          <t>2.3.14 MULTI-AGENCY RESOURCE MANAGEMENT</t>
        </is>
      </c>
      <c r="F1336" s="18" t="inlineStr">
        <is>
          <t>Historical roster information should be available for a minimum of one year and available for archive to other media.</t>
        </is>
      </c>
      <c r="G1336" s="19" t="n"/>
      <c r="H1336" s="20" t="n"/>
      <c r="I1336" s="20" t="n"/>
      <c r="J1336" s="19" t="n"/>
      <c r="K1336" s="21" t="n"/>
      <c r="L1336" s="22">
        <f>IF(OR(J1336="",K1336=""),"",J1336*K1336)</f>
        <v/>
      </c>
      <c r="M1336" s="19" t="n"/>
      <c r="N1336" s="20" t="n"/>
      <c r="O1336" s="20" t="n"/>
    </row>
    <row r="1337">
      <c r="A1337" s="23" t="n">
        <v>1334</v>
      </c>
      <c r="B1337" s="24" t="inlineStr">
        <is>
          <t>2.3.14.25</t>
        </is>
      </c>
      <c r="C1337" s="25" t="inlineStr">
        <is>
          <t>Part 2 – Technical Systems</t>
        </is>
      </c>
      <c r="D1337" s="25" t="inlineStr">
        <is>
          <t>2.3 INCIDENT AND RESOURCE MANAGEMENT SYSTEM (IRMS)</t>
        </is>
      </c>
      <c r="E1337" s="25" t="inlineStr">
        <is>
          <t>2.3.14 MULTI-AGENCY RESOURCE MANAGEMENT</t>
        </is>
      </c>
      <c r="F1337" s="25" t="inlineStr">
        <is>
          <t>Resources shall show their current deployment state and conditional availability. These attributes will include, but not be limited to:</t>
        </is>
      </c>
      <c r="G1337" s="19" t="n"/>
      <c r="H1337" s="20" t="n"/>
      <c r="I1337" s="20" t="n"/>
      <c r="J1337" s="19" t="n"/>
      <c r="K1337" s="21" t="n"/>
      <c r="L1337" s="22">
        <f>IF(OR(J1337="",K1337=""),"",J1337*K1337)</f>
        <v/>
      </c>
      <c r="M1337" s="19" t="n"/>
      <c r="N1337" s="20" t="n"/>
      <c r="O1337" s="20" t="n"/>
    </row>
    <row r="1338">
      <c r="A1338" s="16" t="n">
        <v>1335</v>
      </c>
      <c r="B1338" s="16" t="inlineStr">
        <is>
          <t>2.3.14.25.1</t>
        </is>
      </c>
      <c r="C1338" s="18" t="inlineStr">
        <is>
          <t>Part 2 – Technical Systems</t>
        </is>
      </c>
      <c r="D1338" s="18" t="inlineStr">
        <is>
          <t>2.3 INCIDENT AND RESOURCE MANAGEMENT SYSTEM (IRMS)</t>
        </is>
      </c>
      <c r="E1338" s="18" t="inlineStr">
        <is>
          <t>2.3.14 MULTI-AGENCY RESOURCE MANAGEMENT</t>
        </is>
      </c>
      <c r="F1338" s="18" t="inlineStr">
        <is>
          <t>Available</t>
        </is>
      </c>
      <c r="G1338" s="19" t="n"/>
      <c r="H1338" s="20" t="n"/>
      <c r="I1338" s="20" t="n"/>
      <c r="J1338" s="19" t="n"/>
      <c r="K1338" s="21" t="n"/>
      <c r="L1338" s="22">
        <f>IF(OR(J1338="",K1338=""),"",J1338*K1338)</f>
        <v/>
      </c>
      <c r="M1338" s="19" t="n"/>
      <c r="N1338" s="20" t="n"/>
      <c r="O1338" s="20" t="n"/>
    </row>
    <row r="1339">
      <c r="A1339" s="23" t="n">
        <v>1336</v>
      </c>
      <c r="B1339" s="23" t="inlineStr">
        <is>
          <t>2.3.14.25.2</t>
        </is>
      </c>
      <c r="C1339" s="25" t="inlineStr">
        <is>
          <t>Part 2 – Technical Systems</t>
        </is>
      </c>
      <c r="D1339" s="25" t="inlineStr">
        <is>
          <t>2.3 INCIDENT AND RESOURCE MANAGEMENT SYSTEM (IRMS)</t>
        </is>
      </c>
      <c r="E1339" s="25" t="inlineStr">
        <is>
          <t>2.3.14 MULTI-AGENCY RESOURCE MANAGEMENT</t>
        </is>
      </c>
      <c r="F1339" s="25" t="inlineStr">
        <is>
          <t>Enroute to incident (including the incident number or identifier)</t>
        </is>
      </c>
      <c r="G1339" s="19" t="n"/>
      <c r="H1339" s="20" t="n"/>
      <c r="I1339" s="20" t="n"/>
      <c r="J1339" s="19" t="n"/>
      <c r="K1339" s="21" t="n"/>
      <c r="L1339" s="22">
        <f>IF(OR(J1339="",K1339=""),"",J1339*K1339)</f>
        <v/>
      </c>
      <c r="M1339" s="19" t="n"/>
      <c r="N1339" s="20" t="n"/>
      <c r="O1339" s="20" t="n"/>
    </row>
    <row r="1340">
      <c r="A1340" s="16" t="n">
        <v>1337</v>
      </c>
      <c r="B1340" s="16" t="inlineStr">
        <is>
          <t>2.3.14.25.3</t>
        </is>
      </c>
      <c r="C1340" s="18" t="inlineStr">
        <is>
          <t>Part 2 – Technical Systems</t>
        </is>
      </c>
      <c r="D1340" s="18" t="inlineStr">
        <is>
          <t>2.3 INCIDENT AND RESOURCE MANAGEMENT SYSTEM (IRMS)</t>
        </is>
      </c>
      <c r="E1340" s="18" t="inlineStr">
        <is>
          <t>2.3.14 MULTI-AGENCY RESOURCE MANAGEMENT</t>
        </is>
      </c>
      <c r="F1340" s="18" t="inlineStr">
        <is>
          <t>Assigned</t>
        </is>
      </c>
      <c r="G1340" s="19" t="n"/>
      <c r="H1340" s="20" t="n"/>
      <c r="I1340" s="20" t="n"/>
      <c r="J1340" s="19" t="n"/>
      <c r="K1340" s="21" t="n"/>
      <c r="L1340" s="22">
        <f>IF(OR(J1340="",K1340=""),"",J1340*K1340)</f>
        <v/>
      </c>
      <c r="M1340" s="19" t="n"/>
      <c r="N1340" s="20" t="n"/>
      <c r="O1340" s="20" t="n"/>
    </row>
    <row r="1341">
      <c r="A1341" s="23" t="n">
        <v>1338</v>
      </c>
      <c r="B1341" s="23" t="inlineStr">
        <is>
          <t>2.3.14.25.4</t>
        </is>
      </c>
      <c r="C1341" s="25" t="inlineStr">
        <is>
          <t>Part 2 – Technical Systems</t>
        </is>
      </c>
      <c r="D1341" s="25" t="inlineStr">
        <is>
          <t>2.3 INCIDENT AND RESOURCE MANAGEMENT SYSTEM (IRMS)</t>
        </is>
      </c>
      <c r="E1341" s="25" t="inlineStr">
        <is>
          <t>2.3.14 MULTI-AGENCY RESOURCE MANAGEMENT</t>
        </is>
      </c>
      <c r="F1341" s="25" t="inlineStr">
        <is>
          <t>Engaged but available</t>
        </is>
      </c>
      <c r="G1341" s="19" t="n"/>
      <c r="H1341" s="20" t="n"/>
      <c r="I1341" s="20" t="n"/>
      <c r="J1341" s="19" t="n"/>
      <c r="K1341" s="21" t="n"/>
      <c r="L1341" s="22">
        <f>IF(OR(J1341="",K1341=""),"",J1341*K1341)</f>
        <v/>
      </c>
      <c r="M1341" s="19" t="n"/>
      <c r="N1341" s="20" t="n"/>
      <c r="O1341" s="20" t="n"/>
    </row>
    <row r="1342">
      <c r="A1342" s="16" t="n">
        <v>1339</v>
      </c>
      <c r="B1342" s="16" t="inlineStr">
        <is>
          <t>2.3.14.25.5</t>
        </is>
      </c>
      <c r="C1342" s="18" t="inlineStr">
        <is>
          <t>Part 2 – Technical Systems</t>
        </is>
      </c>
      <c r="D1342" s="18" t="inlineStr">
        <is>
          <t>2.3 INCIDENT AND RESOURCE MANAGEMENT SYSTEM (IRMS)</t>
        </is>
      </c>
      <c r="E1342" s="18" t="inlineStr">
        <is>
          <t>2.3.14 MULTI-AGENCY RESOURCE MANAGEMENT</t>
        </is>
      </c>
      <c r="F1342" s="18" t="inlineStr">
        <is>
          <t>At local station</t>
        </is>
      </c>
      <c r="G1342" s="19" t="n"/>
      <c r="H1342" s="20" t="n"/>
      <c r="I1342" s="20" t="n"/>
      <c r="J1342" s="19" t="n"/>
      <c r="K1342" s="21" t="n"/>
      <c r="L1342" s="22">
        <f>IF(OR(J1342="",K1342=""),"",J1342*K1342)</f>
        <v/>
      </c>
      <c r="M1342" s="19" t="n"/>
      <c r="N1342" s="20" t="n"/>
      <c r="O1342" s="20" t="n"/>
    </row>
    <row r="1343">
      <c r="A1343" s="23" t="n">
        <v>1340</v>
      </c>
      <c r="B1343" s="23" t="inlineStr">
        <is>
          <t>2.3.14.25.6</t>
        </is>
      </c>
      <c r="C1343" s="25" t="inlineStr">
        <is>
          <t>Part 2 – Technical Systems</t>
        </is>
      </c>
      <c r="D1343" s="25" t="inlineStr">
        <is>
          <t>2.3 INCIDENT AND RESOURCE MANAGEMENT SYSTEM (IRMS)</t>
        </is>
      </c>
      <c r="E1343" s="25" t="inlineStr">
        <is>
          <t>2.3.14 MULTI-AGENCY RESOURCE MANAGEMENT</t>
        </is>
      </c>
      <c r="F1343" s="25" t="inlineStr">
        <is>
          <t>Break (Prayer, Refreshments, etc.)</t>
        </is>
      </c>
      <c r="G1343" s="19" t="n"/>
      <c r="H1343" s="20" t="n"/>
      <c r="I1343" s="20" t="n"/>
      <c r="J1343" s="19" t="n"/>
      <c r="K1343" s="21" t="n"/>
      <c r="L1343" s="22">
        <f>IF(OR(J1343="",K1343=""),"",J1343*K1343)</f>
        <v/>
      </c>
      <c r="M1343" s="19" t="n"/>
      <c r="N1343" s="20" t="n"/>
      <c r="O1343" s="20" t="n"/>
    </row>
    <row r="1344">
      <c r="A1344" s="16" t="n">
        <v>1341</v>
      </c>
      <c r="B1344" s="16" t="inlineStr">
        <is>
          <t>2.3.14.25.7</t>
        </is>
      </c>
      <c r="C1344" s="18" t="inlineStr">
        <is>
          <t>Part 2 – Technical Systems</t>
        </is>
      </c>
      <c r="D1344" s="18" t="inlineStr">
        <is>
          <t>2.3 INCIDENT AND RESOURCE MANAGEMENT SYSTEM (IRMS)</t>
        </is>
      </c>
      <c r="E1344" s="18" t="inlineStr">
        <is>
          <t>2.3.14 MULTI-AGENCY RESOURCE MANAGEMENT</t>
        </is>
      </c>
      <c r="F1344" s="18" t="inlineStr">
        <is>
          <t>At Court</t>
        </is>
      </c>
      <c r="G1344" s="19" t="n"/>
      <c r="H1344" s="20" t="n"/>
      <c r="I1344" s="20" t="n"/>
      <c r="J1344" s="19" t="n"/>
      <c r="K1344" s="21" t="n"/>
      <c r="L1344" s="22">
        <f>IF(OR(J1344="",K1344=""),"",J1344*K1344)</f>
        <v/>
      </c>
      <c r="M1344" s="19" t="n"/>
      <c r="N1344" s="20" t="n"/>
      <c r="O1344" s="20" t="n"/>
    </row>
    <row r="1345">
      <c r="A1345" s="23" t="n">
        <v>1342</v>
      </c>
      <c r="B1345" s="23" t="inlineStr">
        <is>
          <t>2.3.14.25.8</t>
        </is>
      </c>
      <c r="C1345" s="25" t="inlineStr">
        <is>
          <t>Part 2 – Technical Systems</t>
        </is>
      </c>
      <c r="D1345" s="25" t="inlineStr">
        <is>
          <t>2.3 INCIDENT AND RESOURCE MANAGEMENT SYSTEM (IRMS)</t>
        </is>
      </c>
      <c r="E1345" s="25" t="inlineStr">
        <is>
          <t>2.3.14 MULTI-AGENCY RESOURCE MANAGEMENT</t>
        </is>
      </c>
      <c r="F1345" s="25" t="inlineStr">
        <is>
          <t>At Hospital</t>
        </is>
      </c>
      <c r="G1345" s="19" t="n"/>
      <c r="H1345" s="20" t="n"/>
      <c r="I1345" s="20" t="n"/>
      <c r="J1345" s="19" t="n"/>
      <c r="K1345" s="21" t="n"/>
      <c r="L1345" s="22">
        <f>IF(OR(J1345="",K1345=""),"",J1345*K1345)</f>
        <v/>
      </c>
      <c r="M1345" s="19" t="n"/>
      <c r="N1345" s="20" t="n"/>
      <c r="O1345" s="20" t="n"/>
    </row>
    <row r="1346">
      <c r="A1346" s="16" t="n">
        <v>1343</v>
      </c>
      <c r="B1346" s="16" t="inlineStr">
        <is>
          <t>2.3.14.25.9</t>
        </is>
      </c>
      <c r="C1346" s="18" t="inlineStr">
        <is>
          <t>Part 2 – Technical Systems</t>
        </is>
      </c>
      <c r="D1346" s="18" t="inlineStr">
        <is>
          <t>2.3 INCIDENT AND RESOURCE MANAGEMENT SYSTEM (IRMS)</t>
        </is>
      </c>
      <c r="E1346" s="18" t="inlineStr">
        <is>
          <t>2.3.14 MULTI-AGENCY RESOURCE MANAGEMENT</t>
        </is>
      </c>
      <c r="F1346" s="18" t="inlineStr">
        <is>
          <t>Off duty</t>
        </is>
      </c>
      <c r="G1346" s="19" t="n"/>
      <c r="H1346" s="20" t="n"/>
      <c r="I1346" s="20" t="n"/>
      <c r="J1346" s="19" t="n"/>
      <c r="K1346" s="21" t="n"/>
      <c r="L1346" s="22">
        <f>IF(OR(J1346="",K1346=""),"",J1346*K1346)</f>
        <v/>
      </c>
      <c r="M1346" s="19" t="n"/>
      <c r="N1346" s="20" t="n"/>
      <c r="O1346" s="20" t="n"/>
    </row>
    <row r="1347">
      <c r="A1347" s="23" t="n">
        <v>1344</v>
      </c>
      <c r="B1347" s="23" t="inlineStr">
        <is>
          <t>2.3.14.25.10</t>
        </is>
      </c>
      <c r="C1347" s="25" t="inlineStr">
        <is>
          <t>Part 2 – Technical Systems</t>
        </is>
      </c>
      <c r="D1347" s="25" t="inlineStr">
        <is>
          <t>2.3 INCIDENT AND RESOURCE MANAGEMENT SYSTEM (IRMS)</t>
        </is>
      </c>
      <c r="E1347" s="25" t="inlineStr">
        <is>
          <t>2.3.14 MULTI-AGENCY RESOURCE MANAGEMENT</t>
        </is>
      </c>
      <c r="F1347" s="25" t="inlineStr">
        <is>
          <t>Out of Service</t>
        </is>
      </c>
      <c r="G1347" s="19" t="n"/>
      <c r="H1347" s="20" t="n"/>
      <c r="I1347" s="20" t="n"/>
      <c r="J1347" s="19" t="n"/>
      <c r="K1347" s="21" t="n"/>
      <c r="L1347" s="22">
        <f>IF(OR(J1347="",K1347=""),"",J1347*K1347)</f>
        <v/>
      </c>
      <c r="M1347" s="19" t="n"/>
      <c r="N1347" s="20" t="n"/>
      <c r="O1347" s="20" t="n"/>
    </row>
    <row r="1348">
      <c r="A1348" s="16" t="n">
        <v>1345</v>
      </c>
      <c r="B1348" s="17" t="inlineStr">
        <is>
          <t>2.3.14.26</t>
        </is>
      </c>
      <c r="C1348" s="18" t="inlineStr">
        <is>
          <t>Part 2 – Technical Systems</t>
        </is>
      </c>
      <c r="D1348" s="18" t="inlineStr">
        <is>
          <t>2.3 INCIDENT AND RESOURCE MANAGEMENT SYSTEM (IRMS)</t>
        </is>
      </c>
      <c r="E1348" s="18" t="inlineStr">
        <is>
          <t>2.3.14 MULTI-AGENCY RESOURCE MANAGEMENT</t>
        </is>
      </c>
      <c r="F1348" s="18" t="inlineStr">
        <is>
          <t>These deployment states shall be represented by a numeric code, which can be manually input by an operator against the individual, or resource, code, or retrieved from information input into the electronic logging system.</t>
        </is>
      </c>
      <c r="G1348" s="19" t="n"/>
      <c r="H1348" s="20" t="n"/>
      <c r="I1348" s="20" t="n"/>
      <c r="J1348" s="19" t="n"/>
      <c r="K1348" s="21" t="n"/>
      <c r="L1348" s="22">
        <f>IF(OR(J1348="",K1348=""),"",J1348*K1348)</f>
        <v/>
      </c>
      <c r="M1348" s="19" t="n"/>
      <c r="N1348" s="20" t="n"/>
      <c r="O1348" s="20" t="n"/>
    </row>
    <row r="1349">
      <c r="A1349" s="23" t="n">
        <v>1346</v>
      </c>
      <c r="B1349" s="24" t="inlineStr">
        <is>
          <t>2.3.14.27</t>
        </is>
      </c>
      <c r="C1349" s="25" t="inlineStr">
        <is>
          <t>Part 2 – Technical Systems</t>
        </is>
      </c>
      <c r="D1349" s="25" t="inlineStr">
        <is>
          <t>2.3 INCIDENT AND RESOURCE MANAGEMENT SYSTEM (IRMS)</t>
        </is>
      </c>
      <c r="E1349" s="25" t="inlineStr">
        <is>
          <t>2.3.14 MULTI-AGENCY RESOURCE MANAGEMENT</t>
        </is>
      </c>
      <c r="F1349" s="25" t="inlineStr">
        <is>
          <t>It shall be possible to update the status of resources remotely through the use of MOI radio communications networks Status Messages.</t>
        </is>
      </c>
      <c r="G1349" s="19" t="n"/>
      <c r="H1349" s="20" t="n"/>
      <c r="I1349" s="20" t="n"/>
      <c r="J1349" s="19" t="n"/>
      <c r="K1349" s="21" t="n"/>
      <c r="L1349" s="22">
        <f>IF(OR(J1349="",K1349=""),"",J1349*K1349)</f>
        <v/>
      </c>
      <c r="M1349" s="19" t="n"/>
      <c r="N1349" s="20" t="n"/>
      <c r="O1349" s="20" t="n"/>
    </row>
    <row r="1350">
      <c r="A1350" s="16" t="n">
        <v>1347</v>
      </c>
      <c r="B1350" s="17" t="inlineStr">
        <is>
          <t>2.3.14.28</t>
        </is>
      </c>
      <c r="C1350" s="18" t="inlineStr">
        <is>
          <t>Part 2 – Technical Systems</t>
        </is>
      </c>
      <c r="D1350" s="18" t="inlineStr">
        <is>
          <t>2.3 INCIDENT AND RESOURCE MANAGEMENT SYSTEM (IRMS)</t>
        </is>
      </c>
      <c r="E1350" s="18" t="inlineStr">
        <is>
          <t>2.3.14 MULTI-AGENCY RESOURCE MANAGEMENT</t>
        </is>
      </c>
      <c r="F1350" s="18" t="inlineStr">
        <is>
          <t>The resource state shall be available with the resource record, for so long as it is valid, wherever that resource appears in the OSS911 system.</t>
        </is>
      </c>
      <c r="G1350" s="19" t="n"/>
      <c r="H1350" s="20" t="n"/>
      <c r="I1350" s="20" t="n"/>
      <c r="J1350" s="19" t="n"/>
      <c r="K1350" s="21" t="n"/>
      <c r="L1350" s="22">
        <f>IF(OR(J1350="",K1350=""),"",J1350*K1350)</f>
        <v/>
      </c>
      <c r="M1350" s="19" t="n"/>
      <c r="N1350" s="20" t="n"/>
      <c r="O1350" s="20" t="n"/>
    </row>
    <row r="1351">
      <c r="A1351" s="23" t="n">
        <v>1348</v>
      </c>
      <c r="B1351" s="24" t="inlineStr">
        <is>
          <t>2.3.14.29</t>
        </is>
      </c>
      <c r="C1351" s="25" t="inlineStr">
        <is>
          <t>Part 2 – Technical Systems</t>
        </is>
      </c>
      <c r="D1351" s="25" t="inlineStr">
        <is>
          <t>2.3 INCIDENT AND RESOURCE MANAGEMENT SYSTEM (IRMS)</t>
        </is>
      </c>
      <c r="E1351" s="25" t="inlineStr">
        <is>
          <t>2.3.14 MULTI-AGENCY RESOURCE MANAGEMENT</t>
        </is>
      </c>
      <c r="F1351" s="25" t="inlineStr">
        <is>
          <t>The system shall be able to provide details of operational resources and the availability status and state of those resources, such as available, allocated to incident, day off, on leave.</t>
        </is>
      </c>
      <c r="G1351" s="19" t="n"/>
      <c r="H1351" s="20" t="n"/>
      <c r="I1351" s="20" t="n"/>
      <c r="J1351" s="19" t="n"/>
      <c r="K1351" s="21" t="n"/>
      <c r="L1351" s="22">
        <f>IF(OR(J1351="",K1351=""),"",J1351*K1351)</f>
        <v/>
      </c>
      <c r="M1351" s="19" t="n"/>
      <c r="N1351" s="20" t="n"/>
      <c r="O1351" s="20" t="n"/>
    </row>
    <row r="1352">
      <c r="A1352" s="16" t="n">
        <v>1349</v>
      </c>
      <c r="B1352" s="17" t="inlineStr">
        <is>
          <t>2.3.14.30</t>
        </is>
      </c>
      <c r="C1352" s="18" t="inlineStr">
        <is>
          <t>Part 2 – Technical Systems</t>
        </is>
      </c>
      <c r="D1352" s="18" t="inlineStr">
        <is>
          <t>2.3 INCIDENT AND RESOURCE MANAGEMENT SYSTEM (IRMS)</t>
        </is>
      </c>
      <c r="E1352" s="18" t="inlineStr">
        <is>
          <t>2.3.14 MULTI-AGENCY RESOURCE MANAGEMENT</t>
        </is>
      </c>
      <c r="F1352" s="18" t="inlineStr">
        <is>
          <t>The systems shall be able to record the activity of a resource and attach additional information such as the incident that the resource is allocated to.</t>
        </is>
      </c>
      <c r="G1352" s="19" t="n"/>
      <c r="H1352" s="20" t="n"/>
      <c r="I1352" s="20" t="n"/>
      <c r="J1352" s="19" t="n"/>
      <c r="K1352" s="21" t="n"/>
      <c r="L1352" s="22">
        <f>IF(OR(J1352="",K1352=""),"",J1352*K1352)</f>
        <v/>
      </c>
      <c r="M1352" s="19" t="n"/>
      <c r="N1352" s="20" t="n"/>
      <c r="O1352" s="20" t="n"/>
    </row>
    <row r="1353">
      <c r="A1353" s="23" t="n">
        <v>1350</v>
      </c>
      <c r="B1353" s="24" t="inlineStr">
        <is>
          <t>2.3.14.31</t>
        </is>
      </c>
      <c r="C1353" s="25" t="inlineStr">
        <is>
          <t>Part 2 – Technical Systems</t>
        </is>
      </c>
      <c r="D1353" s="25" t="inlineStr">
        <is>
          <t>2.3 INCIDENT AND RESOURCE MANAGEMENT SYSTEM (IRMS)</t>
        </is>
      </c>
      <c r="E1353" s="25" t="inlineStr">
        <is>
          <t>2.3.14 MULTI-AGENCY RESOURCE MANAGEMENT</t>
        </is>
      </c>
      <c r="F1353" s="25" t="inlineStr">
        <is>
          <t>Changes to resource information must be reflected in near real time for all users accessing the data, including the update of resource availability information.</t>
        </is>
      </c>
      <c r="G1353" s="19" t="n"/>
      <c r="H1353" s="20" t="n"/>
      <c r="I1353" s="20" t="n"/>
      <c r="J1353" s="19" t="n"/>
      <c r="K1353" s="21" t="n"/>
      <c r="L1353" s="22">
        <f>IF(OR(J1353="",K1353=""),"",J1353*K1353)</f>
        <v/>
      </c>
      <c r="M1353" s="19" t="n"/>
      <c r="N1353" s="20" t="n"/>
      <c r="O1353" s="20" t="n"/>
    </row>
    <row r="1354">
      <c r="A1354" s="16" t="n">
        <v>1351</v>
      </c>
      <c r="B1354" s="17" t="inlineStr">
        <is>
          <t>2.3.14.32</t>
        </is>
      </c>
      <c r="C1354" s="18" t="inlineStr">
        <is>
          <t>Part 2 – Technical Systems</t>
        </is>
      </c>
      <c r="D1354" s="18" t="inlineStr">
        <is>
          <t>2.3 INCIDENT AND RESOURCE MANAGEMENT SYSTEM (IRMS)</t>
        </is>
      </c>
      <c r="E1354" s="18" t="inlineStr">
        <is>
          <t>2.3.14 MULTI-AGENCY RESOURCE MANAGEMENT</t>
        </is>
      </c>
      <c r="F1354" s="18" t="inlineStr">
        <is>
          <t>The IRMS shall provide for supervisors and managers to make resources available for deployment by manually assigning assets to the resource.</t>
        </is>
      </c>
      <c r="G1354" s="19" t="n"/>
      <c r="H1354" s="20" t="n"/>
      <c r="I1354" s="20" t="n"/>
      <c r="J1354" s="19" t="n"/>
      <c r="K1354" s="21" t="n"/>
      <c r="L1354" s="22">
        <f>IF(OR(J1354="",K1354=""),"",J1354*K1354)</f>
        <v/>
      </c>
      <c r="M1354" s="19" t="n"/>
      <c r="N1354" s="20" t="n"/>
      <c r="O1354" s="20" t="n"/>
    </row>
    <row r="1355">
      <c r="A1355" s="23" t="n">
        <v>1352</v>
      </c>
      <c r="B1355" s="24" t="inlineStr">
        <is>
          <t>2.3.14.33</t>
        </is>
      </c>
      <c r="C1355" s="25" t="inlineStr">
        <is>
          <t>Part 2 – Technical Systems</t>
        </is>
      </c>
      <c r="D1355" s="25" t="inlineStr">
        <is>
          <t>2.3 INCIDENT AND RESOURCE MANAGEMENT SYSTEM (IRMS)</t>
        </is>
      </c>
      <c r="E1355" s="25" t="inlineStr">
        <is>
          <t>2.3.14 MULTI-AGENCY RESOURCE MANAGEMENT</t>
        </is>
      </c>
      <c r="F1355" s="25" t="inlineStr">
        <is>
          <t>The IRMS shall provide for supervisors and managers to input details of individuals and classify each by a series of parameters, such as availability times, skill sets, equipment used, and geographical constraints.</t>
        </is>
      </c>
      <c r="G1355" s="19" t="n"/>
      <c r="H1355" s="20" t="n"/>
      <c r="I1355" s="20" t="n"/>
      <c r="J1355" s="19" t="n"/>
      <c r="K1355" s="21" t="n"/>
      <c r="L1355" s="22">
        <f>IF(OR(J1355="",K1355=""),"",J1355*K1355)</f>
        <v/>
      </c>
      <c r="M1355" s="19" t="n"/>
      <c r="N1355" s="20" t="n"/>
      <c r="O1355" s="20" t="n"/>
    </row>
    <row r="1356">
      <c r="A1356" s="16" t="n">
        <v>1353</v>
      </c>
      <c r="B1356" s="17" t="inlineStr">
        <is>
          <t>2.3.14.34</t>
        </is>
      </c>
      <c r="C1356" s="18" t="inlineStr">
        <is>
          <t>Part 2 – Technical Systems</t>
        </is>
      </c>
      <c r="D1356" s="18" t="inlineStr">
        <is>
          <t>2.3 INCIDENT AND RESOURCE MANAGEMENT SYSTEM (IRMS)</t>
        </is>
      </c>
      <c r="E1356" s="18" t="inlineStr">
        <is>
          <t>2.3.14 MULTI-AGENCY RESOURCE MANAGEMENT</t>
        </is>
      </c>
      <c r="F1356" s="18" t="inlineStr">
        <is>
          <t>The IRMS shall be capable of being partitioned in such a way that managers and users from one agency or department may be prevented from inputting or accessing information relating to other agencies or departments.</t>
        </is>
      </c>
      <c r="G1356" s="19" t="n"/>
      <c r="H1356" s="20" t="n"/>
      <c r="I1356" s="20" t="n"/>
      <c r="J1356" s="19" t="n"/>
      <c r="K1356" s="21" t="n"/>
      <c r="L1356" s="22">
        <f>IF(OR(J1356="",K1356=""),"",J1356*K1356)</f>
        <v/>
      </c>
      <c r="M1356" s="19" t="n"/>
      <c r="N1356" s="20" t="n"/>
      <c r="O1356" s="20" t="n"/>
    </row>
    <row r="1357">
      <c r="A1357" s="23" t="n">
        <v>1354</v>
      </c>
      <c r="B1357" s="24" t="inlineStr">
        <is>
          <t>2.3.14.35</t>
        </is>
      </c>
      <c r="C1357" s="25" t="inlineStr">
        <is>
          <t>Part 2 – Technical Systems</t>
        </is>
      </c>
      <c r="D1357" s="25" t="inlineStr">
        <is>
          <t>2.3 INCIDENT AND RESOURCE MANAGEMENT SYSTEM (IRMS)</t>
        </is>
      </c>
      <c r="E1357" s="25" t="inlineStr">
        <is>
          <t>2.3.14 MULTI-AGENCY RESOURCE MANAGEMENT</t>
        </is>
      </c>
      <c r="F1357" s="25" t="inlineStr">
        <is>
          <t>The IRMS access shall be tracked and audited, with a history of date, times of access, changes to data and system configuration.</t>
        </is>
      </c>
      <c r="G1357" s="19" t="n"/>
      <c r="H1357" s="20" t="n"/>
      <c r="I1357" s="20" t="n"/>
      <c r="J1357" s="19" t="n"/>
      <c r="K1357" s="21" t="n"/>
      <c r="L1357" s="22">
        <f>IF(OR(J1357="",K1357=""),"",J1357*K1357)</f>
        <v/>
      </c>
      <c r="M1357" s="19" t="n"/>
      <c r="N1357" s="20" t="n"/>
      <c r="O1357" s="20" t="n"/>
    </row>
    <row r="1358">
      <c r="A1358" s="16" t="n">
        <v>1355</v>
      </c>
      <c r="B1358" s="17" t="inlineStr">
        <is>
          <t>2.3.14.36</t>
        </is>
      </c>
      <c r="C1358" s="18" t="inlineStr">
        <is>
          <t>Part 2 – Technical Systems</t>
        </is>
      </c>
      <c r="D1358" s="18" t="inlineStr">
        <is>
          <t>2.3 INCIDENT AND RESOURCE MANAGEMENT SYSTEM (IRMS)</t>
        </is>
      </c>
      <c r="E1358" s="18" t="inlineStr">
        <is>
          <t>2.3.14 MULTI-AGENCY RESOURCE MANAGEMENT</t>
        </is>
      </c>
      <c r="F1358" s="18" t="inlineStr">
        <is>
          <t>The IRMS shall allow administrators, managers, and supervisors to assign user rights based on individual, job function, location, and agency. Assignable user rights shall include but not be limited to:</t>
        </is>
      </c>
      <c r="G1358" s="19" t="n"/>
      <c r="H1358" s="20" t="n"/>
      <c r="I1358" s="20" t="n"/>
      <c r="J1358" s="19" t="n"/>
      <c r="K1358" s="21" t="n"/>
      <c r="L1358" s="22">
        <f>IF(OR(J1358="",K1358=""),"",J1358*K1358)</f>
        <v/>
      </c>
      <c r="M1358" s="19" t="n"/>
      <c r="N1358" s="20" t="n"/>
      <c r="O1358" s="20" t="n"/>
    </row>
    <row r="1359">
      <c r="A1359" s="23" t="n">
        <v>1356</v>
      </c>
      <c r="B1359" s="23" t="inlineStr">
        <is>
          <t>2.3.14.36.1</t>
        </is>
      </c>
      <c r="C1359" s="25" t="inlineStr">
        <is>
          <t>Part 2 – Technical Systems</t>
        </is>
      </c>
      <c r="D1359" s="25" t="inlineStr">
        <is>
          <t>2.3 INCIDENT AND RESOURCE MANAGEMENT SYSTEM (IRMS)</t>
        </is>
      </c>
      <c r="E1359" s="25" t="inlineStr">
        <is>
          <t>2.3.14 MULTI-AGENCY RESOURCE MANAGEMENT</t>
        </is>
      </c>
      <c r="F1359" s="25" t="inlineStr">
        <is>
          <t>Register information associated with an incident for further action, dissemination or analysis</t>
        </is>
      </c>
      <c r="G1359" s="19" t="n"/>
      <c r="H1359" s="20" t="n"/>
      <c r="I1359" s="20" t="n"/>
      <c r="J1359" s="19" t="n"/>
      <c r="K1359" s="21" t="n"/>
      <c r="L1359" s="22">
        <f>IF(OR(J1359="",K1359=""),"",J1359*K1359)</f>
        <v/>
      </c>
      <c r="M1359" s="19" t="n"/>
      <c r="N1359" s="20" t="n"/>
      <c r="O1359" s="20" t="n"/>
    </row>
    <row r="1360">
      <c r="A1360" s="16" t="n">
        <v>1357</v>
      </c>
      <c r="B1360" s="16" t="inlineStr">
        <is>
          <t>2.3.14.36.2</t>
        </is>
      </c>
      <c r="C1360" s="18" t="inlineStr">
        <is>
          <t>Part 2 – Technical Systems</t>
        </is>
      </c>
      <c r="D1360" s="18" t="inlineStr">
        <is>
          <t>2.3 INCIDENT AND RESOURCE MANAGEMENT SYSTEM (IRMS)</t>
        </is>
      </c>
      <c r="E1360" s="18" t="inlineStr">
        <is>
          <t>2.3.14 MULTI-AGENCY RESOURCE MANAGEMENT</t>
        </is>
      </c>
      <c r="F1360" s="18" t="inlineStr">
        <is>
          <t>Identify and record all elements of a resource separately and/or collectively, as required by various SOPs and response plans</t>
        </is>
      </c>
      <c r="G1360" s="19" t="n"/>
      <c r="H1360" s="20" t="n"/>
      <c r="I1360" s="20" t="n"/>
      <c r="J1360" s="19" t="n"/>
      <c r="K1360" s="21" t="n"/>
      <c r="L1360" s="22">
        <f>IF(OR(J1360="",K1360=""),"",J1360*K1360)</f>
        <v/>
      </c>
      <c r="M1360" s="19" t="n"/>
      <c r="N1360" s="20" t="n"/>
      <c r="O1360" s="20" t="n"/>
    </row>
    <row r="1361">
      <c r="A1361" s="23" t="n">
        <v>1358</v>
      </c>
      <c r="B1361" s="23" t="inlineStr">
        <is>
          <t>2.3.14.36.3</t>
        </is>
      </c>
      <c r="C1361" s="25" t="inlineStr">
        <is>
          <t>Part 2 – Technical Systems</t>
        </is>
      </c>
      <c r="D1361" s="25" t="inlineStr">
        <is>
          <t>2.3 INCIDENT AND RESOURCE MANAGEMENT SYSTEM (IRMS)</t>
        </is>
      </c>
      <c r="E1361" s="25" t="inlineStr">
        <is>
          <t>2.3.14 MULTI-AGENCY RESOURCE MANAGEMENT</t>
        </is>
      </c>
      <c r="F1361" s="25" t="inlineStr">
        <is>
          <t>Manage, group and present this information in a logical form as configured by the various SOPs and response plans</t>
        </is>
      </c>
      <c r="G1361" s="19" t="n"/>
      <c r="H1361" s="20" t="n"/>
      <c r="I1361" s="20" t="n"/>
      <c r="J1361" s="19" t="n"/>
      <c r="K1361" s="21" t="n"/>
      <c r="L1361" s="22">
        <f>IF(OR(J1361="",K1361=""),"",J1361*K1361)</f>
        <v/>
      </c>
      <c r="M1361" s="19" t="n"/>
      <c r="N1361" s="20" t="n"/>
      <c r="O1361" s="20" t="n"/>
    </row>
    <row r="1362">
      <c r="A1362" s="16" t="n">
        <v>1359</v>
      </c>
      <c r="B1362" s="16" t="inlineStr">
        <is>
          <t>2.3.14.36.4</t>
        </is>
      </c>
      <c r="C1362" s="18" t="inlineStr">
        <is>
          <t>Part 2 – Technical Systems</t>
        </is>
      </c>
      <c r="D1362" s="18" t="inlineStr">
        <is>
          <t>2.3 INCIDENT AND RESOURCE MANAGEMENT SYSTEM (IRMS)</t>
        </is>
      </c>
      <c r="E1362" s="18" t="inlineStr">
        <is>
          <t>2.3.14 MULTI-AGENCY RESOURCE MANAGEMENT</t>
        </is>
      </c>
      <c r="F1362" s="18" t="inlineStr">
        <is>
          <t>Record and timestamp actions, decisions and events</t>
        </is>
      </c>
      <c r="G1362" s="19" t="n"/>
      <c r="H1362" s="20" t="n"/>
      <c r="I1362" s="20" t="n"/>
      <c r="J1362" s="19" t="n"/>
      <c r="K1362" s="21" t="n"/>
      <c r="L1362" s="22">
        <f>IF(OR(J1362="",K1362=""),"",J1362*K1362)</f>
        <v/>
      </c>
      <c r="M1362" s="19" t="n"/>
      <c r="N1362" s="20" t="n"/>
      <c r="O1362" s="20" t="n"/>
    </row>
    <row r="1363">
      <c r="A1363" s="23" t="n">
        <v>1360</v>
      </c>
      <c r="B1363" s="23" t="inlineStr">
        <is>
          <t>2.3.14.36.5</t>
        </is>
      </c>
      <c r="C1363" s="25" t="inlineStr">
        <is>
          <t>Part 2 – Technical Systems</t>
        </is>
      </c>
      <c r="D1363" s="25" t="inlineStr">
        <is>
          <t>2.3 INCIDENT AND RESOURCE MANAGEMENT SYSTEM (IRMS)</t>
        </is>
      </c>
      <c r="E1363" s="25" t="inlineStr">
        <is>
          <t>2.3.14 MULTI-AGENCY RESOURCE MANAGEMENT</t>
        </is>
      </c>
      <c r="F1363" s="25" t="inlineStr">
        <is>
          <t>Provide record keeping in support of accountability and traceability</t>
        </is>
      </c>
      <c r="G1363" s="19" t="n"/>
      <c r="H1363" s="20" t="n"/>
      <c r="I1363" s="20" t="n"/>
      <c r="J1363" s="19" t="n"/>
      <c r="K1363" s="21" t="n"/>
      <c r="L1363" s="22">
        <f>IF(OR(J1363="",K1363=""),"",J1363*K1363)</f>
        <v/>
      </c>
      <c r="M1363" s="19" t="n"/>
      <c r="N1363" s="20" t="n"/>
      <c r="O1363" s="20" t="n"/>
    </row>
    <row r="1364">
      <c r="A1364" s="16" t="n">
        <v>1361</v>
      </c>
      <c r="B1364" s="16" t="inlineStr">
        <is>
          <t>2.3.14.36.6</t>
        </is>
      </c>
      <c r="C1364" s="18" t="inlineStr">
        <is>
          <t>Part 2 – Technical Systems</t>
        </is>
      </c>
      <c r="D1364" s="18" t="inlineStr">
        <is>
          <t>2.3 INCIDENT AND RESOURCE MANAGEMENT SYSTEM (IRMS)</t>
        </is>
      </c>
      <c r="E1364" s="18" t="inlineStr">
        <is>
          <t>2.3.14 MULTI-AGENCY RESOURCE MANAGEMENT</t>
        </is>
      </c>
      <c r="F1364" s="18" t="inlineStr">
        <is>
          <t>Record on-going changes to resource availability and allocation to improve efficiency and availability</t>
        </is>
      </c>
      <c r="G1364" s="19" t="n"/>
      <c r="H1364" s="20" t="n"/>
      <c r="I1364" s="20" t="n"/>
      <c r="J1364" s="19" t="n"/>
      <c r="K1364" s="21" t="n"/>
      <c r="L1364" s="22">
        <f>IF(OR(J1364="",K1364=""),"",J1364*K1364)</f>
        <v/>
      </c>
      <c r="M1364" s="19" t="n"/>
      <c r="N1364" s="20" t="n"/>
      <c r="O1364" s="20" t="n"/>
    </row>
    <row r="1365">
      <c r="A1365" s="23" t="n">
        <v>1362</v>
      </c>
      <c r="B1365" s="23" t="inlineStr">
        <is>
          <t>2.3.14.36.7</t>
        </is>
      </c>
      <c r="C1365" s="25" t="inlineStr">
        <is>
          <t>Part 2 – Technical Systems</t>
        </is>
      </c>
      <c r="D1365" s="25" t="inlineStr">
        <is>
          <t>2.3 INCIDENT AND RESOURCE MANAGEMENT SYSTEM (IRMS)</t>
        </is>
      </c>
      <c r="E1365" s="25" t="inlineStr">
        <is>
          <t>2.3.14 MULTI-AGENCY RESOURCE MANAGEMENT</t>
        </is>
      </c>
      <c r="F1365" s="25" t="inlineStr">
        <is>
          <t>Delineate a series of levels and authorities, grouped into functional areas and roles, access to each being determined by individual password</t>
        </is>
      </c>
      <c r="G1365" s="19" t="n"/>
      <c r="H1365" s="20" t="n"/>
      <c r="I1365" s="20" t="n"/>
      <c r="J1365" s="19" t="n"/>
      <c r="K1365" s="21" t="n"/>
      <c r="L1365" s="22">
        <f>IF(OR(J1365="",K1365=""),"",J1365*K1365)</f>
        <v/>
      </c>
      <c r="M1365" s="19" t="n"/>
      <c r="N1365" s="20" t="n"/>
      <c r="O1365" s="20" t="n"/>
    </row>
    <row r="1366">
      <c r="A1366" s="16" t="n">
        <v>1363</v>
      </c>
      <c r="B1366" s="17" t="inlineStr">
        <is>
          <t>2.3.14.37</t>
        </is>
      </c>
      <c r="C1366" s="18" t="inlineStr">
        <is>
          <t>Part 2 – Technical Systems</t>
        </is>
      </c>
      <c r="D1366" s="18" t="inlineStr">
        <is>
          <t>2.3 INCIDENT AND RESOURCE MANAGEMENT SYSTEM (IRMS)</t>
        </is>
      </c>
      <c r="E1366" s="18" t="inlineStr">
        <is>
          <t>2.3.14 MULTI-AGENCY RESOURCE MANAGEMENT</t>
        </is>
      </c>
      <c r="F1366" s="18" t="inlineStr">
        <is>
          <t>The display of available resources shall be restricted by agency type.</t>
        </is>
      </c>
      <c r="G1366" s="19" t="n"/>
      <c r="H1366" s="20" t="n"/>
      <c r="I1366" s="20" t="n"/>
      <c r="J1366" s="19" t="n"/>
      <c r="K1366" s="21" t="n"/>
      <c r="L1366" s="22">
        <f>IF(OR(J1366="",K1366=""),"",J1366*K1366)</f>
        <v/>
      </c>
      <c r="M1366" s="19" t="n"/>
      <c r="N1366" s="20" t="n"/>
      <c r="O1366" s="20" t="n"/>
    </row>
    <row r="1367">
      <c r="A1367" s="23" t="n">
        <v>1364</v>
      </c>
      <c r="B1367" s="24" t="inlineStr">
        <is>
          <t>2.3.14.38</t>
        </is>
      </c>
      <c r="C1367" s="25" t="inlineStr">
        <is>
          <t>Part 2 – Technical Systems</t>
        </is>
      </c>
      <c r="D1367" s="25" t="inlineStr">
        <is>
          <t>2.3 INCIDENT AND RESOURCE MANAGEMENT SYSTEM (IRMS)</t>
        </is>
      </c>
      <c r="E1367" s="25" t="inlineStr">
        <is>
          <t>2.3.14 MULTI-AGENCY RESOURCE MANAGEMENT</t>
        </is>
      </c>
      <c r="F1367" s="25" t="inlineStr">
        <is>
          <t>Additional, configurable, filters, such as equipment levels and skill sets shall be made available for use by particular agencies and departments.</t>
        </is>
      </c>
      <c r="G1367" s="19" t="n"/>
      <c r="H1367" s="20" t="n"/>
      <c r="I1367" s="20" t="n"/>
      <c r="J1367" s="19" t="n"/>
      <c r="K1367" s="21" t="n"/>
      <c r="L1367" s="22">
        <f>IF(OR(J1367="",K1367=""),"",J1367*K1367)</f>
        <v/>
      </c>
      <c r="M1367" s="19" t="n"/>
      <c r="N1367" s="20" t="n"/>
      <c r="O1367" s="20" t="n"/>
    </row>
    <row r="1368">
      <c r="A1368" s="16" t="n">
        <v>1365</v>
      </c>
      <c r="B1368" s="17" t="inlineStr">
        <is>
          <t>2.3.14.39</t>
        </is>
      </c>
      <c r="C1368" s="18" t="inlineStr">
        <is>
          <t>Part 2 – Technical Systems</t>
        </is>
      </c>
      <c r="D1368" s="18" t="inlineStr">
        <is>
          <t>2.3 INCIDENT AND RESOURCE MANAGEMENT SYSTEM (IRMS)</t>
        </is>
      </c>
      <c r="E1368" s="18" t="inlineStr">
        <is>
          <t>2.3.14 MULTI-AGENCY RESOURCE MANAGEMENT</t>
        </is>
      </c>
      <c r="F1368" s="18" t="inlineStr">
        <is>
          <t>Resource availability shall be displayed by resource type, individual resource, and resource status (available, location, unavailable, engaged, etc.). Only current available resources shall be displayed on an incident log.</t>
        </is>
      </c>
      <c r="G1368" s="19" t="n"/>
      <c r="H1368" s="20" t="n"/>
      <c r="I1368" s="20" t="n"/>
      <c r="J1368" s="19" t="n"/>
      <c r="K1368" s="21" t="n"/>
      <c r="L1368" s="22">
        <f>IF(OR(J1368="",K1368=""),"",J1368*K1368)</f>
        <v/>
      </c>
      <c r="M1368" s="19" t="n"/>
      <c r="N1368" s="20" t="n"/>
      <c r="O1368" s="20" t="n"/>
    </row>
    <row r="1369">
      <c r="A1369" s="23" t="n">
        <v>1366</v>
      </c>
      <c r="B1369" s="24" t="inlineStr">
        <is>
          <t>2.3.14.40</t>
        </is>
      </c>
      <c r="C1369" s="25" t="inlineStr">
        <is>
          <t>Part 2 – Technical Systems</t>
        </is>
      </c>
      <c r="D1369" s="25" t="inlineStr">
        <is>
          <t>2.3 INCIDENT AND RESOURCE MANAGEMENT SYSTEM (IRMS)</t>
        </is>
      </c>
      <c r="E1369" s="25" t="inlineStr">
        <is>
          <t>2.3.14 MULTI-AGENCY RESOURCE MANAGEMENT</t>
        </is>
      </c>
      <c r="F1369" s="25" t="inlineStr">
        <is>
          <t>It shall be possible to populate incident logs with additional information, for example details of individual officers who make up a resource.</t>
        </is>
      </c>
      <c r="G1369" s="19" t="n"/>
      <c r="H1369" s="20" t="n"/>
      <c r="I1369" s="20" t="n"/>
      <c r="J1369" s="19" t="n"/>
      <c r="K1369" s="21" t="n"/>
      <c r="L1369" s="22">
        <f>IF(OR(J1369="",K1369=""),"",J1369*K1369)</f>
        <v/>
      </c>
      <c r="M1369" s="19" t="n"/>
      <c r="N1369" s="20" t="n"/>
      <c r="O1369" s="20" t="n"/>
    </row>
    <row r="1370">
      <c r="A1370" s="16" t="n">
        <v>1367</v>
      </c>
      <c r="B1370" s="17" t="inlineStr">
        <is>
          <t>2.3.14.41</t>
        </is>
      </c>
      <c r="C1370" s="18" t="inlineStr">
        <is>
          <t>Part 2 – Technical Systems</t>
        </is>
      </c>
      <c r="D1370" s="18" t="inlineStr">
        <is>
          <t>2.3 INCIDENT AND RESOURCE MANAGEMENT SYSTEM (IRMS)</t>
        </is>
      </c>
      <c r="E1370" s="18" t="inlineStr">
        <is>
          <t>2.3.14 MULTI-AGENCY RESOURCE MANAGEMENT</t>
        </is>
      </c>
      <c r="F1370" s="18" t="inlineStr">
        <is>
          <t>It shall be possible, through the IRMS, to request lists of available resources.</t>
        </is>
      </c>
      <c r="G1370" s="19" t="n"/>
      <c r="H1370" s="20" t="n"/>
      <c r="I1370" s="20" t="n"/>
      <c r="J1370" s="19" t="n"/>
      <c r="K1370" s="21" t="n"/>
      <c r="L1370" s="22">
        <f>IF(OR(J1370="",K1370=""),"",J1370*K1370)</f>
        <v/>
      </c>
      <c r="M1370" s="19" t="n"/>
      <c r="N1370" s="20" t="n"/>
      <c r="O1370" s="20" t="n"/>
    </row>
    <row r="1371">
      <c r="A1371" s="23" t="n">
        <v>1368</v>
      </c>
      <c r="B1371" s="24" t="inlineStr">
        <is>
          <t>2.3.15.1</t>
        </is>
      </c>
      <c r="C1371" s="25" t="inlineStr">
        <is>
          <t>Part 2 – Technical Systems</t>
        </is>
      </c>
      <c r="D1371" s="25" t="inlineStr">
        <is>
          <t>2.3 INCIDENT AND RESOURCE MANAGEMENT SYSTEM (IRMS)</t>
        </is>
      </c>
      <c r="E1371" s="25" t="inlineStr">
        <is>
          <t>2.3.15 AUTOMATIC RESOURCE LOCATION</t>
        </is>
      </c>
      <c r="F1371" s="25" t="inlineStr">
        <is>
          <t>The MOI requires that the IRMS incorporates integrated Automatic Resource Location (ARL) to be used for Automatic Vehicle Location (AVL), Automatic Personnel Location (APL) and any other resource that needs to be tracked or located within a defined area.</t>
        </is>
      </c>
      <c r="G1371" s="19" t="n"/>
      <c r="H1371" s="20" t="n"/>
      <c r="I1371" s="20" t="n"/>
      <c r="J1371" s="19" t="n"/>
      <c r="K1371" s="21" t="n"/>
      <c r="L1371" s="22">
        <f>IF(OR(J1371="",K1371=""),"",J1371*K1371)</f>
        <v/>
      </c>
      <c r="M1371" s="19" t="n"/>
      <c r="N1371" s="20" t="n"/>
      <c r="O1371" s="20" t="n"/>
    </row>
    <row r="1372">
      <c r="A1372" s="16" t="n">
        <v>1369</v>
      </c>
      <c r="B1372" s="17" t="inlineStr">
        <is>
          <t>2.3.15.2</t>
        </is>
      </c>
      <c r="C1372" s="18" t="inlineStr">
        <is>
          <t>Part 2 – Technical Systems</t>
        </is>
      </c>
      <c r="D1372" s="18" t="inlineStr">
        <is>
          <t>2.3 INCIDENT AND RESOURCE MANAGEMENT SYSTEM (IRMS)</t>
        </is>
      </c>
      <c r="E1372" s="18" t="inlineStr">
        <is>
          <t>2.3.15 AUTOMATIC RESOURCE LOCATION</t>
        </is>
      </c>
      <c r="F1372" s="18" t="inlineStr">
        <is>
          <t>The CONTRACTOR shall deliver the ARL solution (AVL and APL) that is integrated with multiple MOI-identified AVL systems.</t>
        </is>
      </c>
      <c r="G1372" s="19" t="n"/>
      <c r="H1372" s="20" t="n"/>
      <c r="I1372" s="20" t="n"/>
      <c r="J1372" s="19" t="n"/>
      <c r="K1372" s="21" t="n"/>
      <c r="L1372" s="22">
        <f>IF(OR(J1372="",K1372=""),"",J1372*K1372)</f>
        <v/>
      </c>
      <c r="M1372" s="19" t="n"/>
      <c r="N1372" s="20" t="n"/>
      <c r="O1372" s="20" t="n"/>
    </row>
    <row r="1373">
      <c r="A1373" s="23" t="n">
        <v>1370</v>
      </c>
      <c r="B1373" s="24" t="inlineStr">
        <is>
          <t>2.3.15.3</t>
        </is>
      </c>
      <c r="C1373" s="25" t="inlineStr">
        <is>
          <t>Part 2 – Technical Systems</t>
        </is>
      </c>
      <c r="D1373" s="25" t="inlineStr">
        <is>
          <t>2.3 INCIDENT AND RESOURCE MANAGEMENT SYSTEM (IRMS)</t>
        </is>
      </c>
      <c r="E1373" s="25" t="inlineStr">
        <is>
          <t>2.3.15 AUTOMATIC RESOURCE LOCATION</t>
        </is>
      </c>
      <c r="F1373" s="25" t="inlineStr">
        <is>
          <t>BIDDERs shall propose a solution whereby the IRMS servers collate and store IRMS data from the sources and make this information available to other applications and queries in an open format, for example XML, JSON, etc.</t>
        </is>
      </c>
      <c r="G1373" s="19" t="n"/>
      <c r="H1373" s="20" t="n"/>
      <c r="I1373" s="20" t="n"/>
      <c r="J1373" s="19" t="n"/>
      <c r="K1373" s="21" t="n"/>
      <c r="L1373" s="22">
        <f>IF(OR(J1373="",K1373=""),"",J1373*K1373)</f>
        <v/>
      </c>
      <c r="M1373" s="19" t="n"/>
      <c r="N1373" s="20" t="n"/>
      <c r="O1373" s="20" t="n"/>
    </row>
    <row r="1374">
      <c r="A1374" s="16" t="n">
        <v>1371</v>
      </c>
      <c r="B1374" s="17" t="inlineStr">
        <is>
          <t>2.3.15.4</t>
        </is>
      </c>
      <c r="C1374" s="18" t="inlineStr">
        <is>
          <t>Part 2 – Technical Systems</t>
        </is>
      </c>
      <c r="D1374" s="18" t="inlineStr">
        <is>
          <t>2.3 INCIDENT AND RESOURCE MANAGEMENT SYSTEM (IRMS)</t>
        </is>
      </c>
      <c r="E1374" s="18" t="inlineStr">
        <is>
          <t>2.3.15 AUTOMATIC RESOURCE LOCATION</t>
        </is>
      </c>
      <c r="F1374" s="18" t="inlineStr">
        <is>
          <t>The IRMS shall allow suitably authorized users shall be able to view AVL data and manage unit update rates and displayed data at all operator and supervisor workstations within OSS911 Center</t>
        </is>
      </c>
      <c r="G1374" s="19" t="n"/>
      <c r="H1374" s="20" t="n"/>
      <c r="I1374" s="20" t="n"/>
      <c r="J1374" s="19" t="n"/>
      <c r="K1374" s="21" t="n"/>
      <c r="L1374" s="22">
        <f>IF(OR(J1374="",K1374=""),"",J1374*K1374)</f>
        <v/>
      </c>
      <c r="M1374" s="19" t="n"/>
      <c r="N1374" s="20" t="n"/>
      <c r="O1374" s="20" t="n"/>
    </row>
    <row r="1375">
      <c r="A1375" s="23" t="n">
        <v>1372</v>
      </c>
      <c r="B1375" s="24" t="inlineStr">
        <is>
          <t>2.3.15.5</t>
        </is>
      </c>
      <c r="C1375" s="25" t="inlineStr">
        <is>
          <t>Part 2 – Technical Systems</t>
        </is>
      </c>
      <c r="D1375" s="25" t="inlineStr">
        <is>
          <t>2.3 INCIDENT AND RESOURCE MANAGEMENT SYSTEM (IRMS)</t>
        </is>
      </c>
      <c r="E1375" s="25" t="inlineStr">
        <is>
          <t>2.3.15 AUTOMATIC RESOURCE LOCATION</t>
        </is>
      </c>
      <c r="F1375" s="25" t="inlineStr">
        <is>
          <t>Designated supervisor and manager users within the OSS911 Center shall be authorized to configure user access rights that include:</t>
        </is>
      </c>
      <c r="G1375" s="19" t="n"/>
      <c r="H1375" s="20" t="n"/>
      <c r="I1375" s="20" t="n"/>
      <c r="J1375" s="19" t="n"/>
      <c r="K1375" s="21" t="n"/>
      <c r="L1375" s="22">
        <f>IF(OR(J1375="",K1375=""),"",J1375*K1375)</f>
        <v/>
      </c>
      <c r="M1375" s="19" t="n"/>
      <c r="N1375" s="20" t="n"/>
      <c r="O1375" s="20" t="n"/>
    </row>
    <row r="1376">
      <c r="A1376" s="16" t="n">
        <v>1373</v>
      </c>
      <c r="B1376" s="16" t="inlineStr">
        <is>
          <t>2.3.15.5.1</t>
        </is>
      </c>
      <c r="C1376" s="18" t="inlineStr">
        <is>
          <t>Part 2 – Technical Systems</t>
        </is>
      </c>
      <c r="D1376" s="18" t="inlineStr">
        <is>
          <t>2.3 INCIDENT AND RESOURCE MANAGEMENT SYSTEM (IRMS)</t>
        </is>
      </c>
      <c r="E1376" s="18" t="inlineStr">
        <is>
          <t>2.3.15 AUTOMATIC RESOURCE LOCATION</t>
        </is>
      </c>
      <c r="F1376" s="18" t="inlineStr">
        <is>
          <t>Read only, including which resource groups can be accessed</t>
        </is>
      </c>
      <c r="G1376" s="19" t="n"/>
      <c r="H1376" s="20" t="n"/>
      <c r="I1376" s="20" t="n"/>
      <c r="J1376" s="19" t="n"/>
      <c r="K1376" s="21" t="n"/>
      <c r="L1376" s="22">
        <f>IF(OR(J1376="",K1376=""),"",J1376*K1376)</f>
        <v/>
      </c>
      <c r="M1376" s="19" t="n"/>
      <c r="N1376" s="20" t="n"/>
      <c r="O1376" s="20" t="n"/>
    </row>
    <row r="1377">
      <c r="A1377" s="23" t="n">
        <v>1374</v>
      </c>
      <c r="B1377" s="23" t="inlineStr">
        <is>
          <t>2.3.15.5.2</t>
        </is>
      </c>
      <c r="C1377" s="25" t="inlineStr">
        <is>
          <t>Part 2 – Technical Systems</t>
        </is>
      </c>
      <c r="D1377" s="25" t="inlineStr">
        <is>
          <t>2.3 INCIDENT AND RESOURCE MANAGEMENT SYSTEM (IRMS)</t>
        </is>
      </c>
      <c r="E1377" s="25" t="inlineStr">
        <is>
          <t>2.3.15 AUTOMATIC RESOURCE LOCATION</t>
        </is>
      </c>
      <c r="F1377" s="25" t="inlineStr">
        <is>
          <t>Authority to management of update rates</t>
        </is>
      </c>
      <c r="G1377" s="19" t="n"/>
      <c r="H1377" s="20" t="n"/>
      <c r="I1377" s="20" t="n"/>
      <c r="J1377" s="19" t="n"/>
      <c r="K1377" s="21" t="n"/>
      <c r="L1377" s="22">
        <f>IF(OR(J1377="",K1377=""),"",J1377*K1377)</f>
        <v/>
      </c>
      <c r="M1377" s="19" t="n"/>
      <c r="N1377" s="20" t="n"/>
      <c r="O1377" s="20" t="n"/>
    </row>
    <row r="1378">
      <c r="A1378" s="16" t="n">
        <v>1375</v>
      </c>
      <c r="B1378" s="16" t="inlineStr">
        <is>
          <t>2.3.15.5.3</t>
        </is>
      </c>
      <c r="C1378" s="18" t="inlineStr">
        <is>
          <t>Part 2 – Technical Systems</t>
        </is>
      </c>
      <c r="D1378" s="18" t="inlineStr">
        <is>
          <t>2.3 INCIDENT AND RESOURCE MANAGEMENT SYSTEM (IRMS)</t>
        </is>
      </c>
      <c r="E1378" s="18" t="inlineStr">
        <is>
          <t>2.3.15 AUTOMATIC RESOURCE LOCATION</t>
        </is>
      </c>
      <c r="F1378" s="18" t="inlineStr">
        <is>
          <t>Authority to create/edit/delete resources</t>
        </is>
      </c>
      <c r="G1378" s="19" t="n"/>
      <c r="H1378" s="20" t="n"/>
      <c r="I1378" s="20" t="n"/>
      <c r="J1378" s="19" t="n"/>
      <c r="K1378" s="21" t="n"/>
      <c r="L1378" s="22">
        <f>IF(OR(J1378="",K1378=""),"",J1378*K1378)</f>
        <v/>
      </c>
      <c r="M1378" s="19" t="n"/>
      <c r="N1378" s="20" t="n"/>
      <c r="O1378" s="20" t="n"/>
    </row>
    <row r="1379">
      <c r="A1379" s="23" t="n">
        <v>1376</v>
      </c>
      <c r="B1379" s="23" t="inlineStr">
        <is>
          <t>2.3.15.5.4</t>
        </is>
      </c>
      <c r="C1379" s="25" t="inlineStr">
        <is>
          <t>Part 2 – Technical Systems</t>
        </is>
      </c>
      <c r="D1379" s="25" t="inlineStr">
        <is>
          <t>2.3 INCIDENT AND RESOURCE MANAGEMENT SYSTEM (IRMS)</t>
        </is>
      </c>
      <c r="E1379" s="25" t="inlineStr">
        <is>
          <t>2.3.15 AUTOMATIC RESOURCE LOCATION</t>
        </is>
      </c>
      <c r="F1379" s="25" t="inlineStr">
        <is>
          <t>GUI management.</t>
        </is>
      </c>
      <c r="G1379" s="19" t="n"/>
      <c r="H1379" s="20" t="n"/>
      <c r="I1379" s="20" t="n"/>
      <c r="J1379" s="19" t="n"/>
      <c r="K1379" s="21" t="n"/>
      <c r="L1379" s="22">
        <f>IF(OR(J1379="",K1379=""),"",J1379*K1379)</f>
        <v/>
      </c>
      <c r="M1379" s="19" t="n"/>
      <c r="N1379" s="20" t="n"/>
      <c r="O1379" s="20" t="n"/>
    </row>
    <row r="1380">
      <c r="A1380" s="16" t="n">
        <v>1377</v>
      </c>
      <c r="B1380" s="17" t="inlineStr">
        <is>
          <t>2.3.15.6</t>
        </is>
      </c>
      <c r="C1380" s="18" t="inlineStr">
        <is>
          <t>Part 2 – Technical Systems</t>
        </is>
      </c>
      <c r="D1380" s="18" t="inlineStr">
        <is>
          <t>2.3 INCIDENT AND RESOURCE MANAGEMENT SYSTEM (IRMS)</t>
        </is>
      </c>
      <c r="E1380" s="18" t="inlineStr">
        <is>
          <t>2.3.15 AUTOMATIC RESOURCE LOCATION</t>
        </is>
      </c>
      <c r="F1380" s="18" t="inlineStr">
        <is>
          <t>The IRMS shall be dimensioned to support variable refresh rates depending on ARL network limitations and system capacities. Updates shall primarily be event driven, either caused by the resource moving a pre-set distance or activation of an alert. These would include:</t>
        </is>
      </c>
      <c r="G1380" s="19" t="n"/>
      <c r="H1380" s="20" t="n"/>
      <c r="I1380" s="20" t="n"/>
      <c r="J1380" s="19" t="n"/>
      <c r="K1380" s="21" t="n"/>
      <c r="L1380" s="22">
        <f>IF(OR(J1380="",K1380=""),"",J1380*K1380)</f>
        <v/>
      </c>
      <c r="M1380" s="19" t="n"/>
      <c r="N1380" s="20" t="n"/>
      <c r="O1380" s="20" t="n"/>
    </row>
    <row r="1381">
      <c r="A1381" s="23" t="n">
        <v>1378</v>
      </c>
      <c r="B1381" s="23" t="inlineStr">
        <is>
          <t>2.3.15.6.1</t>
        </is>
      </c>
      <c r="C1381" s="25" t="inlineStr">
        <is>
          <t>Part 2 – Technical Systems</t>
        </is>
      </c>
      <c r="D1381" s="25" t="inlineStr">
        <is>
          <t>2.3 INCIDENT AND RESOURCE MANAGEMENT SYSTEM (IRMS)</t>
        </is>
      </c>
      <c r="E1381" s="25" t="inlineStr">
        <is>
          <t>2.3.15 AUTOMATIC RESOURCE LOCATION</t>
        </is>
      </c>
      <c r="F1381" s="25" t="inlineStr">
        <is>
          <t>Automatically activation, for example based on speed, use of sirens or collision.</t>
        </is>
      </c>
      <c r="G1381" s="19" t="n"/>
      <c r="H1381" s="20" t="n"/>
      <c r="I1381" s="20" t="n"/>
      <c r="J1381" s="19" t="n"/>
      <c r="K1381" s="21" t="n"/>
      <c r="L1381" s="22">
        <f>IF(OR(J1381="",K1381=""),"",J1381*K1381)</f>
        <v/>
      </c>
      <c r="M1381" s="19" t="n"/>
      <c r="N1381" s="20" t="n"/>
      <c r="O1381" s="20" t="n"/>
    </row>
    <row r="1382">
      <c r="A1382" s="16" t="n">
        <v>1379</v>
      </c>
      <c r="B1382" s="16" t="inlineStr">
        <is>
          <t>2.3.15.6.2</t>
        </is>
      </c>
      <c r="C1382" s="18" t="inlineStr">
        <is>
          <t>Part 2 – Technical Systems</t>
        </is>
      </c>
      <c r="D1382" s="18" t="inlineStr">
        <is>
          <t>2.3 INCIDENT AND RESOURCE MANAGEMENT SYSTEM (IRMS)</t>
        </is>
      </c>
      <c r="E1382" s="18" t="inlineStr">
        <is>
          <t>2.3.15 AUTOMATIC RESOURCE LOCATION</t>
        </is>
      </c>
      <c r="F1382" s="18" t="inlineStr">
        <is>
          <t>User activation, through use of the radio emergency button or specific status messages.</t>
        </is>
      </c>
      <c r="G1382" s="19" t="n"/>
      <c r="H1382" s="20" t="n"/>
      <c r="I1382" s="20" t="n"/>
      <c r="J1382" s="19" t="n"/>
      <c r="K1382" s="21" t="n"/>
      <c r="L1382" s="22">
        <f>IF(OR(J1382="",K1382=""),"",J1382*K1382)</f>
        <v/>
      </c>
      <c r="M1382" s="19" t="n"/>
      <c r="N1382" s="20" t="n"/>
      <c r="O1382" s="20" t="n"/>
    </row>
    <row r="1383">
      <c r="A1383" s="23" t="n">
        <v>1380</v>
      </c>
      <c r="B1383" s="23" t="inlineStr">
        <is>
          <t>2.3.15.6.3</t>
        </is>
      </c>
      <c r="C1383" s="25" t="inlineStr">
        <is>
          <t>Part 2 – Technical Systems</t>
        </is>
      </c>
      <c r="D1383" s="25" t="inlineStr">
        <is>
          <t>2.3 INCIDENT AND RESOURCE MANAGEMENT SYSTEM (IRMS)</t>
        </is>
      </c>
      <c r="E1383" s="25" t="inlineStr">
        <is>
          <t>2.3.15 AUTOMATIC RESOURCE LOCATION</t>
        </is>
      </c>
      <c r="F1383" s="25" t="inlineStr">
        <is>
          <t>Incident Management System activation, to locate patrols available to attend a new incident, or</t>
        </is>
      </c>
      <c r="G1383" s="19" t="n"/>
      <c r="H1383" s="20" t="n"/>
      <c r="I1383" s="20" t="n"/>
      <c r="J1383" s="19" t="n"/>
      <c r="K1383" s="21" t="n"/>
      <c r="L1383" s="22">
        <f>IF(OR(J1383="",K1383=""),"",J1383*K1383)</f>
        <v/>
      </c>
      <c r="M1383" s="19" t="n"/>
      <c r="N1383" s="20" t="n"/>
      <c r="O1383" s="20" t="n"/>
    </row>
    <row r="1384">
      <c r="A1384" s="16" t="n">
        <v>1381</v>
      </c>
      <c r="B1384" s="16" t="inlineStr">
        <is>
          <t>2.3.15.6.4</t>
        </is>
      </c>
      <c r="C1384" s="18" t="inlineStr">
        <is>
          <t>Part 2 – Technical Systems</t>
        </is>
      </c>
      <c r="D1384" s="18" t="inlineStr">
        <is>
          <t>2.3 INCIDENT AND RESOURCE MANAGEMENT SYSTEM (IRMS)</t>
        </is>
      </c>
      <c r="E1384" s="18" t="inlineStr">
        <is>
          <t>2.3.15 AUTOMATIC RESOURCE LOCATION</t>
        </is>
      </c>
      <c r="F1384" s="18" t="inlineStr">
        <is>
          <t>Dispatcher or operator request.</t>
        </is>
      </c>
      <c r="G1384" s="19" t="n"/>
      <c r="H1384" s="20" t="n"/>
      <c r="I1384" s="20" t="n"/>
      <c r="J1384" s="19" t="n"/>
      <c r="K1384" s="21" t="n"/>
      <c r="L1384" s="22">
        <f>IF(OR(J1384="",K1384=""),"",J1384*K1384)</f>
        <v/>
      </c>
      <c r="M1384" s="19" t="n"/>
      <c r="N1384" s="20" t="n"/>
      <c r="O1384" s="20" t="n"/>
    </row>
    <row r="1385">
      <c r="A1385" s="23" t="n">
        <v>1382</v>
      </c>
      <c r="B1385" s="24" t="inlineStr">
        <is>
          <t>2.3.15.7</t>
        </is>
      </c>
      <c r="C1385" s="25" t="inlineStr">
        <is>
          <t>Part 2 – Technical Systems</t>
        </is>
      </c>
      <c r="D1385" s="25" t="inlineStr">
        <is>
          <t>2.3 INCIDENT AND RESOURCE MANAGEMENT SYSTEM (IRMS)</t>
        </is>
      </c>
      <c r="E1385" s="25" t="inlineStr">
        <is>
          <t>2.3.15 AUTOMATIC RESOURCE LOCATION</t>
        </is>
      </c>
      <c r="F1385" s="25" t="inlineStr">
        <is>
          <t>The CONTRACTOR shall configure the timer refresh rates to come in periodically when no other event or action has triggered an update.</t>
        </is>
      </c>
      <c r="G1385" s="19" t="n"/>
      <c r="H1385" s="20" t="n"/>
      <c r="I1385" s="20" t="n"/>
      <c r="J1385" s="19" t="n"/>
      <c r="K1385" s="21" t="n"/>
      <c r="L1385" s="22">
        <f>IF(OR(J1385="",K1385=""),"",J1385*K1385)</f>
        <v/>
      </c>
      <c r="M1385" s="19" t="n"/>
      <c r="N1385" s="20" t="n"/>
      <c r="O1385" s="20" t="n"/>
    </row>
    <row r="1386">
      <c r="A1386" s="16" t="n">
        <v>1383</v>
      </c>
      <c r="B1386" s="17" t="inlineStr">
        <is>
          <t>2.3.15.8</t>
        </is>
      </c>
      <c r="C1386" s="18" t="inlineStr">
        <is>
          <t>Part 2 – Technical Systems</t>
        </is>
      </c>
      <c r="D1386" s="18" t="inlineStr">
        <is>
          <t>2.3 INCIDENT AND RESOURCE MANAGEMENT SYSTEM (IRMS)</t>
        </is>
      </c>
      <c r="E1386" s="18" t="inlineStr">
        <is>
          <t>2.3.15 AUTOMATIC RESOURCE LOCATION</t>
        </is>
      </c>
      <c r="F1386" s="18" t="inlineStr">
        <is>
          <t>The BIDDER shall indicate in their proposal the refresh rates that they propose for their solution.</t>
        </is>
      </c>
      <c r="G1386" s="19" t="n"/>
      <c r="H1386" s="20" t="n"/>
      <c r="I1386" s="20" t="n"/>
      <c r="J1386" s="19" t="n"/>
      <c r="K1386" s="21" t="n"/>
      <c r="L1386" s="22">
        <f>IF(OR(J1386="",K1386=""),"",J1386*K1386)</f>
        <v/>
      </c>
      <c r="M1386" s="19" t="n"/>
      <c r="N1386" s="20" t="n"/>
      <c r="O1386" s="20" t="n"/>
    </row>
    <row r="1387">
      <c r="A1387" s="23" t="n">
        <v>1384</v>
      </c>
      <c r="B1387" s="24" t="inlineStr">
        <is>
          <t>2.3.15.9</t>
        </is>
      </c>
      <c r="C1387" s="25" t="inlineStr">
        <is>
          <t>Part 2 – Technical Systems</t>
        </is>
      </c>
      <c r="D1387" s="25" t="inlineStr">
        <is>
          <t>2.3 INCIDENT AND RESOURCE MANAGEMENT SYSTEM (IRMS)</t>
        </is>
      </c>
      <c r="E1387" s="25" t="inlineStr">
        <is>
          <t>2.3.15 AUTOMATIC RESOURCE LOCATION</t>
        </is>
      </c>
      <c r="F1387" s="25" t="inlineStr">
        <is>
          <t>The CONTRACTOR shall engage with the MOI to define update triggers that provide useful data whilst keeping data rates within usable boundaries as permitted by the MOI.</t>
        </is>
      </c>
      <c r="G1387" s="19" t="n"/>
      <c r="H1387" s="20" t="n"/>
      <c r="I1387" s="20" t="n"/>
      <c r="J1387" s="19" t="n"/>
      <c r="K1387" s="21" t="n"/>
      <c r="L1387" s="22">
        <f>IF(OR(J1387="",K1387=""),"",J1387*K1387)</f>
        <v/>
      </c>
      <c r="M1387" s="19" t="n"/>
      <c r="N1387" s="20" t="n"/>
      <c r="O1387" s="20" t="n"/>
    </row>
    <row r="1388">
      <c r="A1388" s="16" t="n">
        <v>1385</v>
      </c>
      <c r="B1388" s="17" t="inlineStr">
        <is>
          <t>2.3.15.10</t>
        </is>
      </c>
      <c r="C1388" s="18" t="inlineStr">
        <is>
          <t>Part 2 – Technical Systems</t>
        </is>
      </c>
      <c r="D1388" s="18" t="inlineStr">
        <is>
          <t>2.3 INCIDENT AND RESOURCE MANAGEMENT SYSTEM (IRMS)</t>
        </is>
      </c>
      <c r="E1388" s="18" t="inlineStr">
        <is>
          <t>2.3.15 AUTOMATIC RESOURCE LOCATION</t>
        </is>
      </c>
      <c r="F1388" s="18" t="inlineStr">
        <is>
          <t>The IRMS shall provide the functionality to partition the automatic location information delivered in accordance with the requirements of each agency and department.</t>
        </is>
      </c>
      <c r="G1388" s="19" t="n"/>
      <c r="H1388" s="20" t="n"/>
      <c r="I1388" s="20" t="n"/>
      <c r="J1388" s="19" t="n"/>
      <c r="K1388" s="21" t="n"/>
      <c r="L1388" s="22">
        <f>IF(OR(J1388="",K1388=""),"",J1388*K1388)</f>
        <v/>
      </c>
      <c r="M1388" s="19" t="n"/>
      <c r="N1388" s="20" t="n"/>
      <c r="O1388" s="20" t="n"/>
    </row>
    <row r="1389">
      <c r="A1389" s="23" t="n">
        <v>1386</v>
      </c>
      <c r="B1389" s="24" t="inlineStr">
        <is>
          <t>2.3.15.11</t>
        </is>
      </c>
      <c r="C1389" s="25" t="inlineStr">
        <is>
          <t>Part 2 – Technical Systems</t>
        </is>
      </c>
      <c r="D1389" s="25" t="inlineStr">
        <is>
          <t>2.3 INCIDENT AND RESOURCE MANAGEMENT SYSTEM (IRMS)</t>
        </is>
      </c>
      <c r="E1389" s="25" t="inlineStr">
        <is>
          <t>2.3.15 AUTOMATIC RESOURCE LOCATION</t>
        </is>
      </c>
      <c r="F1389" s="25" t="inlineStr">
        <is>
          <t>Based on the user access privilege, the IRMS shall:</t>
        </is>
      </c>
      <c r="G1389" s="19" t="n"/>
      <c r="H1389" s="20" t="n"/>
      <c r="I1389" s="20" t="n"/>
      <c r="J1389" s="19" t="n"/>
      <c r="K1389" s="21" t="n"/>
      <c r="L1389" s="22">
        <f>IF(OR(J1389="",K1389=""),"",J1389*K1389)</f>
        <v/>
      </c>
      <c r="M1389" s="19" t="n"/>
      <c r="N1389" s="20" t="n"/>
      <c r="O1389" s="20" t="n"/>
    </row>
    <row r="1390">
      <c r="A1390" s="16" t="n">
        <v>1387</v>
      </c>
      <c r="B1390" s="16" t="inlineStr">
        <is>
          <t>2.3.15.11.1</t>
        </is>
      </c>
      <c r="C1390" s="18" t="inlineStr">
        <is>
          <t>Part 2 – Technical Systems</t>
        </is>
      </c>
      <c r="D1390" s="18" t="inlineStr">
        <is>
          <t>2.3 INCIDENT AND RESOURCE MANAGEMENT SYSTEM (IRMS)</t>
        </is>
      </c>
      <c r="E1390" s="18" t="inlineStr">
        <is>
          <t>2.3.15 AUTOMATIC RESOURCE LOCATION</t>
        </is>
      </c>
      <c r="F1390" s="18" t="inlineStr">
        <is>
          <t>Provide selectable display of individual units on a map</t>
        </is>
      </c>
      <c r="G1390" s="19" t="n"/>
      <c r="H1390" s="20" t="n"/>
      <c r="I1390" s="20" t="n"/>
      <c r="J1390" s="19" t="n"/>
      <c r="K1390" s="21" t="n"/>
      <c r="L1390" s="22">
        <f>IF(OR(J1390="",K1390=""),"",J1390*K1390)</f>
        <v/>
      </c>
      <c r="M1390" s="19" t="n"/>
      <c r="N1390" s="20" t="n"/>
      <c r="O1390" s="20" t="n"/>
    </row>
    <row r="1391">
      <c r="A1391" s="23" t="n">
        <v>1388</v>
      </c>
      <c r="B1391" s="23" t="inlineStr">
        <is>
          <t>2.3.15.11.2</t>
        </is>
      </c>
      <c r="C1391" s="25" t="inlineStr">
        <is>
          <t>Part 2 – Technical Systems</t>
        </is>
      </c>
      <c r="D1391" s="25" t="inlineStr">
        <is>
          <t>2.3 INCIDENT AND RESOURCE MANAGEMENT SYSTEM (IRMS)</t>
        </is>
      </c>
      <c r="E1391" s="25" t="inlineStr">
        <is>
          <t>2.3.15 AUTOMATIC RESOURCE LOCATION</t>
        </is>
      </c>
      <c r="F1391" s="25" t="inlineStr">
        <is>
          <t>Provide selectable display of units on a map by group</t>
        </is>
      </c>
      <c r="G1391" s="19" t="n"/>
      <c r="H1391" s="20" t="n"/>
      <c r="I1391" s="20" t="n"/>
      <c r="J1391" s="19" t="n"/>
      <c r="K1391" s="21" t="n"/>
      <c r="L1391" s="22">
        <f>IF(OR(J1391="",K1391=""),"",J1391*K1391)</f>
        <v/>
      </c>
      <c r="M1391" s="19" t="n"/>
      <c r="N1391" s="20" t="n"/>
      <c r="O1391" s="20" t="n"/>
    </row>
    <row r="1392">
      <c r="A1392" s="16" t="n">
        <v>1389</v>
      </c>
      <c r="B1392" s="16" t="inlineStr">
        <is>
          <t>2.3.15.11.3</t>
        </is>
      </c>
      <c r="C1392" s="18" t="inlineStr">
        <is>
          <t>Part 2 – Technical Systems</t>
        </is>
      </c>
      <c r="D1392" s="18" t="inlineStr">
        <is>
          <t>2.3 INCIDENT AND RESOURCE MANAGEMENT SYSTEM (IRMS)</t>
        </is>
      </c>
      <c r="E1392" s="18" t="inlineStr">
        <is>
          <t>2.3.15 AUTOMATIC RESOURCE LOCATION</t>
        </is>
      </c>
      <c r="F1392" s="18" t="inlineStr">
        <is>
          <t>Provide selectable display of units on a map by unit type (e.g., rescue vehicle, patrol vehicle, pursuit vehicle)</t>
        </is>
      </c>
      <c r="G1392" s="19" t="n"/>
      <c r="H1392" s="20" t="n"/>
      <c r="I1392" s="20" t="n"/>
      <c r="J1392" s="19" t="n"/>
      <c r="K1392" s="21" t="n"/>
      <c r="L1392" s="22">
        <f>IF(OR(J1392="",K1392=""),"",J1392*K1392)</f>
        <v/>
      </c>
      <c r="M1392" s="19" t="n"/>
      <c r="N1392" s="20" t="n"/>
      <c r="O1392" s="20" t="n"/>
    </row>
    <row r="1393">
      <c r="A1393" s="23" t="n">
        <v>1390</v>
      </c>
      <c r="B1393" s="23" t="inlineStr">
        <is>
          <t>2.3.15.11.4</t>
        </is>
      </c>
      <c r="C1393" s="25" t="inlineStr">
        <is>
          <t>Part 2 – Technical Systems</t>
        </is>
      </c>
      <c r="D1393" s="25" t="inlineStr">
        <is>
          <t>2.3 INCIDENT AND RESOURCE MANAGEMENT SYSTEM (IRMS)</t>
        </is>
      </c>
      <c r="E1393" s="25" t="inlineStr">
        <is>
          <t>2.3.15 AUTOMATIC RESOURCE LOCATION</t>
        </is>
      </c>
      <c r="F1393" s="25" t="inlineStr">
        <is>
          <t>Center map on selected unit and scroll display to follow that unit</t>
        </is>
      </c>
      <c r="G1393" s="19" t="n"/>
      <c r="H1393" s="20" t="n"/>
      <c r="I1393" s="20" t="n"/>
      <c r="J1393" s="19" t="n"/>
      <c r="K1393" s="21" t="n"/>
      <c r="L1393" s="22">
        <f>IF(OR(J1393="",K1393=""),"",J1393*K1393)</f>
        <v/>
      </c>
      <c r="M1393" s="19" t="n"/>
      <c r="N1393" s="20" t="n"/>
      <c r="O1393" s="20" t="n"/>
    </row>
    <row r="1394">
      <c r="A1394" s="16" t="n">
        <v>1391</v>
      </c>
      <c r="B1394" s="16" t="inlineStr">
        <is>
          <t>2.3.15.11.5</t>
        </is>
      </c>
      <c r="C1394" s="18" t="inlineStr">
        <is>
          <t>Part 2 – Technical Systems</t>
        </is>
      </c>
      <c r="D1394" s="18" t="inlineStr">
        <is>
          <t>2.3 INCIDENT AND RESOURCE MANAGEMENT SYSTEM (IRMS)</t>
        </is>
      </c>
      <c r="E1394" s="18" t="inlineStr">
        <is>
          <t>2.3.15 AUTOMATIC RESOURCE LOCATION</t>
        </is>
      </c>
      <c r="F1394" s="18" t="inlineStr">
        <is>
          <t>Polling of units for real time updates (all units or selected categories)</t>
        </is>
      </c>
      <c r="G1394" s="19" t="n"/>
      <c r="H1394" s="20" t="n"/>
      <c r="I1394" s="20" t="n"/>
      <c r="J1394" s="19" t="n"/>
      <c r="K1394" s="21" t="n"/>
      <c r="L1394" s="22">
        <f>IF(OR(J1394="",K1394=""),"",J1394*K1394)</f>
        <v/>
      </c>
      <c r="M1394" s="19" t="n"/>
      <c r="N1394" s="20" t="n"/>
      <c r="O1394" s="20" t="n"/>
    </row>
    <row r="1395">
      <c r="A1395" s="23" t="n">
        <v>1392</v>
      </c>
      <c r="B1395" s="23" t="inlineStr">
        <is>
          <t>2.3.15.11.6</t>
        </is>
      </c>
      <c r="C1395" s="25" t="inlineStr">
        <is>
          <t>Part 2 – Technical Systems</t>
        </is>
      </c>
      <c r="D1395" s="25" t="inlineStr">
        <is>
          <t>2.3 INCIDENT AND RESOURCE MANAGEMENT SYSTEM (IRMS)</t>
        </is>
      </c>
      <c r="E1395" s="25" t="inlineStr">
        <is>
          <t>2.3.15 AUTOMATIC RESOURCE LOCATION</t>
        </is>
      </c>
      <c r="F1395" s="25" t="inlineStr">
        <is>
          <t>Display history of a resource/vehicle status and position.</t>
        </is>
      </c>
      <c r="G1395" s="19" t="n"/>
      <c r="H1395" s="20" t="n"/>
      <c r="I1395" s="20" t="n"/>
      <c r="J1395" s="19" t="n"/>
      <c r="K1395" s="21" t="n"/>
      <c r="L1395" s="22">
        <f>IF(OR(J1395="",K1395=""),"",J1395*K1395)</f>
        <v/>
      </c>
      <c r="M1395" s="19" t="n"/>
      <c r="N1395" s="20" t="n"/>
      <c r="O1395" s="20" t="n"/>
    </row>
    <row r="1396">
      <c r="A1396" s="16" t="n">
        <v>1393</v>
      </c>
      <c r="B1396" s="16" t="inlineStr">
        <is>
          <t>2.3.15.11.7</t>
        </is>
      </c>
      <c r="C1396" s="18" t="inlineStr">
        <is>
          <t>Part 2 – Technical Systems</t>
        </is>
      </c>
      <c r="D1396" s="18" t="inlineStr">
        <is>
          <t>2.3 INCIDENT AND RESOURCE MANAGEMENT SYSTEM (IRMS)</t>
        </is>
      </c>
      <c r="E1396" s="18" t="inlineStr">
        <is>
          <t>2.3.15 AUTOMATIC RESOURCE LOCATION</t>
        </is>
      </c>
      <c r="F1396" s="18" t="inlineStr">
        <is>
          <t>Confirmation of a resource/vehicle’s status (i.e. in motion, stopped, alarm, etc.).</t>
        </is>
      </c>
      <c r="G1396" s="19" t="n"/>
      <c r="H1396" s="20" t="n"/>
      <c r="I1396" s="20" t="n"/>
      <c r="J1396" s="19" t="n"/>
      <c r="K1396" s="21" t="n"/>
      <c r="L1396" s="22">
        <f>IF(OR(J1396="",K1396=""),"",J1396*K1396)</f>
        <v/>
      </c>
      <c r="M1396" s="19" t="n"/>
      <c r="N1396" s="20" t="n"/>
      <c r="O1396" s="20" t="n"/>
    </row>
    <row r="1397">
      <c r="A1397" s="23" t="n">
        <v>1394</v>
      </c>
      <c r="B1397" s="23" t="inlineStr">
        <is>
          <t>2.3.15.11.8</t>
        </is>
      </c>
      <c r="C1397" s="25" t="inlineStr">
        <is>
          <t>Part 2 – Technical Systems</t>
        </is>
      </c>
      <c r="D1397" s="25" t="inlineStr">
        <is>
          <t>2.3 INCIDENT AND RESOURCE MANAGEMENT SYSTEM (IRMS)</t>
        </is>
      </c>
      <c r="E1397" s="25" t="inlineStr">
        <is>
          <t>2.3.15 AUTOMATIC RESOURCE LOCATION</t>
        </is>
      </c>
      <c r="F1397" s="25" t="inlineStr">
        <is>
          <t>Continuous monitoring of a resource/vehicle’s itinerary with the use of a continuous line of dots</t>
        </is>
      </c>
      <c r="G1397" s="19" t="n"/>
      <c r="H1397" s="20" t="n"/>
      <c r="I1397" s="20" t="n"/>
      <c r="J1397" s="19" t="n"/>
      <c r="K1397" s="21" t="n"/>
      <c r="L1397" s="22">
        <f>IF(OR(J1397="",K1397=""),"",J1397*K1397)</f>
        <v/>
      </c>
      <c r="M1397" s="19" t="n"/>
      <c r="N1397" s="20" t="n"/>
      <c r="O1397" s="20" t="n"/>
    </row>
    <row r="1398">
      <c r="A1398" s="16" t="n">
        <v>1395</v>
      </c>
      <c r="B1398" s="16" t="inlineStr">
        <is>
          <t>2.3.15.11.9</t>
        </is>
      </c>
      <c r="C1398" s="18" t="inlineStr">
        <is>
          <t>Part 2 – Technical Systems</t>
        </is>
      </c>
      <c r="D1398" s="18" t="inlineStr">
        <is>
          <t>2.3 INCIDENT AND RESOURCE MANAGEMENT SYSTEM (IRMS)</t>
        </is>
      </c>
      <c r="E1398" s="18" t="inlineStr">
        <is>
          <t>2.3.15 AUTOMATIC RESOURCE LOCATION</t>
        </is>
      </c>
      <c r="F1398" s="18" t="inlineStr">
        <is>
          <t>Create points of interest</t>
        </is>
      </c>
      <c r="G1398" s="19" t="n"/>
      <c r="H1398" s="20" t="n"/>
      <c r="I1398" s="20" t="n"/>
      <c r="J1398" s="19" t="n"/>
      <c r="K1398" s="21" t="n"/>
      <c r="L1398" s="22">
        <f>IF(OR(J1398="",K1398=""),"",J1398*K1398)</f>
        <v/>
      </c>
      <c r="M1398" s="19" t="n"/>
      <c r="N1398" s="20" t="n"/>
      <c r="O1398" s="20" t="n"/>
    </row>
    <row r="1399">
      <c r="A1399" s="23" t="n">
        <v>1396</v>
      </c>
      <c r="B1399" s="23" t="inlineStr">
        <is>
          <t>2.3.15.11.10</t>
        </is>
      </c>
      <c r="C1399" s="25" t="inlineStr">
        <is>
          <t>Part 2 – Technical Systems</t>
        </is>
      </c>
      <c r="D1399" s="25" t="inlineStr">
        <is>
          <t>2.3 INCIDENT AND RESOURCE MANAGEMENT SYSTEM (IRMS)</t>
        </is>
      </c>
      <c r="E1399" s="25" t="inlineStr">
        <is>
          <t>2.3.15 AUTOMATIC RESOURCE LOCATION</t>
        </is>
      </c>
      <c r="F1399" s="25" t="inlineStr">
        <is>
          <t>Ability to search on the map for points of interest</t>
        </is>
      </c>
      <c r="G1399" s="19" t="n"/>
      <c r="H1399" s="20" t="n"/>
      <c r="I1399" s="20" t="n"/>
      <c r="J1399" s="19" t="n"/>
      <c r="K1399" s="21" t="n"/>
      <c r="L1399" s="22">
        <f>IF(OR(J1399="",K1399=""),"",J1399*K1399)</f>
        <v/>
      </c>
      <c r="M1399" s="19" t="n"/>
      <c r="N1399" s="20" t="n"/>
      <c r="O1399" s="20" t="n"/>
    </row>
    <row r="1400">
      <c r="A1400" s="16" t="n">
        <v>1397</v>
      </c>
      <c r="B1400" s="16" t="inlineStr">
        <is>
          <t>2.3.15.11.11</t>
        </is>
      </c>
      <c r="C1400" s="18" t="inlineStr">
        <is>
          <t>Part 2 – Technical Systems</t>
        </is>
      </c>
      <c r="D1400" s="18" t="inlineStr">
        <is>
          <t>2.3 INCIDENT AND RESOURCE MANAGEMENT SYSTEM (IRMS)</t>
        </is>
      </c>
      <c r="E1400" s="18" t="inlineStr">
        <is>
          <t>2.3.15 AUTOMATIC RESOURCE LOCATION</t>
        </is>
      </c>
      <c r="F1400" s="18" t="inlineStr">
        <is>
          <t>Report on a resource/vehicle’s itinerary in relation to the points of interest</t>
        </is>
      </c>
      <c r="G1400" s="19" t="n"/>
      <c r="H1400" s="20" t="n"/>
      <c r="I1400" s="20" t="n"/>
      <c r="J1400" s="19" t="n"/>
      <c r="K1400" s="21" t="n"/>
      <c r="L1400" s="22">
        <f>IF(OR(J1400="",K1400=""),"",J1400*K1400)</f>
        <v/>
      </c>
      <c r="M1400" s="19" t="n"/>
      <c r="N1400" s="20" t="n"/>
      <c r="O1400" s="20" t="n"/>
    </row>
    <row r="1401">
      <c r="A1401" s="23" t="n">
        <v>1398</v>
      </c>
      <c r="B1401" s="23" t="inlineStr">
        <is>
          <t>2.3.15.11.12</t>
        </is>
      </c>
      <c r="C1401" s="25" t="inlineStr">
        <is>
          <t>Part 2 – Technical Systems</t>
        </is>
      </c>
      <c r="D1401" s="25" t="inlineStr">
        <is>
          <t>2.3 INCIDENT AND RESOURCE MANAGEMENT SYSTEM (IRMS)</t>
        </is>
      </c>
      <c r="E1401" s="25" t="inlineStr">
        <is>
          <t>2.3.15 AUTOMATIC RESOURCE LOCATION</t>
        </is>
      </c>
      <c r="F1401" s="25" t="inlineStr">
        <is>
          <t>Location of the resource/vehicle closest to a selected point of interest</t>
        </is>
      </c>
      <c r="G1401" s="19" t="n"/>
      <c r="H1401" s="20" t="n"/>
      <c r="I1401" s="20" t="n"/>
      <c r="J1401" s="19" t="n"/>
      <c r="K1401" s="21" t="n"/>
      <c r="L1401" s="22">
        <f>IF(OR(J1401="",K1401=""),"",J1401*K1401)</f>
        <v/>
      </c>
      <c r="M1401" s="19" t="n"/>
      <c r="N1401" s="20" t="n"/>
      <c r="O1401" s="20" t="n"/>
    </row>
    <row r="1402">
      <c r="A1402" s="16" t="n">
        <v>1399</v>
      </c>
      <c r="B1402" s="16" t="inlineStr">
        <is>
          <t>2.3.15.11.13</t>
        </is>
      </c>
      <c r="C1402" s="18" t="inlineStr">
        <is>
          <t>Part 2 – Technical Systems</t>
        </is>
      </c>
      <c r="D1402" s="18" t="inlineStr">
        <is>
          <t>2.3 INCIDENT AND RESOURCE MANAGEMENT SYSTEM (IRMS)</t>
        </is>
      </c>
      <c r="E1402" s="18" t="inlineStr">
        <is>
          <t>2.3.15 AUTOMATIC RESOURCE LOCATION</t>
        </is>
      </c>
      <c r="F1402" s="18" t="inlineStr">
        <is>
          <t>Location of the point of interest closest to a selected resource/vehicle</t>
        </is>
      </c>
      <c r="G1402" s="19" t="n"/>
      <c r="H1402" s="20" t="n"/>
      <c r="I1402" s="20" t="n"/>
      <c r="J1402" s="19" t="n"/>
      <c r="K1402" s="21" t="n"/>
      <c r="L1402" s="22">
        <f>IF(OR(J1402="",K1402=""),"",J1402*K1402)</f>
        <v/>
      </c>
      <c r="M1402" s="19" t="n"/>
      <c r="N1402" s="20" t="n"/>
      <c r="O1402" s="20" t="n"/>
    </row>
    <row r="1403">
      <c r="A1403" s="23" t="n">
        <v>1400</v>
      </c>
      <c r="B1403" s="23" t="inlineStr">
        <is>
          <t>2.3.15.11.14</t>
        </is>
      </c>
      <c r="C1403" s="25" t="inlineStr">
        <is>
          <t>Part 2 – Technical Systems</t>
        </is>
      </c>
      <c r="D1403" s="25" t="inlineStr">
        <is>
          <t>2.3 INCIDENT AND RESOURCE MANAGEMENT SYSTEM (IRMS)</t>
        </is>
      </c>
      <c r="E1403" s="25" t="inlineStr">
        <is>
          <t>2.3.15 AUTOMATIC RESOURCE LOCATION</t>
        </is>
      </c>
      <c r="F1403" s="25" t="inlineStr">
        <is>
          <t>Creation of geographical boundaries for zones</t>
        </is>
      </c>
      <c r="G1403" s="19" t="n"/>
      <c r="H1403" s="20" t="n"/>
      <c r="I1403" s="20" t="n"/>
      <c r="J1403" s="19" t="n"/>
      <c r="K1403" s="21" t="n"/>
      <c r="L1403" s="22">
        <f>IF(OR(J1403="",K1403=""),"",J1403*K1403)</f>
        <v/>
      </c>
      <c r="M1403" s="19" t="n"/>
      <c r="N1403" s="20" t="n"/>
      <c r="O1403" s="20" t="n"/>
    </row>
    <row r="1404">
      <c r="A1404" s="16" t="n">
        <v>1401</v>
      </c>
      <c r="B1404" s="16" t="inlineStr">
        <is>
          <t>2.3.15.11.15</t>
        </is>
      </c>
      <c r="C1404" s="18" t="inlineStr">
        <is>
          <t>Part 2 – Technical Systems</t>
        </is>
      </c>
      <c r="D1404" s="18" t="inlineStr">
        <is>
          <t>2.3 INCIDENT AND RESOURCE MANAGEMENT SYSTEM (IRMS)</t>
        </is>
      </c>
      <c r="E1404" s="18" t="inlineStr">
        <is>
          <t>2.3.15 AUTOMATIC RESOURCE LOCATION</t>
        </is>
      </c>
      <c r="F1404" s="18" t="inlineStr">
        <is>
          <t>Creation of geographical boundaries for routes</t>
        </is>
      </c>
      <c r="G1404" s="19" t="n"/>
      <c r="H1404" s="20" t="n"/>
      <c r="I1404" s="20" t="n"/>
      <c r="J1404" s="19" t="n"/>
      <c r="K1404" s="21" t="n"/>
      <c r="L1404" s="22">
        <f>IF(OR(J1404="",K1404=""),"",J1404*K1404)</f>
        <v/>
      </c>
      <c r="M1404" s="19" t="n"/>
      <c r="N1404" s="20" t="n"/>
      <c r="O1404" s="20" t="n"/>
    </row>
    <row r="1405">
      <c r="A1405" s="23" t="n">
        <v>1402</v>
      </c>
      <c r="B1405" s="23" t="inlineStr">
        <is>
          <t>2.3.15.11.16</t>
        </is>
      </c>
      <c r="C1405" s="25" t="inlineStr">
        <is>
          <t>Part 2 – Technical Systems</t>
        </is>
      </c>
      <c r="D1405" s="25" t="inlineStr">
        <is>
          <t>2.3 INCIDENT AND RESOURCE MANAGEMENT SYSTEM (IRMS)</t>
        </is>
      </c>
      <c r="E1405" s="25" t="inlineStr">
        <is>
          <t>2.3.15 AUTOMATIC RESOURCE LOCATION</t>
        </is>
      </c>
      <c r="F1405" s="25" t="inlineStr">
        <is>
          <t>Geo-fencing - allocation of units to geographical boundaries (i.e. if a resource moves into or out of the zone or from a route to which it has been allocated or excluded, an event pop- up appears on the screen to alert the operator)</t>
        </is>
      </c>
      <c r="G1405" s="19" t="n"/>
      <c r="H1405" s="20" t="n"/>
      <c r="I1405" s="20" t="n"/>
      <c r="J1405" s="19" t="n"/>
      <c r="K1405" s="21" t="n"/>
      <c r="L1405" s="22">
        <f>IF(OR(J1405="",K1405=""),"",J1405*K1405)</f>
        <v/>
      </c>
      <c r="M1405" s="19" t="n"/>
      <c r="N1405" s="20" t="n"/>
      <c r="O1405" s="20" t="n"/>
    </row>
    <row r="1406">
      <c r="A1406" s="16" t="n">
        <v>1403</v>
      </c>
      <c r="B1406" s="16" t="inlineStr">
        <is>
          <t>2.3.15.11.17</t>
        </is>
      </c>
      <c r="C1406" s="18" t="inlineStr">
        <is>
          <t>Part 2 – Technical Systems</t>
        </is>
      </c>
      <c r="D1406" s="18" t="inlineStr">
        <is>
          <t>2.3 INCIDENT AND RESOURCE MANAGEMENT SYSTEM (IRMS)</t>
        </is>
      </c>
      <c r="E1406" s="18" t="inlineStr">
        <is>
          <t>2.3.15 AUTOMATIC RESOURCE LOCATION</t>
        </is>
      </c>
      <c r="F1406" s="18" t="inlineStr">
        <is>
          <t>Select the information layer(s) to be displayed on the map</t>
        </is>
      </c>
      <c r="G1406" s="19" t="n"/>
      <c r="H1406" s="20" t="n"/>
      <c r="I1406" s="20" t="n"/>
      <c r="J1406" s="19" t="n"/>
      <c r="K1406" s="21" t="n"/>
      <c r="L1406" s="22">
        <f>IF(OR(J1406="",K1406=""),"",J1406*K1406)</f>
        <v/>
      </c>
      <c r="M1406" s="19" t="n"/>
      <c r="N1406" s="20" t="n"/>
      <c r="O1406" s="20" t="n"/>
    </row>
    <row r="1407">
      <c r="A1407" s="23" t="n">
        <v>1404</v>
      </c>
      <c r="B1407" s="23" t="inlineStr">
        <is>
          <t>2.3.15.11.18</t>
        </is>
      </c>
      <c r="C1407" s="25" t="inlineStr">
        <is>
          <t>Part 2 – Technical Systems</t>
        </is>
      </c>
      <c r="D1407" s="25" t="inlineStr">
        <is>
          <t>2.3 INCIDENT AND RESOURCE MANAGEMENT SYSTEM (IRMS)</t>
        </is>
      </c>
      <c r="E1407" s="25" t="inlineStr">
        <is>
          <t>2.3.15 AUTOMATIC RESOURCE LOCATION</t>
        </is>
      </c>
      <c r="F1407" s="25" t="inlineStr">
        <is>
          <t>Zoom-in and Zoom-out</t>
        </is>
      </c>
      <c r="G1407" s="19" t="n"/>
      <c r="H1407" s="20" t="n"/>
      <c r="I1407" s="20" t="n"/>
      <c r="J1407" s="19" t="n"/>
      <c r="K1407" s="21" t="n"/>
      <c r="L1407" s="22">
        <f>IF(OR(J1407="",K1407=""),"",J1407*K1407)</f>
        <v/>
      </c>
      <c r="M1407" s="19" t="n"/>
      <c r="N1407" s="20" t="n"/>
      <c r="O1407" s="20" t="n"/>
    </row>
    <row r="1408">
      <c r="A1408" s="16" t="n">
        <v>1405</v>
      </c>
      <c r="B1408" s="16" t="inlineStr">
        <is>
          <t>2.3.15.11.19</t>
        </is>
      </c>
      <c r="C1408" s="18" t="inlineStr">
        <is>
          <t>Part 2 – Technical Systems</t>
        </is>
      </c>
      <c r="D1408" s="18" t="inlineStr">
        <is>
          <t>2.3 INCIDENT AND RESOURCE MANAGEMENT SYSTEM (IRMS)</t>
        </is>
      </c>
      <c r="E1408" s="18" t="inlineStr">
        <is>
          <t>2.3.15 AUTOMATIC RESOURCE LOCATION</t>
        </is>
      </c>
      <c r="F1408" s="18" t="inlineStr">
        <is>
          <t>Pan within each direction of the map boundary</t>
        </is>
      </c>
      <c r="G1408" s="19" t="n"/>
      <c r="H1408" s="20" t="n"/>
      <c r="I1408" s="20" t="n"/>
      <c r="J1408" s="19" t="n"/>
      <c r="K1408" s="21" t="n"/>
      <c r="L1408" s="22">
        <f>IF(OR(J1408="",K1408=""),"",J1408*K1408)</f>
        <v/>
      </c>
      <c r="M1408" s="19" t="n"/>
      <c r="N1408" s="20" t="n"/>
      <c r="O1408" s="20" t="n"/>
    </row>
    <row r="1409">
      <c r="A1409" s="23" t="n">
        <v>1406</v>
      </c>
      <c r="B1409" s="23" t="inlineStr">
        <is>
          <t>2.3.15.11.20</t>
        </is>
      </c>
      <c r="C1409" s="25" t="inlineStr">
        <is>
          <t>Part 2 – Technical Systems</t>
        </is>
      </c>
      <c r="D1409" s="25" t="inlineStr">
        <is>
          <t>2.3 INCIDENT AND RESOURCE MANAGEMENT SYSTEM (IRMS)</t>
        </is>
      </c>
      <c r="E1409" s="25" t="inlineStr">
        <is>
          <t>2.3.15 AUTOMATIC RESOURCE LOCATION</t>
        </is>
      </c>
      <c r="F1409" s="25" t="inlineStr">
        <is>
          <t>Transmission of status and messages to individual resources equipped with a visual display</t>
        </is>
      </c>
      <c r="G1409" s="19" t="n"/>
      <c r="H1409" s="20" t="n"/>
      <c r="I1409" s="20" t="n"/>
      <c r="J1409" s="19" t="n"/>
      <c r="K1409" s="21" t="n"/>
      <c r="L1409" s="22">
        <f>IF(OR(J1409="",K1409=""),"",J1409*K1409)</f>
        <v/>
      </c>
      <c r="M1409" s="19" t="n"/>
      <c r="N1409" s="20" t="n"/>
      <c r="O1409" s="20" t="n"/>
    </row>
    <row r="1410">
      <c r="A1410" s="16" t="n">
        <v>1407</v>
      </c>
      <c r="B1410" s="16" t="inlineStr">
        <is>
          <t>2.3.15.11.21</t>
        </is>
      </c>
      <c r="C1410" s="18" t="inlineStr">
        <is>
          <t>Part 2 – Technical Systems</t>
        </is>
      </c>
      <c r="D1410" s="18" t="inlineStr">
        <is>
          <t>2.3 INCIDENT AND RESOURCE MANAGEMENT SYSTEM (IRMS)</t>
        </is>
      </c>
      <c r="E1410" s="18" t="inlineStr">
        <is>
          <t>2.3.15 AUTOMATIC RESOURCE LOCATION</t>
        </is>
      </c>
      <c r="F1410" s="18" t="inlineStr">
        <is>
          <t>Transmission of status and text messages to groups of resources equipped with a visual display</t>
        </is>
      </c>
      <c r="G1410" s="19" t="n"/>
      <c r="H1410" s="20" t="n"/>
      <c r="I1410" s="20" t="n"/>
      <c r="J1410" s="19" t="n"/>
      <c r="K1410" s="21" t="n"/>
      <c r="L1410" s="22">
        <f>IF(OR(J1410="",K1410=""),"",J1410*K1410)</f>
        <v/>
      </c>
      <c r="M1410" s="19" t="n"/>
      <c r="N1410" s="20" t="n"/>
      <c r="O1410" s="20" t="n"/>
    </row>
    <row r="1411">
      <c r="A1411" s="23" t="n">
        <v>1408</v>
      </c>
      <c r="B1411" s="23" t="inlineStr">
        <is>
          <t>2.3.15.11.22</t>
        </is>
      </c>
      <c r="C1411" s="25" t="inlineStr">
        <is>
          <t>Part 2 – Technical Systems</t>
        </is>
      </c>
      <c r="D1411" s="25" t="inlineStr">
        <is>
          <t>2.3 INCIDENT AND RESOURCE MANAGEMENT SYSTEM (IRMS)</t>
        </is>
      </c>
      <c r="E1411" s="25" t="inlineStr">
        <is>
          <t>2.3.15 AUTOMATIC RESOURCE LOCATION</t>
        </is>
      </c>
      <c r="F1411" s="25" t="inlineStr">
        <is>
          <t>Transmission of location co-ordinates to individual users or groups of users</t>
        </is>
      </c>
      <c r="G1411" s="19" t="n"/>
      <c r="H1411" s="20" t="n"/>
      <c r="I1411" s="20" t="n"/>
      <c r="J1411" s="19" t="n"/>
      <c r="K1411" s="21" t="n"/>
      <c r="L1411" s="22">
        <f>IF(OR(J1411="",K1411=""),"",J1411*K1411)</f>
        <v/>
      </c>
      <c r="M1411" s="19" t="n"/>
      <c r="N1411" s="20" t="n"/>
      <c r="O1411" s="20" t="n"/>
    </row>
    <row r="1412">
      <c r="A1412" s="16" t="n">
        <v>1409</v>
      </c>
      <c r="B1412" s="16" t="inlineStr">
        <is>
          <t>2.3.15.11.23</t>
        </is>
      </c>
      <c r="C1412" s="18" t="inlineStr">
        <is>
          <t>Part 2 – Technical Systems</t>
        </is>
      </c>
      <c r="D1412" s="18" t="inlineStr">
        <is>
          <t>2.3 INCIDENT AND RESOURCE MANAGEMENT SYSTEM (IRMS)</t>
        </is>
      </c>
      <c r="E1412" s="18" t="inlineStr">
        <is>
          <t>2.3.15 AUTOMATIC RESOURCE LOCATION</t>
        </is>
      </c>
      <c r="F1412" s="18" t="inlineStr">
        <is>
          <t>Select the volume level of audible event pop-up alarm</t>
        </is>
      </c>
      <c r="G1412" s="19" t="n"/>
      <c r="H1412" s="20" t="n"/>
      <c r="I1412" s="20" t="n"/>
      <c r="J1412" s="19" t="n"/>
      <c r="K1412" s="21" t="n"/>
      <c r="L1412" s="22">
        <f>IF(OR(J1412="",K1412=""),"",J1412*K1412)</f>
        <v/>
      </c>
      <c r="M1412" s="19" t="n"/>
      <c r="N1412" s="20" t="n"/>
      <c r="O1412" s="20" t="n"/>
    </row>
    <row r="1413">
      <c r="A1413" s="23" t="n">
        <v>1410</v>
      </c>
      <c r="B1413" s="24" t="inlineStr">
        <is>
          <t>2.3.15.12</t>
        </is>
      </c>
      <c r="C1413" s="25" t="inlineStr">
        <is>
          <t>Part 2 – Technical Systems</t>
        </is>
      </c>
      <c r="D1413" s="25" t="inlineStr">
        <is>
          <t>2.3 INCIDENT AND RESOURCE MANAGEMENT SYSTEM (IRMS)</t>
        </is>
      </c>
      <c r="E1413" s="25" t="inlineStr">
        <is>
          <t>2.3.15 AUTOMATIC RESOURCE LOCATION</t>
        </is>
      </c>
      <c r="F1413" s="25" t="inlineStr">
        <is>
          <t>The IRMS shall include management capabilities available for automatic resource location that allow authorized users to:</t>
        </is>
      </c>
      <c r="G1413" s="19" t="n"/>
      <c r="H1413" s="20" t="n"/>
      <c r="I1413" s="20" t="n"/>
      <c r="J1413" s="19" t="n"/>
      <c r="K1413" s="21" t="n"/>
      <c r="L1413" s="22">
        <f>IF(OR(J1413="",K1413=""),"",J1413*K1413)</f>
        <v/>
      </c>
      <c r="M1413" s="19" t="n"/>
      <c r="N1413" s="20" t="n"/>
      <c r="O1413" s="20" t="n"/>
    </row>
    <row r="1414">
      <c r="A1414" s="16" t="n">
        <v>1411</v>
      </c>
      <c r="B1414" s="16" t="inlineStr">
        <is>
          <t>2.3.15.12.1</t>
        </is>
      </c>
      <c r="C1414" s="18" t="inlineStr">
        <is>
          <t>Part 2 – Technical Systems</t>
        </is>
      </c>
      <c r="D1414" s="18" t="inlineStr">
        <is>
          <t>2.3 INCIDENT AND RESOURCE MANAGEMENT SYSTEM (IRMS)</t>
        </is>
      </c>
      <c r="E1414" s="18" t="inlineStr">
        <is>
          <t>2.3.15 AUTOMATIC RESOURCE LOCATION</t>
        </is>
      </c>
      <c r="F1414" s="18" t="inlineStr">
        <is>
          <t>Make changes to ARL system configuration</t>
        </is>
      </c>
      <c r="G1414" s="19" t="n"/>
      <c r="H1414" s="20" t="n"/>
      <c r="I1414" s="20" t="n"/>
      <c r="J1414" s="19" t="n"/>
      <c r="K1414" s="21" t="n"/>
      <c r="L1414" s="22">
        <f>IF(OR(J1414="",K1414=""),"",J1414*K1414)</f>
        <v/>
      </c>
      <c r="M1414" s="19" t="n"/>
      <c r="N1414" s="20" t="n"/>
      <c r="O1414" s="20" t="n"/>
    </row>
    <row r="1415">
      <c r="A1415" s="23" t="n">
        <v>1412</v>
      </c>
      <c r="B1415" s="23" t="inlineStr">
        <is>
          <t>2.3.15.12.2</t>
        </is>
      </c>
      <c r="C1415" s="25" t="inlineStr">
        <is>
          <t>Part 2 – Technical Systems</t>
        </is>
      </c>
      <c r="D1415" s="25" t="inlineStr">
        <is>
          <t>2.3 INCIDENT AND RESOURCE MANAGEMENT SYSTEM (IRMS)</t>
        </is>
      </c>
      <c r="E1415" s="25" t="inlineStr">
        <is>
          <t>2.3.15 AUTOMATIC RESOURCE LOCATION</t>
        </is>
      </c>
      <c r="F1415" s="25" t="inlineStr">
        <is>
          <t>Configure access rights</t>
        </is>
      </c>
      <c r="G1415" s="19" t="n"/>
      <c r="H1415" s="20" t="n"/>
      <c r="I1415" s="20" t="n"/>
      <c r="J1415" s="19" t="n"/>
      <c r="K1415" s="21" t="n"/>
      <c r="L1415" s="22">
        <f>IF(OR(J1415="",K1415=""),"",J1415*K1415)</f>
        <v/>
      </c>
      <c r="M1415" s="19" t="n"/>
      <c r="N1415" s="20" t="n"/>
      <c r="O1415" s="20" t="n"/>
    </row>
    <row r="1416">
      <c r="A1416" s="16" t="n">
        <v>1413</v>
      </c>
      <c r="B1416" s="16" t="inlineStr">
        <is>
          <t>2.3.15.12.3</t>
        </is>
      </c>
      <c r="C1416" s="18" t="inlineStr">
        <is>
          <t>Part 2 – Technical Systems</t>
        </is>
      </c>
      <c r="D1416" s="18" t="inlineStr">
        <is>
          <t>2.3 INCIDENT AND RESOURCE MANAGEMENT SYSTEM (IRMS)</t>
        </is>
      </c>
      <c r="E1416" s="18" t="inlineStr">
        <is>
          <t>2.3.15 AUTOMATIC RESOURCE LOCATION</t>
        </is>
      </c>
      <c r="F1416" s="18" t="inlineStr">
        <is>
          <t>Create fixed zones and routes (Geo-fencing)</t>
        </is>
      </c>
      <c r="G1416" s="19" t="n"/>
      <c r="H1416" s="20" t="n"/>
      <c r="I1416" s="20" t="n"/>
      <c r="J1416" s="19" t="n"/>
      <c r="K1416" s="21" t="n"/>
      <c r="L1416" s="22">
        <f>IF(OR(J1416="",K1416=""),"",J1416*K1416)</f>
        <v/>
      </c>
      <c r="M1416" s="19" t="n"/>
      <c r="N1416" s="20" t="n"/>
      <c r="O1416" s="20" t="n"/>
    </row>
    <row r="1417">
      <c r="A1417" s="23" t="n">
        <v>1414</v>
      </c>
      <c r="B1417" s="23" t="inlineStr">
        <is>
          <t>2.3.15.12.4</t>
        </is>
      </c>
      <c r="C1417" s="25" t="inlineStr">
        <is>
          <t>Part 2 – Technical Systems</t>
        </is>
      </c>
      <c r="D1417" s="25" t="inlineStr">
        <is>
          <t>2.3 INCIDENT AND RESOURCE MANAGEMENT SYSTEM (IRMS)</t>
        </is>
      </c>
      <c r="E1417" s="25" t="inlineStr">
        <is>
          <t>2.3.15 AUTOMATIC RESOURCE LOCATION</t>
        </is>
      </c>
      <c r="F1417" s="25" t="inlineStr">
        <is>
          <t>Print historical reports using pre-determined report templates</t>
        </is>
      </c>
      <c r="G1417" s="19" t="n"/>
      <c r="H1417" s="20" t="n"/>
      <c r="I1417" s="20" t="n"/>
      <c r="J1417" s="19" t="n"/>
      <c r="K1417" s="21" t="n"/>
      <c r="L1417" s="22">
        <f>IF(OR(J1417="",K1417=""),"",J1417*K1417)</f>
        <v/>
      </c>
      <c r="M1417" s="19" t="n"/>
      <c r="N1417" s="20" t="n"/>
      <c r="O1417" s="20" t="n"/>
    </row>
    <row r="1418">
      <c r="A1418" s="16" t="n">
        <v>1415</v>
      </c>
      <c r="B1418" s="16" t="inlineStr">
        <is>
          <t>2.3.15.12.5</t>
        </is>
      </c>
      <c r="C1418" s="18" t="inlineStr">
        <is>
          <t>Part 2 – Technical Systems</t>
        </is>
      </c>
      <c r="D1418" s="18" t="inlineStr">
        <is>
          <t>2.3 INCIDENT AND RESOURCE MANAGEMENT SYSTEM (IRMS)</t>
        </is>
      </c>
      <c r="E1418" s="18" t="inlineStr">
        <is>
          <t>2.3.15 AUTOMATIC RESOURCE LOCATION</t>
        </is>
      </c>
      <c r="F1418" s="18" t="inlineStr">
        <is>
          <t>Create new report templates</t>
        </is>
      </c>
      <c r="G1418" s="19" t="n"/>
      <c r="H1418" s="20" t="n"/>
      <c r="I1418" s="20" t="n"/>
      <c r="J1418" s="19" t="n"/>
      <c r="K1418" s="21" t="n"/>
      <c r="L1418" s="22">
        <f>IF(OR(J1418="",K1418=""),"",J1418*K1418)</f>
        <v/>
      </c>
      <c r="M1418" s="19" t="n"/>
      <c r="N1418" s="20" t="n"/>
      <c r="O1418" s="20" t="n"/>
    </row>
    <row r="1419">
      <c r="A1419" s="23" t="n">
        <v>1416</v>
      </c>
      <c r="B1419" s="24" t="inlineStr">
        <is>
          <t>2.3.15.13</t>
        </is>
      </c>
      <c r="C1419" s="25" t="inlineStr">
        <is>
          <t>Part 2 – Technical Systems</t>
        </is>
      </c>
      <c r="D1419" s="25" t="inlineStr">
        <is>
          <t>2.3 INCIDENT AND RESOURCE MANAGEMENT SYSTEM (IRMS)</t>
        </is>
      </c>
      <c r="E1419" s="25" t="inlineStr">
        <is>
          <t>2.3.15 AUTOMATIC RESOURCE LOCATION</t>
        </is>
      </c>
      <c r="F1419" s="25" t="inlineStr">
        <is>
          <t>The IRMS shall have digitally record all ARL activity simultaneously to retain that data online for up to three months.</t>
        </is>
      </c>
      <c r="G1419" s="19" t="n"/>
      <c r="H1419" s="20" t="n"/>
      <c r="I1419" s="20" t="n"/>
      <c r="J1419" s="19" t="n"/>
      <c r="K1419" s="21" t="n"/>
      <c r="L1419" s="22">
        <f>IF(OR(J1419="",K1419=""),"",J1419*K1419)</f>
        <v/>
      </c>
      <c r="M1419" s="19" t="n"/>
      <c r="N1419" s="20" t="n"/>
      <c r="O1419" s="20" t="n"/>
    </row>
    <row r="1420">
      <c r="A1420" s="16" t="n">
        <v>1417</v>
      </c>
      <c r="B1420" s="17" t="inlineStr">
        <is>
          <t>2.3.15.14</t>
        </is>
      </c>
      <c r="C1420" s="18" t="inlineStr">
        <is>
          <t>Part 2 – Technical Systems</t>
        </is>
      </c>
      <c r="D1420" s="18" t="inlineStr">
        <is>
          <t>2.3 INCIDENT AND RESOURCE MANAGEMENT SYSTEM (IRMS)</t>
        </is>
      </c>
      <c r="E1420" s="18" t="inlineStr">
        <is>
          <t>2.3.15 AUTOMATIC RESOURCE LOCATION</t>
        </is>
      </c>
      <c r="F1420" s="18" t="inlineStr">
        <is>
          <t>In addition to real-time location of assets that carry AVL capability and resources, the ARLS shall support history and playback modes as follows:</t>
        </is>
      </c>
      <c r="G1420" s="19" t="n"/>
      <c r="H1420" s="20" t="n"/>
      <c r="I1420" s="20" t="n"/>
      <c r="J1420" s="19" t="n"/>
      <c r="K1420" s="21" t="n"/>
      <c r="L1420" s="22">
        <f>IF(OR(J1420="",K1420=""),"",J1420*K1420)</f>
        <v/>
      </c>
      <c r="M1420" s="19" t="n"/>
      <c r="N1420" s="20" t="n"/>
      <c r="O1420" s="20" t="n"/>
    </row>
    <row r="1421">
      <c r="A1421" s="23" t="n">
        <v>1418</v>
      </c>
      <c r="B1421" s="23" t="inlineStr">
        <is>
          <t>2.3.15.14.1</t>
        </is>
      </c>
      <c r="C1421" s="25" t="inlineStr">
        <is>
          <t>Part 2 – Technical Systems</t>
        </is>
      </c>
      <c r="D1421" s="25" t="inlineStr">
        <is>
          <t>2.3 INCIDENT AND RESOURCE MANAGEMENT SYSTEM (IRMS)</t>
        </is>
      </c>
      <c r="E1421" s="25" t="inlineStr">
        <is>
          <t>2.3.15 AUTOMATIC RESOURCE LOCATION</t>
        </is>
      </c>
      <c r="F1421" s="25" t="inlineStr">
        <is>
          <t>History mode shall provide access to previous updates through structured enquiries and the provision of pre-formatted history reports.</t>
        </is>
      </c>
      <c r="G1421" s="19" t="n"/>
      <c r="H1421" s="20" t="n"/>
      <c r="I1421" s="20" t="n"/>
      <c r="J1421" s="19" t="n"/>
      <c r="K1421" s="21" t="n"/>
      <c r="L1421" s="22">
        <f>IF(OR(J1421="",K1421=""),"",J1421*K1421)</f>
        <v/>
      </c>
      <c r="M1421" s="19" t="n"/>
      <c r="N1421" s="20" t="n"/>
      <c r="O1421" s="20" t="n"/>
    </row>
    <row r="1422">
      <c r="A1422" s="16" t="n">
        <v>1419</v>
      </c>
      <c r="B1422" s="16" t="inlineStr">
        <is>
          <t>2.3.15.14.2</t>
        </is>
      </c>
      <c r="C1422" s="18" t="inlineStr">
        <is>
          <t>Part 2 – Technical Systems</t>
        </is>
      </c>
      <c r="D1422" s="18" t="inlineStr">
        <is>
          <t>2.3 INCIDENT AND RESOURCE MANAGEMENT SYSTEM (IRMS)</t>
        </is>
      </c>
      <c r="E1422" s="18" t="inlineStr">
        <is>
          <t>2.3.15 AUTOMATIC RESOURCE LOCATION</t>
        </is>
      </c>
      <c r="F1422" s="18" t="inlineStr">
        <is>
          <t>Playback mode shall allow the selection of one or more resources, or the selection of group resources, for playback on the map view. It shall be possible to select elapsed time views from a point in time or show the cumulative tracks between two specified times up to three months before from the current day.</t>
        </is>
      </c>
      <c r="G1422" s="19" t="n"/>
      <c r="H1422" s="20" t="n"/>
      <c r="I1422" s="20" t="n"/>
      <c r="J1422" s="19" t="n"/>
      <c r="K1422" s="21" t="n"/>
      <c r="L1422" s="22">
        <f>IF(OR(J1422="",K1422=""),"",J1422*K1422)</f>
        <v/>
      </c>
      <c r="M1422" s="19" t="n"/>
      <c r="N1422" s="20" t="n"/>
      <c r="O1422" s="20" t="n"/>
    </row>
    <row r="1423">
      <c r="A1423" s="23" t="n">
        <v>1420</v>
      </c>
      <c r="B1423" s="24" t="inlineStr">
        <is>
          <t>2.3.15.15</t>
        </is>
      </c>
      <c r="C1423" s="25" t="inlineStr">
        <is>
          <t>Part 2 – Technical Systems</t>
        </is>
      </c>
      <c r="D1423" s="25" t="inlineStr">
        <is>
          <t>2.3 INCIDENT AND RESOURCE MANAGEMENT SYSTEM (IRMS)</t>
        </is>
      </c>
      <c r="E1423" s="25" t="inlineStr">
        <is>
          <t>2.3.15 AUTOMATIC RESOURCE LOCATION</t>
        </is>
      </c>
      <c r="F1423" s="25" t="inlineStr">
        <is>
          <t>The ARL data older than three months shall be available in archive form such that it can be restored for access within one hour.</t>
        </is>
      </c>
      <c r="G1423" s="19" t="n"/>
      <c r="H1423" s="20" t="n"/>
      <c r="I1423" s="20" t="n"/>
      <c r="J1423" s="19" t="n"/>
      <c r="K1423" s="21" t="n"/>
      <c r="L1423" s="22">
        <f>IF(OR(J1423="",K1423=""),"",J1423*K1423)</f>
        <v/>
      </c>
      <c r="M1423" s="19" t="n"/>
      <c r="N1423" s="20" t="n"/>
      <c r="O1423" s="20" t="n"/>
    </row>
    <row r="1424">
      <c r="A1424" s="16" t="n">
        <v>1421</v>
      </c>
      <c r="B1424" s="17" t="inlineStr">
        <is>
          <t>2.3.15.16</t>
        </is>
      </c>
      <c r="C1424" s="18" t="inlineStr">
        <is>
          <t>Part 2 – Technical Systems</t>
        </is>
      </c>
      <c r="D1424" s="18" t="inlineStr">
        <is>
          <t>2.3 INCIDENT AND RESOURCE MANAGEMENT SYSTEM (IRMS)</t>
        </is>
      </c>
      <c r="E1424" s="18" t="inlineStr">
        <is>
          <t>2.3.15 AUTOMATIC RESOURCE LOCATION</t>
        </is>
      </c>
      <c r="F1424" s="18" t="inlineStr">
        <is>
          <t>The IRMS shall have the ARL history and playback available on all authorized OSS911 operator terminals and through web browsers for authorized users.</t>
        </is>
      </c>
      <c r="G1424" s="19" t="n"/>
      <c r="H1424" s="20" t="n"/>
      <c r="I1424" s="20" t="n"/>
      <c r="J1424" s="19" t="n"/>
      <c r="K1424" s="21" t="n"/>
      <c r="L1424" s="22">
        <f>IF(OR(J1424="",K1424=""),"",J1424*K1424)</f>
        <v/>
      </c>
      <c r="M1424" s="19" t="n"/>
      <c r="N1424" s="20" t="n"/>
      <c r="O1424" s="20" t="n"/>
    </row>
    <row r="1425">
      <c r="A1425" s="23" t="n">
        <v>1422</v>
      </c>
      <c r="B1425" s="24" t="inlineStr">
        <is>
          <t>2.3.16.1</t>
        </is>
      </c>
      <c r="C1425" s="25" t="inlineStr">
        <is>
          <t>Part 2 – Technical Systems</t>
        </is>
      </c>
      <c r="D1425" s="25" t="inlineStr">
        <is>
          <t>2.3 INCIDENT AND RESOURCE MANAGEMENT SYSTEM (IRMS)</t>
        </is>
      </c>
      <c r="E1425" s="25" t="inlineStr">
        <is>
          <t>2.3.16 IRMS ACCESS MODALITIES</t>
        </is>
      </c>
      <c r="F1425" s="25" t="inlineStr">
        <is>
          <t>The IRMS solution shall support the following access mechanisms:</t>
        </is>
      </c>
      <c r="G1425" s="19" t="n"/>
      <c r="H1425" s="20" t="n"/>
      <c r="I1425" s="20" t="n"/>
      <c r="J1425" s="19" t="n"/>
      <c r="K1425" s="21" t="n"/>
      <c r="L1425" s="22">
        <f>IF(OR(J1425="",K1425=""),"",J1425*K1425)</f>
        <v/>
      </c>
      <c r="M1425" s="19" t="n"/>
      <c r="N1425" s="20" t="n"/>
      <c r="O1425" s="20" t="n"/>
    </row>
    <row r="1426">
      <c r="A1426" s="16" t="n">
        <v>1423</v>
      </c>
      <c r="B1426" s="16" t="inlineStr">
        <is>
          <t>2.3.16.1.1</t>
        </is>
      </c>
      <c r="C1426" s="18" t="inlineStr">
        <is>
          <t>Part 2 – Technical Systems</t>
        </is>
      </c>
      <c r="D1426" s="18" t="inlineStr">
        <is>
          <t>2.3 INCIDENT AND RESOURCE MANAGEMENT SYSTEM (IRMS)</t>
        </is>
      </c>
      <c r="E1426" s="18" t="inlineStr">
        <is>
          <t>2.3.16 IRMS ACCESS MODALITIES</t>
        </is>
      </c>
      <c r="F1426" s="18" t="inlineStr">
        <is>
          <t>Via dedicated OSS911 computers at all operator and supervisor positions.</t>
        </is>
      </c>
      <c r="G1426" s="19" t="n"/>
      <c r="H1426" s="20" t="n"/>
      <c r="I1426" s="20" t="n"/>
      <c r="J1426" s="19" t="n"/>
      <c r="K1426" s="21" t="n"/>
      <c r="L1426" s="22">
        <f>IF(OR(J1426="",K1426=""),"",J1426*K1426)</f>
        <v/>
      </c>
      <c r="M1426" s="19" t="n"/>
      <c r="N1426" s="20" t="n"/>
      <c r="O1426" s="20" t="n"/>
    </row>
    <row r="1427">
      <c r="A1427" s="23" t="n">
        <v>1424</v>
      </c>
      <c r="B1427" s="23" t="inlineStr">
        <is>
          <t>2.3.16.1.2</t>
        </is>
      </c>
      <c r="C1427" s="25" t="inlineStr">
        <is>
          <t>Part 2 – Technical Systems</t>
        </is>
      </c>
      <c r="D1427" s="25" t="inlineStr">
        <is>
          <t>2.3 INCIDENT AND RESOURCE MANAGEMENT SYSTEM (IRMS)</t>
        </is>
      </c>
      <c r="E1427" s="25" t="inlineStr">
        <is>
          <t>2.3.16 IRMS ACCESS MODALITIES</t>
        </is>
      </c>
      <c r="F1427" s="25" t="inlineStr">
        <is>
          <t>Via browsers, The BIDDER shall specify supported browsers and browser technology.</t>
        </is>
      </c>
      <c r="G1427" s="19" t="n"/>
      <c r="H1427" s="20" t="n"/>
      <c r="I1427" s="20" t="n"/>
      <c r="J1427" s="19" t="n"/>
      <c r="K1427" s="21" t="n"/>
      <c r="L1427" s="22">
        <f>IF(OR(J1427="",K1427=""),"",J1427*K1427)</f>
        <v/>
      </c>
      <c r="M1427" s="19" t="n"/>
      <c r="N1427" s="20" t="n"/>
      <c r="O1427" s="20" t="n"/>
    </row>
    <row r="1428">
      <c r="A1428" s="16" t="n">
        <v>1425</v>
      </c>
      <c r="B1428" s="16" t="inlineStr">
        <is>
          <t>2.3.16.1.3</t>
        </is>
      </c>
      <c r="C1428" s="18" t="inlineStr">
        <is>
          <t>Part 2 – Technical Systems</t>
        </is>
      </c>
      <c r="D1428" s="18" t="inlineStr">
        <is>
          <t>2.3 INCIDENT AND RESOURCE MANAGEMENT SYSTEM (IRMS)</t>
        </is>
      </c>
      <c r="E1428" s="18" t="inlineStr">
        <is>
          <t>2.3.16 IRMS ACCESS MODALITIES</t>
        </is>
      </c>
      <c r="F1428" s="18" t="inlineStr">
        <is>
          <t>Via integration with applications running on suitably authorized handheld and vehicle-mounted mobile devices.</t>
        </is>
      </c>
      <c r="G1428" s="19" t="n"/>
      <c r="H1428" s="20" t="n"/>
      <c r="I1428" s="20" t="n"/>
      <c r="J1428" s="19" t="n"/>
      <c r="K1428" s="21" t="n"/>
      <c r="L1428" s="22">
        <f>IF(OR(J1428="",K1428=""),"",J1428*K1428)</f>
        <v/>
      </c>
      <c r="M1428" s="19" t="n"/>
      <c r="N1428" s="20" t="n"/>
      <c r="O1428" s="20" t="n"/>
    </row>
    <row r="1429">
      <c r="A1429" s="23" t="n">
        <v>1426</v>
      </c>
      <c r="B1429" s="24" t="inlineStr">
        <is>
          <t>2.3.16.2</t>
        </is>
      </c>
      <c r="C1429" s="25" t="inlineStr">
        <is>
          <t>Part 2 – Technical Systems</t>
        </is>
      </c>
      <c r="D1429" s="25" t="inlineStr">
        <is>
          <t>2.3 INCIDENT AND RESOURCE MANAGEMENT SYSTEM (IRMS)</t>
        </is>
      </c>
      <c r="E1429" s="25" t="inlineStr">
        <is>
          <t>2.3.16 IRMS ACCESS MODALITIES</t>
        </is>
      </c>
      <c r="F1429" s="25" t="inlineStr">
        <is>
          <t>The BIDDER shall specify information and data security protocols for this access modality, and support the selection of these protocols.</t>
        </is>
      </c>
      <c r="G1429" s="19" t="n"/>
      <c r="H1429" s="20" t="n"/>
      <c r="I1429" s="20" t="n"/>
      <c r="J1429" s="19" t="n"/>
      <c r="K1429" s="21" t="n"/>
      <c r="L1429" s="22">
        <f>IF(OR(J1429="",K1429=""),"",J1429*K1429)</f>
        <v/>
      </c>
      <c r="M1429" s="19" t="n"/>
      <c r="N1429" s="20" t="n"/>
      <c r="O1429" s="20" t="n"/>
    </row>
    <row r="1430">
      <c r="A1430" s="16" t="n">
        <v>1427</v>
      </c>
      <c r="B1430" s="17" t="inlineStr">
        <is>
          <t>2.3.16.3</t>
        </is>
      </c>
      <c r="C1430" s="18" t="inlineStr">
        <is>
          <t>Part 2 – Technical Systems</t>
        </is>
      </c>
      <c r="D1430" s="18" t="inlineStr">
        <is>
          <t>2.3 INCIDENT AND RESOURCE MANAGEMENT SYSTEM (IRMS)</t>
        </is>
      </c>
      <c r="E1430" s="18" t="inlineStr">
        <is>
          <t>2.3.16 IRMS ACCESS MODALITIES</t>
        </is>
      </c>
      <c r="F1430" s="18" t="inlineStr">
        <is>
          <t>The CONTRACTOR shall provide the OSS911 applications for the most recent, tested and stable versions of the contractor-proposed desktop operating systems for desktops.</t>
        </is>
      </c>
      <c r="G1430" s="19" t="n"/>
      <c r="H1430" s="20" t="n"/>
      <c r="I1430" s="20" t="n"/>
      <c r="J1430" s="19" t="n"/>
      <c r="K1430" s="21" t="n"/>
      <c r="L1430" s="22">
        <f>IF(OR(J1430="",K1430=""),"",J1430*K1430)</f>
        <v/>
      </c>
      <c r="M1430" s="19" t="n"/>
      <c r="N1430" s="20" t="n"/>
      <c r="O1430" s="20" t="n"/>
    </row>
    <row r="1431">
      <c r="A1431" s="23" t="n">
        <v>1428</v>
      </c>
      <c r="B1431" s="24" t="inlineStr">
        <is>
          <t>2.3.16.4</t>
        </is>
      </c>
      <c r="C1431" s="25" t="inlineStr">
        <is>
          <t>Part 2 – Technical Systems</t>
        </is>
      </c>
      <c r="D1431" s="25" t="inlineStr">
        <is>
          <t>2.3 INCIDENT AND RESOURCE MANAGEMENT SYSTEM (IRMS)</t>
        </is>
      </c>
      <c r="E1431" s="25" t="inlineStr">
        <is>
          <t>2.3.16 IRMS ACCESS MODALITIES</t>
        </is>
      </c>
      <c r="F1431" s="25" t="inlineStr">
        <is>
          <t>Within their response, the BIDDER shall clearly indicate the sets of IRMS functionalities and features available in each mode of access, along with a detailed explanation as to why functionality or a feature is differently-abled and/or disabled in a particular mode of access.</t>
        </is>
      </c>
      <c r="G1431" s="19" t="n"/>
      <c r="H1431" s="20" t="n"/>
      <c r="I1431" s="20" t="n"/>
      <c r="J1431" s="19" t="n"/>
      <c r="K1431" s="21" t="n"/>
      <c r="L1431" s="22">
        <f>IF(OR(J1431="",K1431=""),"",J1431*K1431)</f>
        <v/>
      </c>
      <c r="M1431" s="19" t="n"/>
      <c r="N1431" s="20" t="n"/>
      <c r="O1431" s="20" t="n"/>
    </row>
    <row r="1432">
      <c r="A1432" s="16" t="n">
        <v>1429</v>
      </c>
      <c r="B1432" s="17" t="inlineStr">
        <is>
          <t>2.3.16.5</t>
        </is>
      </c>
      <c r="C1432" s="18" t="inlineStr">
        <is>
          <t>Part 2 – Technical Systems</t>
        </is>
      </c>
      <c r="D1432" s="18" t="inlineStr">
        <is>
          <t>2.3 INCIDENT AND RESOURCE MANAGEMENT SYSTEM (IRMS)</t>
        </is>
      </c>
      <c r="E1432" s="18" t="inlineStr">
        <is>
          <t>2.3.16 IRMS ACCESS MODALITIES</t>
        </is>
      </c>
      <c r="F1432" s="18" t="inlineStr">
        <is>
          <t>The BIDDER shall clearly state the dimensioning principle for all the components of the OSS911 solutions.</t>
        </is>
      </c>
      <c r="G1432" s="19" t="n"/>
      <c r="H1432" s="20" t="n"/>
      <c r="I1432" s="20" t="n"/>
      <c r="J1432" s="19" t="n"/>
      <c r="K1432" s="21" t="n"/>
      <c r="L1432" s="22">
        <f>IF(OR(J1432="",K1432=""),"",J1432*K1432)</f>
        <v/>
      </c>
      <c r="M1432" s="19" t="n"/>
      <c r="N1432" s="20" t="n"/>
      <c r="O1432" s="20" t="n"/>
    </row>
    <row r="1433">
      <c r="A1433" s="23" t="n">
        <v>1430</v>
      </c>
      <c r="B1433" s="24" t="inlineStr">
        <is>
          <t>2.3.16.6</t>
        </is>
      </c>
      <c r="C1433" s="25" t="inlineStr">
        <is>
          <t>Part 2 – Technical Systems</t>
        </is>
      </c>
      <c r="D1433" s="25" t="inlineStr">
        <is>
          <t>2.3 INCIDENT AND RESOURCE MANAGEMENT SYSTEM (IRMS)</t>
        </is>
      </c>
      <c r="E1433" s="25" t="inlineStr">
        <is>
          <t>2.3.16 IRMS ACCESS MODALITIES</t>
        </is>
      </c>
      <c r="F1433" s="25" t="inlineStr">
        <is>
          <t>The OSS911 solution shall provide a recorded audit trail of all key operator actions with access to it protected by authorized roles. This shall be accessible via a provided viewing package which will be capable of producing user configurable report files.</t>
        </is>
      </c>
      <c r="G1433" s="19" t="n"/>
      <c r="H1433" s="20" t="n"/>
      <c r="I1433" s="20" t="n"/>
      <c r="J1433" s="19" t="n"/>
      <c r="K1433" s="21" t="n"/>
      <c r="L1433" s="22">
        <f>IF(OR(J1433="",K1433=""),"",J1433*K1433)</f>
        <v/>
      </c>
      <c r="M1433" s="19" t="n"/>
      <c r="N1433" s="20" t="n"/>
      <c r="O1433" s="20" t="n"/>
    </row>
    <row r="1434">
      <c r="A1434" s="16" t="n">
        <v>1431</v>
      </c>
      <c r="B1434" s="17" t="inlineStr">
        <is>
          <t>2.4.1.1</t>
        </is>
      </c>
      <c r="C1434" s="18" t="inlineStr">
        <is>
          <t>Part 2 – Technical Systems</t>
        </is>
      </c>
      <c r="D1434" s="18" t="inlineStr">
        <is>
          <t>2.4 INTEGRATION WITH MOI FIELD SYSTEMS / PLATFORMS / APPS</t>
        </is>
      </c>
      <c r="E1434" s="18" t="inlineStr">
        <is>
          <t>2.4.1 REQUIREMENT OVERVIEW</t>
        </is>
      </c>
      <c r="F1434" s="18" t="inlineStr">
        <is>
          <t>The CONTRACTOR shall implement all requirements in this section with the understanding that:</t>
        </is>
      </c>
      <c r="G1434" s="19" t="n"/>
      <c r="H1434" s="20" t="n"/>
      <c r="I1434" s="20" t="n"/>
      <c r="J1434" s="19" t="n"/>
      <c r="K1434" s="21" t="n"/>
      <c r="L1434" s="22">
        <f>IF(OR(J1434="",K1434=""),"",J1434*K1434)</f>
        <v/>
      </c>
      <c r="M1434" s="19" t="n"/>
      <c r="N1434" s="20" t="n"/>
      <c r="O1434" s="20" t="n"/>
    </row>
    <row r="1435">
      <c r="A1435" s="23" t="n">
        <v>1432</v>
      </c>
      <c r="B1435" s="23" t="inlineStr">
        <is>
          <t>2.4.1.1.1</t>
        </is>
      </c>
      <c r="C1435" s="25" t="inlineStr">
        <is>
          <t>Part 2 – Technical Systems</t>
        </is>
      </c>
      <c r="D1435" s="25" t="inlineStr">
        <is>
          <t>2.4 INTEGRATION WITH MOI FIELD SYSTEMS / PLATFORMS / APPS</t>
        </is>
      </c>
      <c r="E1435" s="25" t="inlineStr">
        <is>
          <t>2.4.1 REQUIREMENT OVERVIEW</t>
        </is>
      </c>
      <c r="F1435" s="25" t="inlineStr">
        <is>
          <t>Unless otherwise explicitly stated, the phrase “OSS911 center” refers to OSS911 centers in each of the provinces that are included in the scope of this contract.</t>
        </is>
      </c>
      <c r="G1435" s="19" t="n"/>
      <c r="H1435" s="20" t="n"/>
      <c r="I1435" s="20" t="n"/>
      <c r="J1435" s="19" t="n"/>
      <c r="K1435" s="21" t="n"/>
      <c r="L1435" s="22">
        <f>IF(OR(J1435="",K1435=""),"",J1435*K1435)</f>
        <v/>
      </c>
      <c r="M1435" s="19" t="n"/>
      <c r="N1435" s="20" t="n"/>
      <c r="O1435" s="20" t="n"/>
    </row>
    <row r="1436">
      <c r="A1436" s="16" t="n">
        <v>1433</v>
      </c>
      <c r="B1436" s="16" t="inlineStr">
        <is>
          <t>2.4.1.1.2</t>
        </is>
      </c>
      <c r="C1436" s="18" t="inlineStr">
        <is>
          <t>Part 2 – Technical Systems</t>
        </is>
      </c>
      <c r="D1436" s="18" t="inlineStr">
        <is>
          <t>2.4 INTEGRATION WITH MOI FIELD SYSTEMS / PLATFORMS / APPS</t>
        </is>
      </c>
      <c r="E1436" s="18" t="inlineStr">
        <is>
          <t>2.4.1 REQUIREMENT OVERVIEW</t>
        </is>
      </c>
      <c r="F1436" s="18" t="inlineStr">
        <is>
          <t>Unless otherwise explicitly stated, the phrases “OSS911 solution” or “OSS911 systems” or “OSS911 subsystems” refer to all the OSS911 systems being delivered by the CONTRACTOR as part of this contract.</t>
        </is>
      </c>
      <c r="G1436" s="19" t="n"/>
      <c r="H1436" s="20" t="n"/>
      <c r="I1436" s="20" t="n"/>
      <c r="J1436" s="19" t="n"/>
      <c r="K1436" s="21" t="n"/>
      <c r="L1436" s="22">
        <f>IF(OR(J1436="",K1436=""),"",J1436*K1436)</f>
        <v/>
      </c>
      <c r="M1436" s="19" t="n"/>
      <c r="N1436" s="20" t="n"/>
      <c r="O1436" s="20" t="n"/>
    </row>
    <row r="1437">
      <c r="A1437" s="23" t="n">
        <v>1434</v>
      </c>
      <c r="B1437" s="23" t="inlineStr">
        <is>
          <t>2.4.1.1.3</t>
        </is>
      </c>
      <c r="C1437" s="25" t="inlineStr">
        <is>
          <t>Part 2 – Technical Systems</t>
        </is>
      </c>
      <c r="D1437" s="25" t="inlineStr">
        <is>
          <t>2.4 INTEGRATION WITH MOI FIELD SYSTEMS / PLATFORMS / APPS</t>
        </is>
      </c>
      <c r="E1437" s="25" t="inlineStr">
        <is>
          <t>2.4.1 REQUIREMENT OVERVIEW</t>
        </is>
      </c>
      <c r="F1437" s="25" t="inlineStr">
        <is>
          <t>Unless otherwise explicitly stated, the word “data” in this document includes all types of data including voice, text, video and SMS.</t>
        </is>
      </c>
      <c r="G1437" s="19" t="n"/>
      <c r="H1437" s="20" t="n"/>
      <c r="I1437" s="20" t="n"/>
      <c r="J1437" s="19" t="n"/>
      <c r="K1437" s="21" t="n"/>
      <c r="L1437" s="22">
        <f>IF(OR(J1437="",K1437=""),"",J1437*K1437)</f>
        <v/>
      </c>
      <c r="M1437" s="19" t="n"/>
      <c r="N1437" s="20" t="n"/>
      <c r="O1437" s="20" t="n"/>
    </row>
    <row r="1438">
      <c r="A1438" s="16" t="n">
        <v>1435</v>
      </c>
      <c r="B1438" s="17" t="inlineStr">
        <is>
          <t>2.4.1.2</t>
        </is>
      </c>
      <c r="C1438" s="18" t="inlineStr">
        <is>
          <t>Part 2 – Technical Systems</t>
        </is>
      </c>
      <c r="D1438" s="18" t="inlineStr">
        <is>
          <t>2.4 INTEGRATION WITH MOI FIELD SYSTEMS / PLATFORMS / APPS</t>
        </is>
      </c>
      <c r="E1438" s="18" t="inlineStr">
        <is>
          <t>2.4.1 REQUIREMENT OVERVIEW</t>
        </is>
      </c>
      <c r="F1438" s="18" t="inlineStr">
        <is>
          <t>The CONTRACTOR shall deliver a smart and AI-powered integration with MOI field systems/platforms/apps all the requirements of this section that are fully compliant to the concept of operations requirements stated in this RFP.</t>
        </is>
      </c>
      <c r="G1438" s="19" t="n"/>
      <c r="H1438" s="20" t="n"/>
      <c r="I1438" s="20" t="n"/>
      <c r="J1438" s="19" t="n"/>
      <c r="K1438" s="21" t="n"/>
      <c r="L1438" s="22">
        <f>IF(OR(J1438="",K1438=""),"",J1438*K1438)</f>
        <v/>
      </c>
      <c r="M1438" s="19" t="n"/>
      <c r="N1438" s="20" t="n"/>
      <c r="O1438" s="20" t="n"/>
    </row>
    <row r="1439">
      <c r="A1439" s="23" t="n">
        <v>1436</v>
      </c>
      <c r="B1439" s="24" t="inlineStr">
        <is>
          <t>2.4.1.3</t>
        </is>
      </c>
      <c r="C1439" s="25" t="inlineStr">
        <is>
          <t>Part 2 – Technical Systems</t>
        </is>
      </c>
      <c r="D1439" s="25" t="inlineStr">
        <is>
          <t>2.4 INTEGRATION WITH MOI FIELD SYSTEMS / PLATFORMS / APPS</t>
        </is>
      </c>
      <c r="E1439" s="25" t="inlineStr">
        <is>
          <t>2.4.1 REQUIREMENT OVERVIEW</t>
        </is>
      </c>
      <c r="F1439" s="25" t="inlineStr">
        <is>
          <t>The MOI requires that the CONTRACTOR integrate the OSS911 solution with MOI systems / platforms for access through:</t>
        </is>
      </c>
      <c r="G1439" s="19" t="n"/>
      <c r="H1439" s="20" t="n"/>
      <c r="I1439" s="20" t="n"/>
      <c r="J1439" s="19" t="n"/>
      <c r="K1439" s="21" t="n"/>
      <c r="L1439" s="22">
        <f>IF(OR(J1439="",K1439=""),"",J1439*K1439)</f>
        <v/>
      </c>
      <c r="M1439" s="19" t="n"/>
      <c r="N1439" s="20" t="n"/>
      <c r="O1439" s="20" t="n"/>
    </row>
    <row r="1440">
      <c r="A1440" s="16" t="n">
        <v>1437</v>
      </c>
      <c r="B1440" s="16" t="inlineStr">
        <is>
          <t>2.4.1.3.1</t>
        </is>
      </c>
      <c r="C1440" s="18" t="inlineStr">
        <is>
          <t>Part 2 – Technical Systems</t>
        </is>
      </c>
      <c r="D1440" s="18" t="inlineStr">
        <is>
          <t>2.4 INTEGRATION WITH MOI FIELD SYSTEMS / PLATFORMS / APPS</t>
        </is>
      </c>
      <c r="E1440" s="18" t="inlineStr">
        <is>
          <t>2.4.1 REQUIREMENT OVERVIEW</t>
        </is>
      </c>
      <c r="F1440" s="18" t="inlineStr">
        <is>
          <t>Vehicle fitted or hand held ruggedized Mobile Data Computers (MDC) containing systems / platforms / applications that shall be supplied by others.</t>
        </is>
      </c>
      <c r="G1440" s="19" t="n"/>
      <c r="H1440" s="20" t="n"/>
      <c r="I1440" s="20" t="n"/>
      <c r="J1440" s="19" t="n"/>
      <c r="K1440" s="21" t="n"/>
      <c r="L1440" s="22">
        <f>IF(OR(J1440="",K1440=""),"",J1440*K1440)</f>
        <v/>
      </c>
      <c r="M1440" s="19" t="n"/>
      <c r="N1440" s="20" t="n"/>
      <c r="O1440" s="20" t="n"/>
    </row>
    <row r="1441">
      <c r="A1441" s="23" t="n">
        <v>1438</v>
      </c>
      <c r="B1441" s="23" t="inlineStr">
        <is>
          <t>2.4.1.3.2</t>
        </is>
      </c>
      <c r="C1441" s="25" t="inlineStr">
        <is>
          <t>Part 2 – Technical Systems</t>
        </is>
      </c>
      <c r="D1441" s="25" t="inlineStr">
        <is>
          <t>2.4 INTEGRATION WITH MOI FIELD SYSTEMS / PLATFORMS / APPS</t>
        </is>
      </c>
      <c r="E1441" s="25" t="inlineStr">
        <is>
          <t>2.4.1 REQUIREMENT OVERVIEW</t>
        </is>
      </c>
      <c r="F1441" s="25" t="inlineStr">
        <is>
          <t>Smartphones containing apps that shall be supplied by others.</t>
        </is>
      </c>
      <c r="G1441" s="19" t="n"/>
      <c r="H1441" s="20" t="n"/>
      <c r="I1441" s="20" t="n"/>
      <c r="J1441" s="19" t="n"/>
      <c r="K1441" s="21" t="n"/>
      <c r="L1441" s="22">
        <f>IF(OR(J1441="",K1441=""),"",J1441*K1441)</f>
        <v/>
      </c>
      <c r="M1441" s="19" t="n"/>
      <c r="N1441" s="20" t="n"/>
      <c r="O1441" s="20" t="n"/>
    </row>
    <row r="1442">
      <c r="A1442" s="16" t="n">
        <v>1439</v>
      </c>
      <c r="B1442" s="17" t="inlineStr">
        <is>
          <t>2.4.1.4</t>
        </is>
      </c>
      <c r="C1442" s="18" t="inlineStr">
        <is>
          <t>Part 2 – Technical Systems</t>
        </is>
      </c>
      <c r="D1442" s="18" t="inlineStr">
        <is>
          <t>2.4 INTEGRATION WITH MOI FIELD SYSTEMS / PLATFORMS / APPS</t>
        </is>
      </c>
      <c r="E1442" s="18" t="inlineStr">
        <is>
          <t>2.4.1 REQUIREMENT OVERVIEW</t>
        </is>
      </c>
      <c r="F1442" s="18" t="inlineStr">
        <is>
          <t>The CONTRACTOR shall deliver this required integration with any of the following available connectivity channels including but not limited to any of the MOI radio communications networks or the commercial wireless APN SIM card services from the telecom carriers.</t>
        </is>
      </c>
      <c r="G1442" s="19" t="n"/>
      <c r="H1442" s="20" t="n"/>
      <c r="I1442" s="20" t="n"/>
      <c r="J1442" s="19" t="n"/>
      <c r="K1442" s="21" t="n"/>
      <c r="L1442" s="22">
        <f>IF(OR(J1442="",K1442=""),"",J1442*K1442)</f>
        <v/>
      </c>
      <c r="M1442" s="19" t="n"/>
      <c r="N1442" s="20" t="n"/>
      <c r="O1442" s="20" t="n"/>
    </row>
    <row r="1443">
      <c r="A1443" s="23" t="n">
        <v>1440</v>
      </c>
      <c r="B1443" s="24" t="inlineStr">
        <is>
          <t>2.4.2.1</t>
        </is>
      </c>
      <c r="C1443" s="25" t="inlineStr">
        <is>
          <t>Part 2 – Technical Systems</t>
        </is>
      </c>
      <c r="D1443" s="25" t="inlineStr">
        <is>
          <t>2.4 INTEGRATION WITH MOI FIELD SYSTEMS / PLATFORMS / APPS</t>
        </is>
      </c>
      <c r="E1443" s="25" t="inlineStr">
        <is>
          <t>2.4.2 FUNCTIONAL REQUIREMENTS</t>
        </is>
      </c>
      <c r="F1443" s="25" t="inlineStr">
        <is>
          <t>The CONTRACTOR shall provide this integration solution such that the field users shall have the ability to self-assign to an event that has not been reported to the OSS911 Center. When an event has been initiated by the mobile user, the IRMS shall automatically create an event log in the IRMS at the OSS911 Center.</t>
        </is>
      </c>
      <c r="G1443" s="19" t="n"/>
      <c r="H1443" s="20" t="n"/>
      <c r="I1443" s="20" t="n"/>
      <c r="J1443" s="19" t="n"/>
      <c r="K1443" s="21" t="n"/>
      <c r="L1443" s="22">
        <f>IF(OR(J1443="",K1443=""),"",J1443*K1443)</f>
        <v/>
      </c>
      <c r="M1443" s="19" t="n"/>
      <c r="N1443" s="20" t="n"/>
      <c r="O1443" s="20" t="n"/>
    </row>
    <row r="1444">
      <c r="A1444" s="16" t="n">
        <v>1441</v>
      </c>
      <c r="B1444" s="17" t="inlineStr">
        <is>
          <t>2.4.2.2</t>
        </is>
      </c>
      <c r="C1444" s="18" t="inlineStr">
        <is>
          <t>Part 2 – Technical Systems</t>
        </is>
      </c>
      <c r="D1444" s="18" t="inlineStr">
        <is>
          <t>2.4 INTEGRATION WITH MOI FIELD SYSTEMS / PLATFORMS / APPS</t>
        </is>
      </c>
      <c r="E1444" s="18" t="inlineStr">
        <is>
          <t>2.4.2 FUNCTIONAL REQUIREMENTS</t>
        </is>
      </c>
      <c r="F1444" s="18" t="inlineStr">
        <is>
          <t>The CONTRACTOR shall provide the following functions for authorized users through this integration:</t>
        </is>
      </c>
      <c r="G1444" s="19" t="n"/>
      <c r="H1444" s="20" t="n"/>
      <c r="I1444" s="20" t="n"/>
      <c r="J1444" s="19" t="n"/>
      <c r="K1444" s="21" t="n"/>
      <c r="L1444" s="22">
        <f>IF(OR(J1444="",K1444=""),"",J1444*K1444)</f>
        <v/>
      </c>
      <c r="M1444" s="19" t="n"/>
      <c r="N1444" s="20" t="n"/>
      <c r="O1444" s="20" t="n"/>
    </row>
    <row r="1445">
      <c r="A1445" s="23" t="n">
        <v>1442</v>
      </c>
      <c r="B1445" s="23" t="inlineStr">
        <is>
          <t>2.4.2.2.1</t>
        </is>
      </c>
      <c r="C1445" s="25" t="inlineStr">
        <is>
          <t>Part 2 – Technical Systems</t>
        </is>
      </c>
      <c r="D1445" s="25" t="inlineStr">
        <is>
          <t>2.4 INTEGRATION WITH MOI FIELD SYSTEMS / PLATFORMS / APPS</t>
        </is>
      </c>
      <c r="E1445" s="25" t="inlineStr">
        <is>
          <t>2.4.2 FUNCTIONAL REQUIREMENTS</t>
        </is>
      </c>
      <c r="F1445" s="25" t="inlineStr">
        <is>
          <t>Receipt and presentation of incident data relating to incidents the respective field resource has been dispatched to, or added as a recipient to.</t>
        </is>
      </c>
      <c r="G1445" s="19" t="n"/>
      <c r="H1445" s="20" t="n"/>
      <c r="I1445" s="20" t="n"/>
      <c r="J1445" s="19" t="n"/>
      <c r="K1445" s="21" t="n"/>
      <c r="L1445" s="22">
        <f>IF(OR(J1445="",K1445=""),"",J1445*K1445)</f>
        <v/>
      </c>
      <c r="M1445" s="19" t="n"/>
      <c r="N1445" s="20" t="n"/>
      <c r="O1445" s="20" t="n"/>
    </row>
    <row r="1446">
      <c r="A1446" s="16" t="n">
        <v>1443</v>
      </c>
      <c r="B1446" s="16" t="inlineStr">
        <is>
          <t>2.4.2.2.2</t>
        </is>
      </c>
      <c r="C1446" s="18" t="inlineStr">
        <is>
          <t>Part 2 – Technical Systems</t>
        </is>
      </c>
      <c r="D1446" s="18" t="inlineStr">
        <is>
          <t>2.4 INTEGRATION WITH MOI FIELD SYSTEMS / PLATFORMS / APPS</t>
        </is>
      </c>
      <c r="E1446" s="18" t="inlineStr">
        <is>
          <t>2.4.2 FUNCTIONAL REQUIREMENTS</t>
        </is>
      </c>
      <c r="F1446" s="18" t="inlineStr">
        <is>
          <t>Data entry fields for updates to incident logs.</t>
        </is>
      </c>
      <c r="G1446" s="19" t="n"/>
      <c r="H1446" s="20" t="n"/>
      <c r="I1446" s="20" t="n"/>
      <c r="J1446" s="19" t="n"/>
      <c r="K1446" s="21" t="n"/>
      <c r="L1446" s="22">
        <f>IF(OR(J1446="",K1446=""),"",J1446*K1446)</f>
        <v/>
      </c>
      <c r="M1446" s="19" t="n"/>
      <c r="N1446" s="20" t="n"/>
      <c r="O1446" s="20" t="n"/>
    </row>
    <row r="1447">
      <c r="A1447" s="23" t="n">
        <v>1444</v>
      </c>
      <c r="B1447" s="23" t="inlineStr">
        <is>
          <t>2.4.2.2.3</t>
        </is>
      </c>
      <c r="C1447" s="25" t="inlineStr">
        <is>
          <t>Part 2 – Technical Systems</t>
        </is>
      </c>
      <c r="D1447" s="25" t="inlineStr">
        <is>
          <t>2.4 INTEGRATION WITH MOI FIELD SYSTEMS / PLATFORMS / APPS</t>
        </is>
      </c>
      <c r="E1447" s="25" t="inlineStr">
        <is>
          <t>2.4.2 FUNCTIONAL REQUIREMENTS</t>
        </is>
      </c>
      <c r="F1447" s="25" t="inlineStr">
        <is>
          <t>Presentation of additional historical information regarding any previous related incidents.</t>
        </is>
      </c>
      <c r="G1447" s="19" t="n"/>
      <c r="H1447" s="20" t="n"/>
      <c r="I1447" s="20" t="n"/>
      <c r="J1447" s="19" t="n"/>
      <c r="K1447" s="21" t="n"/>
      <c r="L1447" s="22">
        <f>IF(OR(J1447="",K1447=""),"",J1447*K1447)</f>
        <v/>
      </c>
      <c r="M1447" s="19" t="n"/>
      <c r="N1447" s="20" t="n"/>
      <c r="O1447" s="20" t="n"/>
    </row>
    <row r="1448">
      <c r="A1448" s="16" t="n">
        <v>1445</v>
      </c>
      <c r="B1448" s="16" t="inlineStr">
        <is>
          <t>2.4.2.2.4</t>
        </is>
      </c>
      <c r="C1448" s="18" t="inlineStr">
        <is>
          <t>Part 2 – Technical Systems</t>
        </is>
      </c>
      <c r="D1448" s="18" t="inlineStr">
        <is>
          <t>2.4 INTEGRATION WITH MOI FIELD SYSTEMS / PLATFORMS / APPS</t>
        </is>
      </c>
      <c r="E1448" s="18" t="inlineStr">
        <is>
          <t>2.4.2 FUNCTIONAL REQUIREMENTS</t>
        </is>
      </c>
      <c r="F1448" s="18" t="inlineStr">
        <is>
          <t>Enabling the prompt input of updates directly from the scene of incidents.</t>
        </is>
      </c>
      <c r="G1448" s="19" t="n"/>
      <c r="H1448" s="20" t="n"/>
      <c r="I1448" s="20" t="n"/>
      <c r="J1448" s="19" t="n"/>
      <c r="K1448" s="21" t="n"/>
      <c r="L1448" s="22">
        <f>IF(OR(J1448="",K1448=""),"",J1448*K1448)</f>
        <v/>
      </c>
      <c r="M1448" s="19" t="n"/>
      <c r="N1448" s="20" t="n"/>
      <c r="O1448" s="20" t="n"/>
    </row>
    <row r="1449">
      <c r="A1449" s="23" t="n">
        <v>1446</v>
      </c>
      <c r="B1449" s="23" t="inlineStr">
        <is>
          <t>2.4.2.2.5</t>
        </is>
      </c>
      <c r="C1449" s="25" t="inlineStr">
        <is>
          <t>Part 2 – Technical Systems</t>
        </is>
      </c>
      <c r="D1449" s="25" t="inlineStr">
        <is>
          <t>2.4 INTEGRATION WITH MOI FIELD SYSTEMS / PLATFORMS / APPS</t>
        </is>
      </c>
      <c r="E1449" s="25" t="inlineStr">
        <is>
          <t>2.4.2 FUNCTIONAL REQUIREMENTS</t>
        </is>
      </c>
      <c r="F1449" s="25" t="inlineStr">
        <is>
          <t>Enabling access via field to central OSS911 information resources and to the NIC information resources through the OSS911-NIC interfaces.</t>
        </is>
      </c>
      <c r="G1449" s="19" t="n"/>
      <c r="H1449" s="20" t="n"/>
      <c r="I1449" s="20" t="n"/>
      <c r="J1449" s="19" t="n"/>
      <c r="K1449" s="21" t="n"/>
      <c r="L1449" s="22">
        <f>IF(OR(J1449="",K1449=""),"",J1449*K1449)</f>
        <v/>
      </c>
      <c r="M1449" s="19" t="n"/>
      <c r="N1449" s="20" t="n"/>
      <c r="O1449" s="20" t="n"/>
    </row>
    <row r="1450">
      <c r="A1450" s="16" t="n">
        <v>1447</v>
      </c>
      <c r="B1450" s="16" t="inlineStr">
        <is>
          <t>2.4.2.2.6</t>
        </is>
      </c>
      <c r="C1450" s="18" t="inlineStr">
        <is>
          <t>Part 2 – Technical Systems</t>
        </is>
      </c>
      <c r="D1450" s="18" t="inlineStr">
        <is>
          <t>2.4 INTEGRATION WITH MOI FIELD SYSTEMS / PLATFORMS / APPS</t>
        </is>
      </c>
      <c r="E1450" s="18" t="inlineStr">
        <is>
          <t>2.4.2 FUNCTIONAL REQUIREMENTS</t>
        </is>
      </c>
      <c r="F1450" s="18" t="inlineStr">
        <is>
          <t>Enabling commencement of crime, incident and traffic reports via field.</t>
        </is>
      </c>
      <c r="G1450" s="19" t="n"/>
      <c r="H1450" s="20" t="n"/>
      <c r="I1450" s="20" t="n"/>
      <c r="J1450" s="19" t="n"/>
      <c r="K1450" s="21" t="n"/>
      <c r="L1450" s="22">
        <f>IF(OR(J1450="",K1450=""),"",J1450*K1450)</f>
        <v/>
      </c>
      <c r="M1450" s="19" t="n"/>
      <c r="N1450" s="20" t="n"/>
      <c r="O1450" s="20" t="n"/>
    </row>
    <row r="1451">
      <c r="A1451" s="23" t="n">
        <v>1448</v>
      </c>
      <c r="B1451" s="23" t="inlineStr">
        <is>
          <t>2.4.2.2.7</t>
        </is>
      </c>
      <c r="C1451" s="25" t="inlineStr">
        <is>
          <t>Part 2 – Technical Systems</t>
        </is>
      </c>
      <c r="D1451" s="25" t="inlineStr">
        <is>
          <t>2.4 INTEGRATION WITH MOI FIELD SYSTEMS / PLATFORMS / APPS</t>
        </is>
      </c>
      <c r="E1451" s="25" t="inlineStr">
        <is>
          <t>2.4.2 FUNCTIONAL REQUIREMENTS</t>
        </is>
      </c>
      <c r="F1451" s="25" t="inlineStr">
        <is>
          <t>Support mapping and route-finding applications.</t>
        </is>
      </c>
      <c r="G1451" s="19" t="n"/>
      <c r="H1451" s="20" t="n"/>
      <c r="I1451" s="20" t="n"/>
      <c r="J1451" s="19" t="n"/>
      <c r="K1451" s="21" t="n"/>
      <c r="L1451" s="22">
        <f>IF(OR(J1451="",K1451=""),"",J1451*K1451)</f>
        <v/>
      </c>
      <c r="M1451" s="19" t="n"/>
      <c r="N1451" s="20" t="n"/>
      <c r="O1451" s="20" t="n"/>
    </row>
    <row r="1452">
      <c r="A1452" s="16" t="n">
        <v>1449</v>
      </c>
      <c r="B1452" s="16" t="inlineStr">
        <is>
          <t>2.4.2.2.8</t>
        </is>
      </c>
      <c r="C1452" s="18" t="inlineStr">
        <is>
          <t>Part 2 – Technical Systems</t>
        </is>
      </c>
      <c r="D1452" s="18" t="inlineStr">
        <is>
          <t>2.4 INTEGRATION WITH MOI FIELD SYSTEMS / PLATFORMS / APPS</t>
        </is>
      </c>
      <c r="E1452" s="18" t="inlineStr">
        <is>
          <t>2.4.2 FUNCTIONAL REQUIREMENTS</t>
        </is>
      </c>
      <c r="F1452" s="18" t="inlineStr">
        <is>
          <t>Provide for sending and receiving messages, data, reports and information from the IRMS.</t>
        </is>
      </c>
      <c r="G1452" s="19" t="n"/>
      <c r="H1452" s="20" t="n"/>
      <c r="I1452" s="20" t="n"/>
      <c r="J1452" s="19" t="n"/>
      <c r="K1452" s="21" t="n"/>
      <c r="L1452" s="22">
        <f>IF(OR(J1452="",K1452=""),"",J1452*K1452)</f>
        <v/>
      </c>
      <c r="M1452" s="19" t="n"/>
      <c r="N1452" s="20" t="n"/>
      <c r="O1452" s="20" t="n"/>
    </row>
    <row r="1453">
      <c r="A1453" s="23" t="n">
        <v>1450</v>
      </c>
      <c r="B1453" s="23" t="inlineStr">
        <is>
          <t>2.4.2.2.9</t>
        </is>
      </c>
      <c r="C1453" s="25" t="inlineStr">
        <is>
          <t>Part 2 – Technical Systems</t>
        </is>
      </c>
      <c r="D1453" s="25" t="inlineStr">
        <is>
          <t>2.4 INTEGRATION WITH MOI FIELD SYSTEMS / PLATFORMS / APPS</t>
        </is>
      </c>
      <c r="E1453" s="25" t="inlineStr">
        <is>
          <t>2.4.2 FUNCTIONAL REQUIREMENTS</t>
        </is>
      </c>
      <c r="F1453" s="25" t="inlineStr">
        <is>
          <t>Provide for the ability to send and receive location information.</t>
        </is>
      </c>
      <c r="G1453" s="19" t="n"/>
      <c r="H1453" s="20" t="n"/>
      <c r="I1453" s="20" t="n"/>
      <c r="J1453" s="19" t="n"/>
      <c r="K1453" s="21" t="n"/>
      <c r="L1453" s="22">
        <f>IF(OR(J1453="",K1453=""),"",J1453*K1453)</f>
        <v/>
      </c>
      <c r="M1453" s="19" t="n"/>
      <c r="N1453" s="20" t="n"/>
      <c r="O1453" s="20" t="n"/>
    </row>
    <row r="1454">
      <c r="A1454" s="16" t="n">
        <v>1451</v>
      </c>
      <c r="B1454" s="16" t="inlineStr">
        <is>
          <t>2.4.2.2.10</t>
        </is>
      </c>
      <c r="C1454" s="18" t="inlineStr">
        <is>
          <t>Part 2 – Technical Systems</t>
        </is>
      </c>
      <c r="D1454" s="18" t="inlineStr">
        <is>
          <t>2.4 INTEGRATION WITH MOI FIELD SYSTEMS / PLATFORMS / APPS</t>
        </is>
      </c>
      <c r="E1454" s="18" t="inlineStr">
        <is>
          <t>2.4.2 FUNCTIONAL REQUIREMENTS</t>
        </is>
      </c>
      <c r="F1454" s="18" t="inlineStr">
        <is>
          <t>Provide for the ability to send and receive resource information.</t>
        </is>
      </c>
      <c r="G1454" s="19" t="n"/>
      <c r="H1454" s="20" t="n"/>
      <c r="I1454" s="20" t="n"/>
      <c r="J1454" s="19" t="n"/>
      <c r="K1454" s="21" t="n"/>
      <c r="L1454" s="22">
        <f>IF(OR(J1454="",K1454=""),"",J1454*K1454)</f>
        <v/>
      </c>
      <c r="M1454" s="19" t="n"/>
      <c r="N1454" s="20" t="n"/>
      <c r="O1454" s="20" t="n"/>
    </row>
    <row r="1455">
      <c r="A1455" s="23" t="n">
        <v>1452</v>
      </c>
      <c r="B1455" s="23" t="inlineStr">
        <is>
          <t>2.4.2.2.11</t>
        </is>
      </c>
      <c r="C1455" s="25" t="inlineStr">
        <is>
          <t>Part 2 – Technical Systems</t>
        </is>
      </c>
      <c r="D1455" s="25" t="inlineStr">
        <is>
          <t>2.4 INTEGRATION WITH MOI FIELD SYSTEMS / PLATFORMS / APPS</t>
        </is>
      </c>
      <c r="E1455" s="25" t="inlineStr">
        <is>
          <t>2.4.2 FUNCTIONAL REQUIREMENTS</t>
        </is>
      </c>
      <c r="F1455" s="25" t="inlineStr">
        <is>
          <t>Provide status updates on one or more units, list of active incidents, etc.</t>
        </is>
      </c>
      <c r="G1455" s="19" t="n"/>
      <c r="H1455" s="20" t="n"/>
      <c r="I1455" s="20" t="n"/>
      <c r="J1455" s="19" t="n"/>
      <c r="K1455" s="21" t="n"/>
      <c r="L1455" s="22">
        <f>IF(OR(J1455="",K1455=""),"",J1455*K1455)</f>
        <v/>
      </c>
      <c r="M1455" s="19" t="n"/>
      <c r="N1455" s="20" t="n"/>
      <c r="O1455" s="20" t="n"/>
    </row>
    <row r="1456">
      <c r="A1456" s="16" t="n">
        <v>1453</v>
      </c>
      <c r="B1456" s="16" t="inlineStr">
        <is>
          <t>2.4.2.2.12</t>
        </is>
      </c>
      <c r="C1456" s="18" t="inlineStr">
        <is>
          <t>Part 2 – Technical Systems</t>
        </is>
      </c>
      <c r="D1456" s="18" t="inlineStr">
        <is>
          <t>2.4 INTEGRATION WITH MOI FIELD SYSTEMS / PLATFORMS / APPS</t>
        </is>
      </c>
      <c r="E1456" s="18" t="inlineStr">
        <is>
          <t>2.4.2 FUNCTIONAL REQUIREMENTS</t>
        </is>
      </c>
      <c r="F1456" s="18" t="inlineStr">
        <is>
          <t>Generate queries, view query responses, and manage the response information for person, vehicles, license plates and other authorized types of queries that are available through OSS911 and NIC and other MOI databases that the OSS911 center interfaces to.</t>
        </is>
      </c>
      <c r="G1456" s="19" t="n"/>
      <c r="H1456" s="20" t="n"/>
      <c r="I1456" s="20" t="n"/>
      <c r="J1456" s="19" t="n"/>
      <c r="K1456" s="21" t="n"/>
      <c r="L1456" s="22">
        <f>IF(OR(J1456="",K1456=""),"",J1456*K1456)</f>
        <v/>
      </c>
      <c r="M1456" s="19" t="n"/>
      <c r="N1456" s="20" t="n"/>
      <c r="O1456" s="20" t="n"/>
    </row>
    <row r="1457">
      <c r="A1457" s="23" t="n">
        <v>1454</v>
      </c>
      <c r="B1457" s="23" t="inlineStr">
        <is>
          <t>2.4.2.2.13</t>
        </is>
      </c>
      <c r="C1457" s="25" t="inlineStr">
        <is>
          <t>Part 2 – Technical Systems</t>
        </is>
      </c>
      <c r="D1457" s="25" t="inlineStr">
        <is>
          <t>2.4 INTEGRATION WITH MOI FIELD SYSTEMS / PLATFORMS / APPS</t>
        </is>
      </c>
      <c r="E1457" s="25" t="inlineStr">
        <is>
          <t>2.4.2 FUNCTIONAL REQUIREMENTS</t>
        </is>
      </c>
      <c r="F1457" s="25" t="inlineStr">
        <is>
          <t>Send, receive and display images and video feeds.</t>
        </is>
      </c>
      <c r="G1457" s="19" t="n"/>
      <c r="H1457" s="20" t="n"/>
      <c r="I1457" s="20" t="n"/>
      <c r="J1457" s="19" t="n"/>
      <c r="K1457" s="21" t="n"/>
      <c r="L1457" s="22">
        <f>IF(OR(J1457="",K1457=""),"",J1457*K1457)</f>
        <v/>
      </c>
      <c r="M1457" s="19" t="n"/>
      <c r="N1457" s="20" t="n"/>
      <c r="O1457" s="20" t="n"/>
    </row>
    <row r="1458">
      <c r="A1458" s="16" t="n">
        <v>1455</v>
      </c>
      <c r="B1458" s="16" t="inlineStr">
        <is>
          <t>2.4.2.2.14</t>
        </is>
      </c>
      <c r="C1458" s="18" t="inlineStr">
        <is>
          <t>Part 2 – Technical Systems</t>
        </is>
      </c>
      <c r="D1458" s="18" t="inlineStr">
        <is>
          <t>2.4 INTEGRATION WITH MOI FIELD SYSTEMS / PLATFORMS / APPS</t>
        </is>
      </c>
      <c r="E1458" s="18" t="inlineStr">
        <is>
          <t>2.4.2 FUNCTIONAL REQUIREMENTS</t>
        </is>
      </c>
      <c r="F1458" s="18" t="inlineStr">
        <is>
          <t>The ability to transmit and receive incident information to assigned units and authorized people without having to utilize voice (RF) communications.</t>
        </is>
      </c>
      <c r="G1458" s="19" t="n"/>
      <c r="H1458" s="20" t="n"/>
      <c r="I1458" s="20" t="n"/>
      <c r="J1458" s="19" t="n"/>
      <c r="K1458" s="21" t="n"/>
      <c r="L1458" s="22">
        <f>IF(OR(J1458="",K1458=""),"",J1458*K1458)</f>
        <v/>
      </c>
      <c r="M1458" s="19" t="n"/>
      <c r="N1458" s="20" t="n"/>
      <c r="O1458" s="20" t="n"/>
    </row>
    <row r="1459">
      <c r="A1459" s="23" t="n">
        <v>1456</v>
      </c>
      <c r="B1459" s="24" t="inlineStr">
        <is>
          <t>2.4.2.3</t>
        </is>
      </c>
      <c r="C1459" s="25" t="inlineStr">
        <is>
          <t>Part 2 – Technical Systems</t>
        </is>
      </c>
      <c r="D1459" s="25" t="inlineStr">
        <is>
          <t>2.4 INTEGRATION WITH MOI FIELD SYSTEMS / PLATFORMS / APPS</t>
        </is>
      </c>
      <c r="E1459" s="25" t="inlineStr">
        <is>
          <t>2.4.2 FUNCTIONAL REQUIREMENTS</t>
        </is>
      </c>
      <c r="F1459" s="25" t="inlineStr">
        <is>
          <t>All data messages between dispatch operators and the field shall be logged and tracked (time stamped) and have the receiving and transmitting parties identified and recorded. These text message log files shall be accessible to authorized MOI personnel.</t>
        </is>
      </c>
      <c r="G1459" s="19" t="n"/>
      <c r="H1459" s="20" t="n"/>
      <c r="I1459" s="20" t="n"/>
      <c r="J1459" s="19" t="n"/>
      <c r="K1459" s="21" t="n"/>
      <c r="L1459" s="22">
        <f>IF(OR(J1459="",K1459=""),"",J1459*K1459)</f>
        <v/>
      </c>
      <c r="M1459" s="19" t="n"/>
      <c r="N1459" s="20" t="n"/>
      <c r="O1459" s="20" t="n"/>
    </row>
    <row r="1460">
      <c r="A1460" s="16" t="n">
        <v>1457</v>
      </c>
      <c r="B1460" s="17" t="inlineStr">
        <is>
          <t>2.4.2.4</t>
        </is>
      </c>
      <c r="C1460" s="18" t="inlineStr">
        <is>
          <t>Part 2 – Technical Systems</t>
        </is>
      </c>
      <c r="D1460" s="18" t="inlineStr">
        <is>
          <t>2.4 INTEGRATION WITH MOI FIELD SYSTEMS / PLATFORMS / APPS</t>
        </is>
      </c>
      <c r="E1460" s="18" t="inlineStr">
        <is>
          <t>2.4.2 FUNCTIONAL REQUIREMENTS</t>
        </is>
      </c>
      <c r="F1460" s="18" t="inlineStr">
        <is>
          <t>A solution shall be provided that shall allow the creation and updates of an incident report in to the IRMS from the field.</t>
        </is>
      </c>
      <c r="G1460" s="19" t="n"/>
      <c r="H1460" s="20" t="n"/>
      <c r="I1460" s="20" t="n"/>
      <c r="J1460" s="19" t="n"/>
      <c r="K1460" s="21" t="n"/>
      <c r="L1460" s="22">
        <f>IF(OR(J1460="",K1460=""),"",J1460*K1460)</f>
        <v/>
      </c>
      <c r="M1460" s="19" t="n"/>
      <c r="N1460" s="20" t="n"/>
      <c r="O1460" s="20" t="n"/>
    </row>
    <row r="1461">
      <c r="A1461" s="23" t="n">
        <v>1458</v>
      </c>
      <c r="B1461" s="24" t="inlineStr">
        <is>
          <t>2.5.1.1</t>
        </is>
      </c>
      <c r="C1461" s="25" t="inlineStr">
        <is>
          <t>Part 2 – Technical Systems</t>
        </is>
      </c>
      <c r="D1461" s="25" t="inlineStr">
        <is>
          <t>2.5 INTEGRATION WITH VIDEO MANAGEMENT SYSTEM (VMS) AND VIDEO ANALYTICS (VA)</t>
        </is>
      </c>
      <c r="E1461" s="25" t="inlineStr">
        <is>
          <t>—</t>
        </is>
      </c>
      <c r="F1461" s="25" t="inlineStr">
        <is>
          <t>The CONTRACTOR shall implement all requirements in this section with the understanding that:</t>
        </is>
      </c>
      <c r="G1461" s="19" t="n"/>
      <c r="H1461" s="20" t="n"/>
      <c r="I1461" s="20" t="n"/>
      <c r="J1461" s="19" t="n"/>
      <c r="K1461" s="21" t="n"/>
      <c r="L1461" s="22">
        <f>IF(OR(J1461="",K1461=""),"",J1461*K1461)</f>
        <v/>
      </c>
      <c r="M1461" s="19" t="n"/>
      <c r="N1461" s="20" t="n"/>
      <c r="O1461" s="20" t="n"/>
    </row>
    <row r="1462">
      <c r="A1462" s="16" t="n">
        <v>1459</v>
      </c>
      <c r="B1462" s="16" t="inlineStr">
        <is>
          <t>2.5.1.1.1</t>
        </is>
      </c>
      <c r="C1462" s="18" t="inlineStr">
        <is>
          <t>Part 2 – Technical Systems</t>
        </is>
      </c>
      <c r="D1462" s="18" t="inlineStr">
        <is>
          <t>2.5 INTEGRATION WITH VIDEO MANAGEMENT SYSTEM (VMS) AND VIDEO ANALYTICS (VA)</t>
        </is>
      </c>
      <c r="E1462" s="18" t="inlineStr">
        <is>
          <t>—</t>
        </is>
      </c>
      <c r="F1462" s="18" t="inlineStr">
        <is>
          <t>Unless otherwise explicitly stated, the phrase “OSS911 center” refers to OSS911 centers in each of the provinces that are included in the scope of this contract.</t>
        </is>
      </c>
      <c r="G1462" s="19" t="n"/>
      <c r="H1462" s="20" t="n"/>
      <c r="I1462" s="20" t="n"/>
      <c r="J1462" s="19" t="n"/>
      <c r="K1462" s="21" t="n"/>
      <c r="L1462" s="22">
        <f>IF(OR(J1462="",K1462=""),"",J1462*K1462)</f>
        <v/>
      </c>
      <c r="M1462" s="19" t="n"/>
      <c r="N1462" s="20" t="n"/>
      <c r="O1462" s="20" t="n"/>
    </row>
    <row r="1463">
      <c r="A1463" s="23" t="n">
        <v>1460</v>
      </c>
      <c r="B1463" s="23" t="inlineStr">
        <is>
          <t>2.5.1.1.2</t>
        </is>
      </c>
      <c r="C1463" s="25" t="inlineStr">
        <is>
          <t>Part 2 – Technical Systems</t>
        </is>
      </c>
      <c r="D1463" s="25" t="inlineStr">
        <is>
          <t>2.5 INTEGRATION WITH VIDEO MANAGEMENT SYSTEM (VMS) AND VIDEO ANALYTICS (VA)</t>
        </is>
      </c>
      <c r="E1463" s="25" t="inlineStr">
        <is>
          <t>—</t>
        </is>
      </c>
      <c r="F1463" s="25" t="inlineStr">
        <is>
          <t>Unless otherwise explicitly stated, the phrases “OSS911 solution” or “OSS911 systems” or “OSS911 subsystems” refer to all the OSS911 systems being delivered by the CONTRACTOR as part of this contract.</t>
        </is>
      </c>
      <c r="G1463" s="19" t="n"/>
      <c r="H1463" s="20" t="n"/>
      <c r="I1463" s="20" t="n"/>
      <c r="J1463" s="19" t="n"/>
      <c r="K1463" s="21" t="n"/>
      <c r="L1463" s="22">
        <f>IF(OR(J1463="",K1463=""),"",J1463*K1463)</f>
        <v/>
      </c>
      <c r="M1463" s="19" t="n"/>
      <c r="N1463" s="20" t="n"/>
      <c r="O1463" s="20" t="n"/>
    </row>
    <row r="1464">
      <c r="A1464" s="16" t="n">
        <v>1461</v>
      </c>
      <c r="B1464" s="16" t="inlineStr">
        <is>
          <t>2.5.1.1.3</t>
        </is>
      </c>
      <c r="C1464" s="18" t="inlineStr">
        <is>
          <t>Part 2 – Technical Systems</t>
        </is>
      </c>
      <c r="D1464" s="18" t="inlineStr">
        <is>
          <t>2.5 INTEGRATION WITH VIDEO MANAGEMENT SYSTEM (VMS) AND VIDEO ANALYTICS (VA)</t>
        </is>
      </c>
      <c r="E1464" s="18" t="inlineStr">
        <is>
          <t>—</t>
        </is>
      </c>
      <c r="F1464" s="18" t="inlineStr">
        <is>
          <t>Unless otherwise explicitly stated, the word “data” in this document includes all types of data including voice, text, video and SMS.</t>
        </is>
      </c>
      <c r="G1464" s="19" t="n"/>
      <c r="H1464" s="20" t="n"/>
      <c r="I1464" s="20" t="n"/>
      <c r="J1464" s="19" t="n"/>
      <c r="K1464" s="21" t="n"/>
      <c r="L1464" s="22">
        <f>IF(OR(J1464="",K1464=""),"",J1464*K1464)</f>
        <v/>
      </c>
      <c r="M1464" s="19" t="n"/>
      <c r="N1464" s="20" t="n"/>
      <c r="O1464" s="20" t="n"/>
    </row>
    <row r="1465">
      <c r="A1465" s="23" t="n">
        <v>1462</v>
      </c>
      <c r="B1465" s="24" t="inlineStr">
        <is>
          <t>2.5.1.2</t>
        </is>
      </c>
      <c r="C1465" s="25" t="inlineStr">
        <is>
          <t>Part 2 – Technical Systems</t>
        </is>
      </c>
      <c r="D1465" s="25" t="inlineStr">
        <is>
          <t>2.5 INTEGRATION WITH VIDEO MANAGEMENT SYSTEM (VMS) AND VIDEO ANALYTICS (VA)</t>
        </is>
      </c>
      <c r="E1465" s="25" t="inlineStr">
        <is>
          <t>—</t>
        </is>
      </c>
      <c r="F1465" s="25" t="inlineStr">
        <is>
          <t>The CONTRACTOR shall deliver all the requirements of this section that are fully compliant to the concept of operations requirements stated in this RFP.</t>
        </is>
      </c>
      <c r="G1465" s="19" t="n"/>
      <c r="H1465" s="20" t="n"/>
      <c r="I1465" s="20" t="n"/>
      <c r="J1465" s="19" t="n"/>
      <c r="K1465" s="21" t="n"/>
      <c r="L1465" s="22">
        <f>IF(OR(J1465="",K1465=""),"",J1465*K1465)</f>
        <v/>
      </c>
      <c r="M1465" s="19" t="n"/>
      <c r="N1465" s="20" t="n"/>
      <c r="O1465" s="20" t="n"/>
    </row>
    <row r="1466">
      <c r="A1466" s="16" t="n">
        <v>1463</v>
      </c>
      <c r="B1466" s="17" t="inlineStr">
        <is>
          <t>2.5.1.3</t>
        </is>
      </c>
      <c r="C1466" s="18" t="inlineStr">
        <is>
          <t>Part 2 – Technical Systems</t>
        </is>
      </c>
      <c r="D1466" s="18" t="inlineStr">
        <is>
          <t>2.5 INTEGRATION WITH VIDEO MANAGEMENT SYSTEM (VMS) AND VIDEO ANALYTICS (VA)</t>
        </is>
      </c>
      <c r="E1466" s="18" t="inlineStr">
        <is>
          <t>—</t>
        </is>
      </c>
      <c r="F1466" s="18" t="inlineStr">
        <is>
          <t>The CONTRACTOR shall deliver OSS911 solutions that are integrated with the MOI provided VMS and VA to provide the following capabilities:</t>
        </is>
      </c>
      <c r="G1466" s="19" t="n"/>
      <c r="H1466" s="20" t="n"/>
      <c r="I1466" s="20" t="n"/>
      <c r="J1466" s="19" t="n"/>
      <c r="K1466" s="21" t="n"/>
      <c r="L1466" s="22">
        <f>IF(OR(J1466="",K1466=""),"",J1466*K1466)</f>
        <v/>
      </c>
      <c r="M1466" s="19" t="n"/>
      <c r="N1466" s="20" t="n"/>
      <c r="O1466" s="20" t="n"/>
    </row>
    <row r="1467">
      <c r="A1467" s="23" t="n">
        <v>1464</v>
      </c>
      <c r="B1467" s="23" t="inlineStr">
        <is>
          <t>2.5.1.3.1</t>
        </is>
      </c>
      <c r="C1467" s="25" t="inlineStr">
        <is>
          <t>Part 2 – Technical Systems</t>
        </is>
      </c>
      <c r="D1467" s="25" t="inlineStr">
        <is>
          <t>2.5 INTEGRATION WITH VIDEO MANAGEMENT SYSTEM (VMS) AND VIDEO ANALYTICS (VA)</t>
        </is>
      </c>
      <c r="E1467" s="25" t="inlineStr">
        <is>
          <t>—</t>
        </is>
      </c>
      <c r="F1467" s="25" t="inlineStr">
        <is>
          <t>Display to the user which cameras were viewing a location at a given time</t>
        </is>
      </c>
      <c r="G1467" s="19" t="n"/>
      <c r="H1467" s="20" t="n"/>
      <c r="I1467" s="20" t="n"/>
      <c r="J1467" s="19" t="n"/>
      <c r="K1467" s="21" t="n"/>
      <c r="L1467" s="22">
        <f>IF(OR(J1467="",K1467=""),"",J1467*K1467)</f>
        <v/>
      </c>
      <c r="M1467" s="19" t="n"/>
      <c r="N1467" s="20" t="n"/>
      <c r="O1467" s="20" t="n"/>
    </row>
    <row r="1468">
      <c r="A1468" s="16" t="n">
        <v>1465</v>
      </c>
      <c r="B1468" s="16" t="inlineStr">
        <is>
          <t>2.5.1.3.2</t>
        </is>
      </c>
      <c r="C1468" s="18" t="inlineStr">
        <is>
          <t>Part 2 – Technical Systems</t>
        </is>
      </c>
      <c r="D1468" s="18" t="inlineStr">
        <is>
          <t>2.5 INTEGRATION WITH VIDEO MANAGEMENT SYSTEM (VMS) AND VIDEO ANALYTICS (VA)</t>
        </is>
      </c>
      <c r="E1468" s="18" t="inlineStr">
        <is>
          <t>—</t>
        </is>
      </c>
      <c r="F1468" s="18" t="inlineStr">
        <is>
          <t>Lock a camera before a user can control the pan, tilt, or zoom of a camera in order to prevent another user from controlling it</t>
        </is>
      </c>
      <c r="G1468" s="19" t="n"/>
      <c r="H1468" s="20" t="n"/>
      <c r="I1468" s="20" t="n"/>
      <c r="J1468" s="19" t="n"/>
      <c r="K1468" s="21" t="n"/>
      <c r="L1468" s="22">
        <f>IF(OR(J1468="",K1468=""),"",J1468*K1468)</f>
        <v/>
      </c>
      <c r="M1468" s="19" t="n"/>
      <c r="N1468" s="20" t="n"/>
      <c r="O1468" s="20" t="n"/>
    </row>
    <row r="1469">
      <c r="A1469" s="23" t="n">
        <v>1466</v>
      </c>
      <c r="B1469" s="23" t="inlineStr">
        <is>
          <t>2.5.1.3.3</t>
        </is>
      </c>
      <c r="C1469" s="25" t="inlineStr">
        <is>
          <t>Part 2 – Technical Systems</t>
        </is>
      </c>
      <c r="D1469" s="25" t="inlineStr">
        <is>
          <t>2.5 INTEGRATION WITH VIDEO MANAGEMENT SYSTEM (VMS) AND VIDEO ANALYTICS (VA)</t>
        </is>
      </c>
      <c r="E1469" s="25" t="inlineStr">
        <is>
          <t>—</t>
        </is>
      </c>
      <c r="F1469" s="25" t="inlineStr">
        <is>
          <t>Keep historical record of camera locks</t>
        </is>
      </c>
      <c r="G1469" s="19" t="n"/>
      <c r="H1469" s="20" t="n"/>
      <c r="I1469" s="20" t="n"/>
      <c r="J1469" s="19" t="n"/>
      <c r="K1469" s="21" t="n"/>
      <c r="L1469" s="22">
        <f>IF(OR(J1469="",K1469=""),"",J1469*K1469)</f>
        <v/>
      </c>
      <c r="M1469" s="19" t="n"/>
      <c r="N1469" s="20" t="n"/>
      <c r="O1469" s="20" t="n"/>
    </row>
    <row r="1470">
      <c r="A1470" s="16" t="n">
        <v>1467</v>
      </c>
      <c r="B1470" s="16" t="inlineStr">
        <is>
          <t>2.5.1.3.4</t>
        </is>
      </c>
      <c r="C1470" s="18" t="inlineStr">
        <is>
          <t>Part 2 – Technical Systems</t>
        </is>
      </c>
      <c r="D1470" s="18" t="inlineStr">
        <is>
          <t>2.5 INTEGRATION WITH VIDEO MANAGEMENT SYSTEM (VMS) AND VIDEO ANALYTICS (VA)</t>
        </is>
      </c>
      <c r="E1470" s="18" t="inlineStr">
        <is>
          <t>—</t>
        </is>
      </c>
      <c r="F1470" s="18" t="inlineStr">
        <is>
          <t>Identify to other users which user has locked a camera</t>
        </is>
      </c>
      <c r="G1470" s="19" t="n"/>
      <c r="H1470" s="20" t="n"/>
      <c r="I1470" s="20" t="n"/>
      <c r="J1470" s="19" t="n"/>
      <c r="K1470" s="21" t="n"/>
      <c r="L1470" s="22">
        <f>IF(OR(J1470="",K1470=""),"",J1470*K1470)</f>
        <v/>
      </c>
      <c r="M1470" s="19" t="n"/>
      <c r="N1470" s="20" t="n"/>
      <c r="O1470" s="20" t="n"/>
    </row>
    <row r="1471">
      <c r="A1471" s="23" t="n">
        <v>1468</v>
      </c>
      <c r="B1471" s="23" t="inlineStr">
        <is>
          <t>2.5.1.3.5</t>
        </is>
      </c>
      <c r="C1471" s="25" t="inlineStr">
        <is>
          <t>Part 2 – Technical Systems</t>
        </is>
      </c>
      <c r="D1471" s="25" t="inlineStr">
        <is>
          <t>2.5 INTEGRATION WITH VIDEO MANAGEMENT SYSTEM (VMS) AND VIDEO ANALYTICS (VA)</t>
        </is>
      </c>
      <c r="E1471" s="25" t="inlineStr">
        <is>
          <t>—</t>
        </is>
      </c>
      <c r="F1471" s="25" t="inlineStr">
        <is>
          <t>Request a camera lock</t>
        </is>
      </c>
      <c r="G1471" s="19" t="n"/>
      <c r="H1471" s="20" t="n"/>
      <c r="I1471" s="20" t="n"/>
      <c r="J1471" s="19" t="n"/>
      <c r="K1471" s="21" t="n"/>
      <c r="L1471" s="22">
        <f>IF(OR(J1471="",K1471=""),"",J1471*K1471)</f>
        <v/>
      </c>
      <c r="M1471" s="19" t="n"/>
      <c r="N1471" s="20" t="n"/>
      <c r="O1471" s="20" t="n"/>
    </row>
    <row r="1472">
      <c r="A1472" s="16" t="n">
        <v>1469</v>
      </c>
      <c r="B1472" s="16" t="inlineStr">
        <is>
          <t>2.5.1.3.6</t>
        </is>
      </c>
      <c r="C1472" s="18" t="inlineStr">
        <is>
          <t>Part 2 – Technical Systems</t>
        </is>
      </c>
      <c r="D1472" s="18" t="inlineStr">
        <is>
          <t>2.5 INTEGRATION WITH VIDEO MANAGEMENT SYSTEM (VMS) AND VIDEO ANALYTICS (VA)</t>
        </is>
      </c>
      <c r="E1472" s="18" t="inlineStr">
        <is>
          <t>—</t>
        </is>
      </c>
      <c r="F1472" s="18" t="inlineStr">
        <is>
          <t>Notify to users of another user requesting a camera lock</t>
        </is>
      </c>
      <c r="G1472" s="19" t="n"/>
      <c r="H1472" s="20" t="n"/>
      <c r="I1472" s="20" t="n"/>
      <c r="J1472" s="19" t="n"/>
      <c r="K1472" s="21" t="n"/>
      <c r="L1472" s="22">
        <f>IF(OR(J1472="",K1472=""),"",J1472*K1472)</f>
        <v/>
      </c>
      <c r="M1472" s="19" t="n"/>
      <c r="N1472" s="20" t="n"/>
      <c r="O1472" s="20" t="n"/>
    </row>
    <row r="1473">
      <c r="A1473" s="23" t="n">
        <v>1470</v>
      </c>
      <c r="B1473" s="23" t="inlineStr">
        <is>
          <t>2.5.1.3.7</t>
        </is>
      </c>
      <c r="C1473" s="25" t="inlineStr">
        <is>
          <t>Part 2 – Technical Systems</t>
        </is>
      </c>
      <c r="D1473" s="25" t="inlineStr">
        <is>
          <t>2.5 INTEGRATION WITH VIDEO MANAGEMENT SYSTEM (VMS) AND VIDEO ANALYTICS (VA)</t>
        </is>
      </c>
      <c r="E1473" s="25" t="inlineStr">
        <is>
          <t>—</t>
        </is>
      </c>
      <c r="F1473" s="25" t="inlineStr">
        <is>
          <t>Unlock a camera, or override the lock on a camera</t>
        </is>
      </c>
      <c r="G1473" s="19" t="n"/>
      <c r="H1473" s="20" t="n"/>
      <c r="I1473" s="20" t="n"/>
      <c r="J1473" s="19" t="n"/>
      <c r="K1473" s="21" t="n"/>
      <c r="L1473" s="22">
        <f>IF(OR(J1473="",K1473=""),"",J1473*K1473)</f>
        <v/>
      </c>
      <c r="M1473" s="19" t="n"/>
      <c r="N1473" s="20" t="n"/>
      <c r="O1473" s="20" t="n"/>
    </row>
    <row r="1474">
      <c r="A1474" s="16" t="n">
        <v>1471</v>
      </c>
      <c r="B1474" s="16" t="inlineStr">
        <is>
          <t>2.5.1.3.8</t>
        </is>
      </c>
      <c r="C1474" s="18" t="inlineStr">
        <is>
          <t>Part 2 – Technical Systems</t>
        </is>
      </c>
      <c r="D1474" s="18" t="inlineStr">
        <is>
          <t>2.5 INTEGRATION WITH VIDEO MANAGEMENT SYSTEM (VMS) AND VIDEO ANALYTICS (VA)</t>
        </is>
      </c>
      <c r="E1474" s="18" t="inlineStr">
        <is>
          <t>—</t>
        </is>
      </c>
      <c r="F1474" s="18" t="inlineStr">
        <is>
          <t>A capability such that the mapping window shows the installed cameras on the map, further to the availability of the camera location data.</t>
        </is>
      </c>
      <c r="G1474" s="19" t="n"/>
      <c r="H1474" s="20" t="n"/>
      <c r="I1474" s="20" t="n"/>
      <c r="J1474" s="19" t="n"/>
      <c r="K1474" s="21" t="n"/>
      <c r="L1474" s="22">
        <f>IF(OR(J1474="",K1474=""),"",J1474*K1474)</f>
        <v/>
      </c>
      <c r="M1474" s="19" t="n"/>
      <c r="N1474" s="20" t="n"/>
      <c r="O1474" s="20" t="n"/>
    </row>
    <row r="1475">
      <c r="A1475" s="23" t="n">
        <v>1472</v>
      </c>
      <c r="B1475" s="23" t="inlineStr">
        <is>
          <t>2.5.1.3.9</t>
        </is>
      </c>
      <c r="C1475" s="25" t="inlineStr">
        <is>
          <t>Part 2 – Technical Systems</t>
        </is>
      </c>
      <c r="D1475" s="25" t="inlineStr">
        <is>
          <t>2.5 INTEGRATION WITH VIDEO MANAGEMENT SYSTEM (VMS) AND VIDEO ANALYTICS (VA)</t>
        </is>
      </c>
      <c r="E1475" s="25" t="inlineStr">
        <is>
          <t>—</t>
        </is>
      </c>
      <c r="F1475" s="25" t="inlineStr">
        <is>
          <t>A capability such that an operator is able to click on one or more cameras in the vicinity of an incident, whether the camera is fixed or is mobile, and able to obtain see the field of view of the cameras on the map shown in the mapping window.</t>
        </is>
      </c>
      <c r="G1475" s="19" t="n"/>
      <c r="H1475" s="20" t="n"/>
      <c r="I1475" s="20" t="n"/>
      <c r="J1475" s="19" t="n"/>
      <c r="K1475" s="21" t="n"/>
      <c r="L1475" s="22">
        <f>IF(OR(J1475="",K1475=""),"",J1475*K1475)</f>
        <v/>
      </c>
      <c r="M1475" s="19" t="n"/>
      <c r="N1475" s="20" t="n"/>
      <c r="O1475" s="20" t="n"/>
    </row>
    <row r="1476">
      <c r="A1476" s="16" t="n">
        <v>1473</v>
      </c>
      <c r="B1476" s="16" t="inlineStr">
        <is>
          <t>2.5.1.3.10</t>
        </is>
      </c>
      <c r="C1476" s="18" t="inlineStr">
        <is>
          <t>Part 2 – Technical Systems</t>
        </is>
      </c>
      <c r="D1476" s="18" t="inlineStr">
        <is>
          <t>2.5 INTEGRATION WITH VIDEO MANAGEMENT SYSTEM (VMS) AND VIDEO ANALYTICS (VA)</t>
        </is>
      </c>
      <c r="E1476" s="18" t="inlineStr">
        <is>
          <t>—</t>
        </is>
      </c>
      <c r="F1476" s="18" t="inlineStr">
        <is>
          <t>A capability such that an operator is able to click on one or more cameras in the vicinity of an incident, whether the camera is fixed or is mobile, and able to obtain live feed at various resolutions from the cameras, based on the resolutions supported by the cameras.</t>
        </is>
      </c>
      <c r="G1476" s="19" t="n"/>
      <c r="H1476" s="20" t="n"/>
      <c r="I1476" s="20" t="n"/>
      <c r="J1476" s="19" t="n"/>
      <c r="K1476" s="21" t="n"/>
      <c r="L1476" s="22">
        <f>IF(OR(J1476="",K1476=""),"",J1476*K1476)</f>
        <v/>
      </c>
      <c r="M1476" s="19" t="n"/>
      <c r="N1476" s="20" t="n"/>
      <c r="O1476" s="20" t="n"/>
    </row>
    <row r="1477">
      <c r="A1477" s="23" t="n">
        <v>1474</v>
      </c>
      <c r="B1477" s="23" t="inlineStr">
        <is>
          <t>2.5.1.3.11</t>
        </is>
      </c>
      <c r="C1477" s="25" t="inlineStr">
        <is>
          <t>Part 2 – Technical Systems</t>
        </is>
      </c>
      <c r="D1477" s="25" t="inlineStr">
        <is>
          <t>2.5 INTEGRATION WITH VIDEO MANAGEMENT SYSTEM (VMS) AND VIDEO ANALYTICS (VA)</t>
        </is>
      </c>
      <c r="E1477" s="25" t="inlineStr">
        <is>
          <t>—</t>
        </is>
      </c>
      <c r="F1477" s="25" t="inlineStr">
        <is>
          <t>A capability such that an operator is able to click on one or more cameras in the vicinity of an incident, whether the camera is fixed or is mobile, and able to control pan, tilt and zoom of the cameras if the cameras allow pan, tilt and zoom.</t>
        </is>
      </c>
      <c r="G1477" s="19" t="n"/>
      <c r="H1477" s="20" t="n"/>
      <c r="I1477" s="20" t="n"/>
      <c r="J1477" s="19" t="n"/>
      <c r="K1477" s="21" t="n"/>
      <c r="L1477" s="22">
        <f>IF(OR(J1477="",K1477=""),"",J1477*K1477)</f>
        <v/>
      </c>
      <c r="M1477" s="19" t="n"/>
      <c r="N1477" s="20" t="n"/>
      <c r="O1477" s="20" t="n"/>
    </row>
    <row r="1478">
      <c r="A1478" s="16" t="n">
        <v>1475</v>
      </c>
      <c r="B1478" s="16" t="inlineStr">
        <is>
          <t>2.5.1.3.12</t>
        </is>
      </c>
      <c r="C1478" s="18" t="inlineStr">
        <is>
          <t>Part 2 – Technical Systems</t>
        </is>
      </c>
      <c r="D1478" s="18" t="inlineStr">
        <is>
          <t>2.5 INTEGRATION WITH VIDEO MANAGEMENT SYSTEM (VMS) AND VIDEO ANALYTICS (VA)</t>
        </is>
      </c>
      <c r="E1478" s="18" t="inlineStr">
        <is>
          <t>—</t>
        </is>
      </c>
      <c r="F1478" s="18" t="inlineStr">
        <is>
          <t>A capability such that an operator is able to click on one or more cameras in the vicinity of an incident, whether the camera is fixed or is mobile, and able to playback and capture video feeds stored in cameras should the cameras have video recorders installed with them.</t>
        </is>
      </c>
      <c r="G1478" s="19" t="n"/>
      <c r="H1478" s="20" t="n"/>
      <c r="I1478" s="20" t="n"/>
      <c r="J1478" s="19" t="n"/>
      <c r="K1478" s="21" t="n"/>
      <c r="L1478" s="22">
        <f>IF(OR(J1478="",K1478=""),"",J1478*K1478)</f>
        <v/>
      </c>
      <c r="M1478" s="19" t="n"/>
      <c r="N1478" s="20" t="n"/>
      <c r="O1478" s="20" t="n"/>
    </row>
    <row r="1479">
      <c r="A1479" s="23" t="n">
        <v>1476</v>
      </c>
      <c r="B1479" s="23" t="inlineStr">
        <is>
          <t>2.5.1.3.13</t>
        </is>
      </c>
      <c r="C1479" s="25" t="inlineStr">
        <is>
          <t>Part 2 – Technical Systems</t>
        </is>
      </c>
      <c r="D1479" s="25" t="inlineStr">
        <is>
          <t>2.5 INTEGRATION WITH VIDEO MANAGEMENT SYSTEM (VMS) AND VIDEO ANALYTICS (VA)</t>
        </is>
      </c>
      <c r="E1479" s="25" t="inlineStr">
        <is>
          <t>—</t>
        </is>
      </c>
      <c r="F1479" s="25" t="inlineStr">
        <is>
          <t>A capability such that an operator is able to click on one or more cameras in the vicinity of an incident, whether the camera is fixed or is mobile, and able to obtain live feed from the cameras equipped with number plate recognition feature that then populates the OSS911 systems with the vehicle number plate information in the appropriate field.</t>
        </is>
      </c>
      <c r="G1479" s="19" t="n"/>
      <c r="H1479" s="20" t="n"/>
      <c r="I1479" s="20" t="n"/>
      <c r="J1479" s="19" t="n"/>
      <c r="K1479" s="21" t="n"/>
      <c r="L1479" s="22">
        <f>IF(OR(J1479="",K1479=""),"",J1479*K1479)</f>
        <v/>
      </c>
      <c r="M1479" s="19" t="n"/>
      <c r="N1479" s="20" t="n"/>
      <c r="O1479" s="20" t="n"/>
    </row>
    <row r="1480">
      <c r="A1480" s="16" t="n">
        <v>1477</v>
      </c>
      <c r="B1480" s="16" t="inlineStr">
        <is>
          <t>2.5.1.3.14</t>
        </is>
      </c>
      <c r="C1480" s="18" t="inlineStr">
        <is>
          <t>Part 2 – Technical Systems</t>
        </is>
      </c>
      <c r="D1480" s="18" t="inlineStr">
        <is>
          <t>2.5 INTEGRATION WITH VIDEO MANAGEMENT SYSTEM (VMS) AND VIDEO ANALYTICS (VA)</t>
        </is>
      </c>
      <c r="E1480" s="18" t="inlineStr">
        <is>
          <t>—</t>
        </is>
      </c>
      <c r="F1480" s="18" t="inlineStr">
        <is>
          <t>The capability to play live video from any camera by clicking on the camera icon on the displayed map.</t>
        </is>
      </c>
      <c r="G1480" s="19" t="n"/>
      <c r="H1480" s="20" t="n"/>
      <c r="I1480" s="20" t="n"/>
      <c r="J1480" s="19" t="n"/>
      <c r="K1480" s="21" t="n"/>
      <c r="L1480" s="22">
        <f>IF(OR(J1480="",K1480=""),"",J1480*K1480)</f>
        <v/>
      </c>
      <c r="M1480" s="19" t="n"/>
      <c r="N1480" s="20" t="n"/>
      <c r="O1480" s="20" t="n"/>
    </row>
    <row r="1481">
      <c r="A1481" s="23" t="n">
        <v>1478</v>
      </c>
      <c r="B1481" s="23" t="inlineStr">
        <is>
          <t>2.5.1.3.15</t>
        </is>
      </c>
      <c r="C1481" s="25" t="inlineStr">
        <is>
          <t>Part 2 – Technical Systems</t>
        </is>
      </c>
      <c r="D1481" s="25" t="inlineStr">
        <is>
          <t>2.5 INTEGRATION WITH VIDEO MANAGEMENT SYSTEM (VMS) AND VIDEO ANALYTICS (VA)</t>
        </is>
      </c>
      <c r="E1481" s="25" t="inlineStr">
        <is>
          <t>—</t>
        </is>
      </c>
      <c r="F1481" s="25" t="inlineStr">
        <is>
          <t>A capability such that the mapping window shows the installed cameras on the map.</t>
        </is>
      </c>
      <c r="G1481" s="19" t="n"/>
      <c r="H1481" s="20" t="n"/>
      <c r="I1481" s="20" t="n"/>
      <c r="J1481" s="19" t="n"/>
      <c r="K1481" s="21" t="n"/>
      <c r="L1481" s="22">
        <f>IF(OR(J1481="",K1481=""),"",J1481*K1481)</f>
        <v/>
      </c>
      <c r="M1481" s="19" t="n"/>
      <c r="N1481" s="20" t="n"/>
      <c r="O1481" s="20" t="n"/>
    </row>
    <row r="1482">
      <c r="A1482" s="16" t="n">
        <v>1479</v>
      </c>
      <c r="B1482" s="16" t="inlineStr">
        <is>
          <t>2.5.1.3.16</t>
        </is>
      </c>
      <c r="C1482" s="18" t="inlineStr">
        <is>
          <t>Part 2 – Technical Systems</t>
        </is>
      </c>
      <c r="D1482" s="18" t="inlineStr">
        <is>
          <t>2.5 INTEGRATION WITH VIDEO MANAGEMENT SYSTEM (VMS) AND VIDEO ANALYTICS (VA)</t>
        </is>
      </c>
      <c r="E1482" s="18" t="inlineStr">
        <is>
          <t>—</t>
        </is>
      </c>
      <c r="F1482" s="18" t="inlineStr">
        <is>
          <t>A capability to integrate such that there is a trust for users between the systems so that the authorized end-users are able to access both the systems and network connections such that all the traffic that is required for this integration is permitted.</t>
        </is>
      </c>
      <c r="G1482" s="19" t="n"/>
      <c r="H1482" s="20" t="n"/>
      <c r="I1482" s="20" t="n"/>
      <c r="J1482" s="19" t="n"/>
      <c r="K1482" s="21" t="n"/>
      <c r="L1482" s="22">
        <f>IF(OR(J1482="",K1482=""),"",J1482*K1482)</f>
        <v/>
      </c>
      <c r="M1482" s="19" t="n"/>
      <c r="N1482" s="20" t="n"/>
      <c r="O1482" s="20" t="n"/>
    </row>
    <row r="1483">
      <c r="A1483" s="23" t="n">
        <v>1480</v>
      </c>
      <c r="B1483" s="23" t="inlineStr">
        <is>
          <t>2.5.1.3.17</t>
        </is>
      </c>
      <c r="C1483" s="25" t="inlineStr">
        <is>
          <t>Part 2 – Technical Systems</t>
        </is>
      </c>
      <c r="D1483" s="25" t="inlineStr">
        <is>
          <t>2.5 INTEGRATION WITH VIDEO MANAGEMENT SYSTEM (VMS) AND VIDEO ANALYTICS (VA)</t>
        </is>
      </c>
      <c r="E1483" s="25" t="inlineStr">
        <is>
          <t>—</t>
        </is>
      </c>
      <c r="F1483" s="25" t="inlineStr">
        <is>
          <t>Once sufficient location information has been entered into the incident report (either manually or automatically), the location of the incident shall be displayed with all cameras located within a configurable incident radius on a map in all directions.</t>
        </is>
      </c>
      <c r="G1483" s="19" t="n"/>
      <c r="H1483" s="20" t="n"/>
      <c r="I1483" s="20" t="n"/>
      <c r="J1483" s="19" t="n"/>
      <c r="K1483" s="21" t="n"/>
      <c r="L1483" s="22">
        <f>IF(OR(J1483="",K1483=""),"",J1483*K1483)</f>
        <v/>
      </c>
      <c r="M1483" s="19" t="n"/>
      <c r="N1483" s="20" t="n"/>
      <c r="O1483" s="20" t="n"/>
    </row>
    <row r="1484">
      <c r="A1484" s="16" t="n">
        <v>1481</v>
      </c>
      <c r="B1484" s="16" t="inlineStr">
        <is>
          <t>2.5.1.3.18</t>
        </is>
      </c>
      <c r="C1484" s="18" t="inlineStr">
        <is>
          <t>Part 2 – Technical Systems</t>
        </is>
      </c>
      <c r="D1484" s="18" t="inlineStr">
        <is>
          <t>2.5 INTEGRATION WITH VIDEO MANAGEMENT SYSTEM (VMS) AND VIDEO ANALYTICS (VA)</t>
        </is>
      </c>
      <c r="E1484" s="18" t="inlineStr">
        <is>
          <t>—</t>
        </is>
      </c>
      <c r="F1484" s="18" t="inlineStr">
        <is>
          <t>The capability to indicate to the user those cameras that are able to viewed at that location.</t>
        </is>
      </c>
      <c r="G1484" s="19" t="n"/>
      <c r="H1484" s="20" t="n"/>
      <c r="I1484" s="20" t="n"/>
      <c r="J1484" s="19" t="n"/>
      <c r="K1484" s="21" t="n"/>
      <c r="L1484" s="22">
        <f>IF(OR(J1484="",K1484=""),"",J1484*K1484)</f>
        <v/>
      </c>
      <c r="M1484" s="19" t="n"/>
      <c r="N1484" s="20" t="n"/>
      <c r="O1484" s="20" t="n"/>
    </row>
    <row r="1485">
      <c r="A1485" s="23" t="n">
        <v>1482</v>
      </c>
      <c r="B1485" s="23" t="inlineStr">
        <is>
          <t>2.5.1.3.19</t>
        </is>
      </c>
      <c r="C1485" s="25" t="inlineStr">
        <is>
          <t>Part 2 – Technical Systems</t>
        </is>
      </c>
      <c r="D1485" s="25" t="inlineStr">
        <is>
          <t>2.5 INTEGRATION WITH VIDEO MANAGEMENT SYSTEM (VMS) AND VIDEO ANALYTICS (VA)</t>
        </is>
      </c>
      <c r="E1485" s="25" t="inlineStr">
        <is>
          <t>—</t>
        </is>
      </c>
      <c r="F1485" s="25" t="inlineStr">
        <is>
          <t>The capability to display the active “field-of-view” (FOV) of each camera, that is within a configurable distance of the incident location.</t>
        </is>
      </c>
      <c r="G1485" s="19" t="n"/>
      <c r="H1485" s="20" t="n"/>
      <c r="I1485" s="20" t="n"/>
      <c r="J1485" s="19" t="n"/>
      <c r="K1485" s="21" t="n"/>
      <c r="L1485" s="22">
        <f>IF(OR(J1485="",K1485=""),"",J1485*K1485)</f>
        <v/>
      </c>
      <c r="M1485" s="19" t="n"/>
      <c r="N1485" s="20" t="n"/>
      <c r="O1485" s="20" t="n"/>
    </row>
    <row r="1486">
      <c r="A1486" s="16" t="n">
        <v>1483</v>
      </c>
      <c r="B1486" s="16" t="inlineStr">
        <is>
          <t>2.5.1.3.20</t>
        </is>
      </c>
      <c r="C1486" s="18" t="inlineStr">
        <is>
          <t>Part 2 – Technical Systems</t>
        </is>
      </c>
      <c r="D1486" s="18" t="inlineStr">
        <is>
          <t>2.5 INTEGRATION WITH VIDEO MANAGEMENT SYSTEM (VMS) AND VIDEO ANALYTICS (VA)</t>
        </is>
      </c>
      <c r="E1486" s="18" t="inlineStr">
        <is>
          <t>—</t>
        </is>
      </c>
      <c r="F1486" s="18" t="inlineStr">
        <is>
          <t>The capability to display the available “field-of-view” (FOV) of each camera, that is within a configurable distance of the incident location. The available field-of-view is that area which the camera could view, even if it is not viewing that area now.</t>
        </is>
      </c>
      <c r="G1486" s="19" t="n"/>
      <c r="H1486" s="20" t="n"/>
      <c r="I1486" s="20" t="n"/>
      <c r="J1486" s="19" t="n"/>
      <c r="K1486" s="21" t="n"/>
      <c r="L1486" s="22">
        <f>IF(OR(J1486="",K1486=""),"",J1486*K1486)</f>
        <v/>
      </c>
      <c r="M1486" s="19" t="n"/>
      <c r="N1486" s="20" t="n"/>
      <c r="O1486" s="20" t="n"/>
    </row>
    <row r="1487">
      <c r="A1487" s="23" t="n">
        <v>1484</v>
      </c>
      <c r="B1487" s="23" t="inlineStr">
        <is>
          <t>2.5.1.3.21</t>
        </is>
      </c>
      <c r="C1487" s="25" t="inlineStr">
        <is>
          <t>Part 2 – Technical Systems</t>
        </is>
      </c>
      <c r="D1487" s="25" t="inlineStr">
        <is>
          <t>2.5 INTEGRATION WITH VIDEO MANAGEMENT SYSTEM (VMS) AND VIDEO ANALYTICS (VA)</t>
        </is>
      </c>
      <c r="E1487" s="25" t="inlineStr">
        <is>
          <t>—</t>
        </is>
      </c>
      <c r="F1487" s="25" t="inlineStr">
        <is>
          <t>Selection of a location and a time, and indication to an authorized user as to which cameras were viewing that location at the selected time.</t>
        </is>
      </c>
      <c r="G1487" s="19" t="n"/>
      <c r="H1487" s="20" t="n"/>
      <c r="I1487" s="20" t="n"/>
      <c r="J1487" s="19" t="n"/>
      <c r="K1487" s="21" t="n"/>
      <c r="L1487" s="22">
        <f>IF(OR(J1487="",K1487=""),"",J1487*K1487)</f>
        <v/>
      </c>
      <c r="M1487" s="19" t="n"/>
      <c r="N1487" s="20" t="n"/>
      <c r="O1487" s="20" t="n"/>
    </row>
    <row r="1488">
      <c r="A1488" s="16" t="n">
        <v>1485</v>
      </c>
      <c r="B1488" s="16" t="inlineStr">
        <is>
          <t>2.5.1.3.22</t>
        </is>
      </c>
      <c r="C1488" s="18" t="inlineStr">
        <is>
          <t>Part 2 – Technical Systems</t>
        </is>
      </c>
      <c r="D1488" s="18" t="inlineStr">
        <is>
          <t>2.5 INTEGRATION WITH VIDEO MANAGEMENT SYSTEM (VMS) AND VIDEO ANALYTICS (VA)</t>
        </is>
      </c>
      <c r="E1488" s="18" t="inlineStr">
        <is>
          <t>—</t>
        </is>
      </c>
      <c r="F1488" s="18" t="inlineStr">
        <is>
          <t>Whenever an incident occurs, to be all cameras covering the incident provide a visual indication to authorized user (Example: Flashing Camera Icon).</t>
        </is>
      </c>
      <c r="G1488" s="19" t="n"/>
      <c r="H1488" s="20" t="n"/>
      <c r="I1488" s="20" t="n"/>
      <c r="J1488" s="19" t="n"/>
      <c r="K1488" s="21" t="n"/>
      <c r="L1488" s="22">
        <f>IF(OR(J1488="",K1488=""),"",J1488*K1488)</f>
        <v/>
      </c>
      <c r="M1488" s="19" t="n"/>
      <c r="N1488" s="20" t="n"/>
      <c r="O1488" s="20" t="n"/>
    </row>
    <row r="1489">
      <c r="A1489" s="23" t="n">
        <v>1486</v>
      </c>
      <c r="B1489" s="23" t="inlineStr">
        <is>
          <t>2.5.1.3.23</t>
        </is>
      </c>
      <c r="C1489" s="25" t="inlineStr">
        <is>
          <t>Part 2 – Technical Systems</t>
        </is>
      </c>
      <c r="D1489" s="25" t="inlineStr">
        <is>
          <t>2.5 INTEGRATION WITH VIDEO MANAGEMENT SYSTEM (VMS) AND VIDEO ANALYTICS (VA)</t>
        </is>
      </c>
      <c r="E1489" s="25" t="inlineStr">
        <is>
          <t>—</t>
        </is>
      </c>
      <c r="F1489" s="25" t="inlineStr">
        <is>
          <t>Capability to control through user rights the roles that have the ability to control the Video Wall.</t>
        </is>
      </c>
      <c r="G1489" s="19" t="n"/>
      <c r="H1489" s="20" t="n"/>
      <c r="I1489" s="20" t="n"/>
      <c r="J1489" s="19" t="n"/>
      <c r="K1489" s="21" t="n"/>
      <c r="L1489" s="22">
        <f>IF(OR(J1489="",K1489=""),"",J1489*K1489)</f>
        <v/>
      </c>
      <c r="M1489" s="19" t="n"/>
      <c r="N1489" s="20" t="n"/>
      <c r="O1489" s="20" t="n"/>
    </row>
    <row r="1490">
      <c r="A1490" s="16" t="n">
        <v>1487</v>
      </c>
      <c r="B1490" s="16" t="inlineStr">
        <is>
          <t>2.5.1.3.24</t>
        </is>
      </c>
      <c r="C1490" s="18" t="inlineStr">
        <is>
          <t>Part 2 – Technical Systems</t>
        </is>
      </c>
      <c r="D1490" s="18" t="inlineStr">
        <is>
          <t>2.5 INTEGRATION WITH VIDEO MANAGEMENT SYSTEM (VMS) AND VIDEO ANALYTICS (VA)</t>
        </is>
      </c>
      <c r="E1490" s="18" t="inlineStr">
        <is>
          <t>—</t>
        </is>
      </c>
      <c r="F1490" s="18" t="inlineStr">
        <is>
          <t>The ability to share this video through web browser services that shall support decision makers across disciplines with real-time situation views.</t>
        </is>
      </c>
      <c r="G1490" s="19" t="n"/>
      <c r="H1490" s="20" t="n"/>
      <c r="I1490" s="20" t="n"/>
      <c r="J1490" s="19" t="n"/>
      <c r="K1490" s="21" t="n"/>
      <c r="L1490" s="22">
        <f>IF(OR(J1490="",K1490=""),"",J1490*K1490)</f>
        <v/>
      </c>
      <c r="M1490" s="19" t="n"/>
      <c r="N1490" s="20" t="n"/>
      <c r="O1490" s="20" t="n"/>
    </row>
    <row r="1491">
      <c r="A1491" s="23" t="n">
        <v>1488</v>
      </c>
      <c r="B1491" s="23" t="inlineStr">
        <is>
          <t>2.5.1.3.25</t>
        </is>
      </c>
      <c r="C1491" s="25" t="inlineStr">
        <is>
          <t>Part 2 – Technical Systems</t>
        </is>
      </c>
      <c r="D1491" s="25" t="inlineStr">
        <is>
          <t>2.5 INTEGRATION WITH VIDEO MANAGEMENT SYSTEM (VMS) AND VIDEO ANALYTICS (VA)</t>
        </is>
      </c>
      <c r="E1491" s="25" t="inlineStr">
        <is>
          <t>—</t>
        </is>
      </c>
      <c r="F1491" s="25" t="inlineStr">
        <is>
          <t>If a VMS and/or VA operational alarm turns out to be a false alarm, the OSS911 solutions to VMS integration shall include a solution such that the false alarm details are captured and recorded in a database, along with any voice conversations that have been done by the operator as part of the investigation.</t>
        </is>
      </c>
      <c r="G1491" s="19" t="n"/>
      <c r="H1491" s="20" t="n"/>
      <c r="I1491" s="20" t="n"/>
      <c r="J1491" s="19" t="n"/>
      <c r="K1491" s="21" t="n"/>
      <c r="L1491" s="22">
        <f>IF(OR(J1491="",K1491=""),"",J1491*K1491)</f>
        <v/>
      </c>
      <c r="M1491" s="19" t="n"/>
      <c r="N1491" s="20" t="n"/>
      <c r="O1491" s="20" t="n"/>
    </row>
    <row r="1492">
      <c r="A1492" s="16" t="n">
        <v>1489</v>
      </c>
      <c r="B1492" s="16" t="inlineStr">
        <is>
          <t>2.5.1.3.26</t>
        </is>
      </c>
      <c r="C1492" s="18" t="inlineStr">
        <is>
          <t>Part 2 – Technical Systems</t>
        </is>
      </c>
      <c r="D1492" s="18" t="inlineStr">
        <is>
          <t>2.5 INTEGRATION WITH VIDEO MANAGEMENT SYSTEM (VMS) AND VIDEO ANALYTICS (VA)</t>
        </is>
      </c>
      <c r="E1492" s="18" t="inlineStr">
        <is>
          <t>—</t>
        </is>
      </c>
      <c r="F1492" s="18" t="inlineStr">
        <is>
          <t>If a VMS or VA operational alarm turns out to be a positive alarm (implying, it relates to an event that requires a dispatch), the OSS911 solutions to VMS integration shall include a solution such that: a) The location of the trigger for the alarm (i.e., the location of the incident) and the location of the camera reporting the alarm is captured automatically using the mapping function. b) The location is populated in the corresponding field within the OSS911 systems. c) The incident is recorded by the operator using OSS911 system interfaces. d) Based on the defined event types, priorities and location, the incident gets transferred to the appropriate dispatch group. e) The received video is tagged (linked) to the incident (event) created and a pointer to the video is stored as part of the incident (event) record. f) From then on, the regular dispatching process takes over the workflow (as it would be any other call or demand that requires a dispatch, and that which has been detailed in this document).</t>
        </is>
      </c>
      <c r="G1492" s="19" t="n"/>
      <c r="H1492" s="20" t="n"/>
      <c r="I1492" s="20" t="n"/>
      <c r="J1492" s="19" t="n"/>
      <c r="K1492" s="21" t="n"/>
      <c r="L1492" s="22">
        <f>IF(OR(J1492="",K1492=""),"",J1492*K1492)</f>
        <v/>
      </c>
      <c r="M1492" s="19" t="n"/>
      <c r="N1492" s="20" t="n"/>
      <c r="O1492" s="20" t="n"/>
    </row>
    <row r="1493">
      <c r="A1493" s="23" t="n">
        <v>1490</v>
      </c>
      <c r="B1493" s="23" t="inlineStr">
        <is>
          <t>2.5.1.3.27</t>
        </is>
      </c>
      <c r="C1493" s="25" t="inlineStr">
        <is>
          <t>Part 2 – Technical Systems</t>
        </is>
      </c>
      <c r="D1493" s="25" t="inlineStr">
        <is>
          <t>2.5 INTEGRATION WITH VIDEO MANAGEMENT SYSTEM (VMS) AND VIDEO ANALYTICS (VA)</t>
        </is>
      </c>
      <c r="E1493" s="25" t="inlineStr">
        <is>
          <t>—</t>
        </is>
      </c>
      <c r="F1493" s="25" t="inlineStr">
        <is>
          <t>VMS or VA operational alarms shall be handled by the OSS911 solutions as they would handle voice calls. All process steps, rights and responsibilities, and archiving requirements for a positive alarm at the video operator are similar to the steps for emergency calls.</t>
        </is>
      </c>
      <c r="G1493" s="19" t="n"/>
      <c r="H1493" s="20" t="n"/>
      <c r="I1493" s="20" t="n"/>
      <c r="J1493" s="19" t="n"/>
      <c r="K1493" s="21" t="n"/>
      <c r="L1493" s="22">
        <f>IF(OR(J1493="",K1493=""),"",J1493*K1493)</f>
        <v/>
      </c>
      <c r="M1493" s="19" t="n"/>
      <c r="N1493" s="20" t="n"/>
      <c r="O1493" s="20" t="n"/>
    </row>
    <row r="1494">
      <c r="A1494" s="16" t="n">
        <v>1491</v>
      </c>
      <c r="B1494" s="16" t="inlineStr">
        <is>
          <t>2.5.1.3.28</t>
        </is>
      </c>
      <c r="C1494" s="18" t="inlineStr">
        <is>
          <t>Part 2 – Technical Systems</t>
        </is>
      </c>
      <c r="D1494" s="18" t="inlineStr">
        <is>
          <t>2.5 INTEGRATION WITH VIDEO MANAGEMENT SYSTEM (VMS) AND VIDEO ANALYTICS (VA)</t>
        </is>
      </c>
      <c r="E1494" s="18" t="inlineStr">
        <is>
          <t>—</t>
        </is>
      </c>
      <c r="F1494" s="18" t="inlineStr">
        <is>
          <t>The capability to request and play video recorded such that an authorized user is able to select a camera from within the OSS911 map interface, request a time frame for the video, and then view that video.</t>
        </is>
      </c>
      <c r="G1494" s="19" t="n"/>
      <c r="H1494" s="20" t="n"/>
      <c r="I1494" s="20" t="n"/>
      <c r="J1494" s="19" t="n"/>
      <c r="K1494" s="21" t="n"/>
      <c r="L1494" s="22">
        <f>IF(OR(J1494="",K1494=""),"",J1494*K1494)</f>
        <v/>
      </c>
      <c r="M1494" s="19" t="n"/>
      <c r="N1494" s="20" t="n"/>
      <c r="O1494" s="20" t="n"/>
    </row>
    <row r="1495">
      <c r="A1495" s="23" t="n">
        <v>1492</v>
      </c>
      <c r="B1495" s="24" t="inlineStr">
        <is>
          <t>2.6.1.1</t>
        </is>
      </c>
      <c r="C1495" s="25" t="inlineStr">
        <is>
          <t>Part 2 – Technical Systems</t>
        </is>
      </c>
      <c r="D1495" s="25" t="inlineStr">
        <is>
          <t>2.6 IP TELEPHONY (VoIP)</t>
        </is>
      </c>
      <c r="E1495" s="25" t="inlineStr">
        <is>
          <t>2.6.1 REQUIREMENT OVERVIEW</t>
        </is>
      </c>
      <c r="F1495" s="25" t="inlineStr">
        <is>
          <t>The MOI requires that the OSS911 Center is equipped by the CONTRACTOR with Voice over IP (VoIP) telephony solution to provide internal and external telephony services within the OSS911 Center buildings.</t>
        </is>
      </c>
      <c r="G1495" s="19" t="n"/>
      <c r="H1495" s="20" t="n"/>
      <c r="I1495" s="20" t="n"/>
      <c r="J1495" s="19" t="n"/>
      <c r="K1495" s="21" t="n"/>
      <c r="L1495" s="22">
        <f>IF(OR(J1495="",K1495=""),"",J1495*K1495)</f>
        <v/>
      </c>
      <c r="M1495" s="19" t="n"/>
      <c r="N1495" s="20" t="n"/>
      <c r="O1495" s="20" t="n"/>
    </row>
    <row r="1496">
      <c r="A1496" s="16" t="n">
        <v>1493</v>
      </c>
      <c r="B1496" s="17" t="inlineStr">
        <is>
          <t>2.6.1.2</t>
        </is>
      </c>
      <c r="C1496" s="18" t="inlineStr">
        <is>
          <t>Part 2 – Technical Systems</t>
        </is>
      </c>
      <c r="D1496" s="18" t="inlineStr">
        <is>
          <t>2.6 IP TELEPHONY (VoIP)</t>
        </is>
      </c>
      <c r="E1496" s="18" t="inlineStr">
        <is>
          <t>2.6.1 REQUIREMENT OVERVIEW</t>
        </is>
      </c>
      <c r="F1496" s="18" t="inlineStr">
        <is>
          <t>The CONTRACTOR shall implement all requirements in this section with the understanding that:</t>
        </is>
      </c>
      <c r="G1496" s="19" t="n"/>
      <c r="H1496" s="20" t="n"/>
      <c r="I1496" s="20" t="n"/>
      <c r="J1496" s="19" t="n"/>
      <c r="K1496" s="21" t="n"/>
      <c r="L1496" s="22">
        <f>IF(OR(J1496="",K1496=""),"",J1496*K1496)</f>
        <v/>
      </c>
      <c r="M1496" s="19" t="n"/>
      <c r="N1496" s="20" t="n"/>
      <c r="O1496" s="20" t="n"/>
    </row>
    <row r="1497">
      <c r="A1497" s="23" t="n">
        <v>1494</v>
      </c>
      <c r="B1497" s="23" t="inlineStr">
        <is>
          <t>2.6.1.2.1</t>
        </is>
      </c>
      <c r="C1497" s="25" t="inlineStr">
        <is>
          <t>Part 2 – Technical Systems</t>
        </is>
      </c>
      <c r="D1497" s="25" t="inlineStr">
        <is>
          <t>2.6 IP TELEPHONY (VoIP)</t>
        </is>
      </c>
      <c r="E1497" s="25" t="inlineStr">
        <is>
          <t>2.6.1 REQUIREMENT OVERVIEW</t>
        </is>
      </c>
      <c r="F1497" s="25" t="inlineStr">
        <is>
          <t>Unless otherwise explicitly stated, the phrase “OSS911 center” refers to OSS911 centers in each of the provinces that are included in the scope of this contract.</t>
        </is>
      </c>
      <c r="G1497" s="19" t="n"/>
      <c r="H1497" s="20" t="n"/>
      <c r="I1497" s="20" t="n"/>
      <c r="J1497" s="19" t="n"/>
      <c r="K1497" s="21" t="n"/>
      <c r="L1497" s="22">
        <f>IF(OR(J1497="",K1497=""),"",J1497*K1497)</f>
        <v/>
      </c>
      <c r="M1497" s="19" t="n"/>
      <c r="N1497" s="20" t="n"/>
      <c r="O1497" s="20" t="n"/>
    </row>
    <row r="1498">
      <c r="A1498" s="16" t="n">
        <v>1495</v>
      </c>
      <c r="B1498" s="16" t="inlineStr">
        <is>
          <t>2.6.1.2.2</t>
        </is>
      </c>
      <c r="C1498" s="18" t="inlineStr">
        <is>
          <t>Part 2 – Technical Systems</t>
        </is>
      </c>
      <c r="D1498" s="18" t="inlineStr">
        <is>
          <t>2.6 IP TELEPHONY (VoIP)</t>
        </is>
      </c>
      <c r="E1498" s="18" t="inlineStr">
        <is>
          <t>2.6.1 REQUIREMENT OVERVIEW</t>
        </is>
      </c>
      <c r="F1498" s="18" t="inlineStr">
        <is>
          <t>Unless otherwise explicitly stated, the phrases “OSS911 solution” or “OSS911 systems” or “OSS911 subsystems” refer to all the OSS911 systems being delivered by the CONTRACTOR as part of this contract.</t>
        </is>
      </c>
      <c r="G1498" s="19" t="n"/>
      <c r="H1498" s="20" t="n"/>
      <c r="I1498" s="20" t="n"/>
      <c r="J1498" s="19" t="n"/>
      <c r="K1498" s="21" t="n"/>
      <c r="L1498" s="22">
        <f>IF(OR(J1498="",K1498=""),"",J1498*K1498)</f>
        <v/>
      </c>
      <c r="M1498" s="19" t="n"/>
      <c r="N1498" s="20" t="n"/>
      <c r="O1498" s="20" t="n"/>
    </row>
    <row r="1499">
      <c r="A1499" s="23" t="n">
        <v>1496</v>
      </c>
      <c r="B1499" s="23" t="inlineStr">
        <is>
          <t>2.6.1.2.3</t>
        </is>
      </c>
      <c r="C1499" s="25" t="inlineStr">
        <is>
          <t>Part 2 – Technical Systems</t>
        </is>
      </c>
      <c r="D1499" s="25" t="inlineStr">
        <is>
          <t>2.6 IP TELEPHONY (VoIP)</t>
        </is>
      </c>
      <c r="E1499" s="25" t="inlineStr">
        <is>
          <t>2.6.1 REQUIREMENT OVERVIEW</t>
        </is>
      </c>
      <c r="F1499" s="25" t="inlineStr">
        <is>
          <t>Unless otherwise explicitly stated, the word “data” in this document includes all types of data including voice, text, video and SMS.</t>
        </is>
      </c>
      <c r="G1499" s="19" t="n"/>
      <c r="H1499" s="20" t="n"/>
      <c r="I1499" s="20" t="n"/>
      <c r="J1499" s="19" t="n"/>
      <c r="K1499" s="21" t="n"/>
      <c r="L1499" s="22">
        <f>IF(OR(J1499="",K1499=""),"",J1499*K1499)</f>
        <v/>
      </c>
      <c r="M1499" s="19" t="n"/>
      <c r="N1499" s="20" t="n"/>
      <c r="O1499" s="20" t="n"/>
    </row>
    <row r="1500">
      <c r="A1500" s="16" t="n">
        <v>1497</v>
      </c>
      <c r="B1500" s="17" t="inlineStr">
        <is>
          <t>2.6.1.3</t>
        </is>
      </c>
      <c r="C1500" s="18" t="inlineStr">
        <is>
          <t>Part 2 – Technical Systems</t>
        </is>
      </c>
      <c r="D1500" s="18" t="inlineStr">
        <is>
          <t>2.6 IP TELEPHONY (VoIP)</t>
        </is>
      </c>
      <c r="E1500" s="18" t="inlineStr">
        <is>
          <t>2.6.1 REQUIREMENT OVERVIEW</t>
        </is>
      </c>
      <c r="F1500" s="18" t="inlineStr">
        <is>
          <t>The CONTRACTOR shall deliver all the requirements of this section that are fully compliant to the concept of operations requirements stated in this RFP.</t>
        </is>
      </c>
      <c r="G1500" s="19" t="n"/>
      <c r="H1500" s="20" t="n"/>
      <c r="I1500" s="20" t="n"/>
      <c r="J1500" s="19" t="n"/>
      <c r="K1500" s="21" t="n"/>
      <c r="L1500" s="22">
        <f>IF(OR(J1500="",K1500=""),"",J1500*K1500)</f>
        <v/>
      </c>
      <c r="M1500" s="19" t="n"/>
      <c r="N1500" s="20" t="n"/>
      <c r="O1500" s="20" t="n"/>
    </row>
    <row r="1501">
      <c r="A1501" s="23" t="n">
        <v>1498</v>
      </c>
      <c r="B1501" s="24" t="inlineStr">
        <is>
          <t>2.6.1.4</t>
        </is>
      </c>
      <c r="C1501" s="25" t="inlineStr">
        <is>
          <t>Part 2 – Technical Systems</t>
        </is>
      </c>
      <c r="D1501" s="25" t="inlineStr">
        <is>
          <t>2.6 IP TELEPHONY (VoIP)</t>
        </is>
      </c>
      <c r="E1501" s="25" t="inlineStr">
        <is>
          <t>2.6.1 REQUIREMENT OVERVIEW</t>
        </is>
      </c>
      <c r="F1501" s="25" t="inlineStr">
        <is>
          <t>The CONTRACTOR shall deliver a smart and AI-powered IP Telephony solution delivering the IP telephony and recording capabilities for OSS911 use.</t>
        </is>
      </c>
      <c r="G1501" s="19" t="n"/>
      <c r="H1501" s="20" t="n"/>
      <c r="I1501" s="20" t="n"/>
      <c r="J1501" s="19" t="n"/>
      <c r="K1501" s="21" t="n"/>
      <c r="L1501" s="22">
        <f>IF(OR(J1501="",K1501=""),"",J1501*K1501)</f>
        <v/>
      </c>
      <c r="M1501" s="19" t="n"/>
      <c r="N1501" s="20" t="n"/>
      <c r="O1501" s="20" t="n"/>
    </row>
    <row r="1502">
      <c r="A1502" s="16" t="n">
        <v>1499</v>
      </c>
      <c r="B1502" s="17" t="inlineStr">
        <is>
          <t>2.6.1.5</t>
        </is>
      </c>
      <c r="C1502" s="18" t="inlineStr">
        <is>
          <t>Part 2 – Technical Systems</t>
        </is>
      </c>
      <c r="D1502" s="18" t="inlineStr">
        <is>
          <t>2.6 IP TELEPHONY (VoIP)</t>
        </is>
      </c>
      <c r="E1502" s="18" t="inlineStr">
        <is>
          <t>2.6.1 REQUIREMENT OVERVIEW</t>
        </is>
      </c>
      <c r="F1502" s="18" t="inlineStr">
        <is>
          <t>The OSS911 telephony and recording solution shall be deployed by the CONTRACTOR and hosted within the OSS911 center in the scope.</t>
        </is>
      </c>
      <c r="G1502" s="19" t="n"/>
      <c r="H1502" s="20" t="n"/>
      <c r="I1502" s="20" t="n"/>
      <c r="J1502" s="19" t="n"/>
      <c r="K1502" s="21" t="n"/>
      <c r="L1502" s="22">
        <f>IF(OR(J1502="",K1502=""),"",J1502*K1502)</f>
        <v/>
      </c>
      <c r="M1502" s="19" t="n"/>
      <c r="N1502" s="20" t="n"/>
      <c r="O1502" s="20" t="n"/>
    </row>
    <row r="1503">
      <c r="A1503" s="23" t="n">
        <v>1500</v>
      </c>
      <c r="B1503" s="24" t="inlineStr">
        <is>
          <t>2.6.1.6</t>
        </is>
      </c>
      <c r="C1503" s="25" t="inlineStr">
        <is>
          <t>Part 2 – Technical Systems</t>
        </is>
      </c>
      <c r="D1503" s="25" t="inlineStr">
        <is>
          <t>2.6 IP TELEPHONY (VoIP)</t>
        </is>
      </c>
      <c r="E1503" s="25" t="inlineStr">
        <is>
          <t>2.6.1 REQUIREMENT OVERVIEW</t>
        </is>
      </c>
      <c r="F1503" s="25" t="inlineStr">
        <is>
          <t>The CONTRACTOR shall deliver telephony and recording solutions that include capability to integrate with, consume services from, and exchange data with other communication systems utilizing SIP protocol and SIP protocol extensions.</t>
        </is>
      </c>
      <c r="G1503" s="19" t="n"/>
      <c r="H1503" s="20" t="n"/>
      <c r="I1503" s="20" t="n"/>
      <c r="J1503" s="19" t="n"/>
      <c r="K1503" s="21" t="n"/>
      <c r="L1503" s="22">
        <f>IF(OR(J1503="",K1503=""),"",J1503*K1503)</f>
        <v/>
      </c>
      <c r="M1503" s="19" t="n"/>
      <c r="N1503" s="20" t="n"/>
      <c r="O1503" s="20" t="n"/>
    </row>
    <row r="1504">
      <c r="A1504" s="16" t="n">
        <v>1501</v>
      </c>
      <c r="B1504" s="17" t="inlineStr">
        <is>
          <t>2.6.1.7</t>
        </is>
      </c>
      <c r="C1504" s="18" t="inlineStr">
        <is>
          <t>Part 2 – Technical Systems</t>
        </is>
      </c>
      <c r="D1504" s="18" t="inlineStr">
        <is>
          <t>2.6 IP TELEPHONY (VoIP)</t>
        </is>
      </c>
      <c r="E1504" s="18" t="inlineStr">
        <is>
          <t>2.6.1 REQUIREMENT OVERVIEW</t>
        </is>
      </c>
      <c r="F1504" s="18" t="inlineStr">
        <is>
          <t>The CONTRACTOR shall deliver telephony and recording solutions that provide voice and data exchange in real-time and for recorded voice and data, with AI-enabled tools supplied by the CONTRACTOR and with other third-party AI-enabled tools.</t>
        </is>
      </c>
      <c r="G1504" s="19" t="n"/>
      <c r="H1504" s="20" t="n"/>
      <c r="I1504" s="20" t="n"/>
      <c r="J1504" s="19" t="n"/>
      <c r="K1504" s="21" t="n"/>
      <c r="L1504" s="22">
        <f>IF(OR(J1504="",K1504=""),"",J1504*K1504)</f>
        <v/>
      </c>
      <c r="M1504" s="19" t="n"/>
      <c r="N1504" s="20" t="n"/>
      <c r="O1504" s="20" t="n"/>
    </row>
    <row r="1505">
      <c r="A1505" s="23" t="n">
        <v>1502</v>
      </c>
      <c r="B1505" s="24" t="inlineStr">
        <is>
          <t>2.6.1.8</t>
        </is>
      </c>
      <c r="C1505" s="25" t="inlineStr">
        <is>
          <t>Part 2 – Technical Systems</t>
        </is>
      </c>
      <c r="D1505" s="25" t="inlineStr">
        <is>
          <t>2.6 IP TELEPHONY (VoIP)</t>
        </is>
      </c>
      <c r="E1505" s="25" t="inlineStr">
        <is>
          <t>2.6.1 REQUIREMENT OVERVIEW</t>
        </is>
      </c>
      <c r="F1505" s="25" t="inlineStr">
        <is>
          <t>The BIDDER shall analyze the operational requirements of the OSS911 Center to determine the actual number and type of telephone handsets and trunk lines that are required and shall include this analysis in their proposal.</t>
        </is>
      </c>
      <c r="G1505" s="19" t="n"/>
      <c r="H1505" s="20" t="n"/>
      <c r="I1505" s="20" t="n"/>
      <c r="J1505" s="19" t="n"/>
      <c r="K1505" s="21" t="n"/>
      <c r="L1505" s="22">
        <f>IF(OR(J1505="",K1505=""),"",J1505*K1505)</f>
        <v/>
      </c>
      <c r="M1505" s="19" t="n"/>
      <c r="N1505" s="20" t="n"/>
      <c r="O1505" s="20" t="n"/>
    </row>
    <row r="1506">
      <c r="A1506" s="16" t="n">
        <v>1503</v>
      </c>
      <c r="B1506" s="17" t="inlineStr">
        <is>
          <t>2.6.1.9</t>
        </is>
      </c>
      <c r="C1506" s="18" t="inlineStr">
        <is>
          <t>Part 2 – Technical Systems</t>
        </is>
      </c>
      <c r="D1506" s="18" t="inlineStr">
        <is>
          <t>2.6 IP TELEPHONY (VoIP)</t>
        </is>
      </c>
      <c r="E1506" s="18" t="inlineStr">
        <is>
          <t>2.6.1 REQUIREMENT OVERVIEW</t>
        </is>
      </c>
      <c r="F1506" s="18" t="inlineStr">
        <is>
          <t>When the unified single emergency number call taking is implemented, the CONTRACTOR shall deploy IP telephony system such that it shall present all incoming calls on that single emergency number to the call takers.</t>
        </is>
      </c>
      <c r="G1506" s="19" t="n"/>
      <c r="H1506" s="20" t="n"/>
      <c r="I1506" s="20" t="n"/>
      <c r="J1506" s="19" t="n"/>
      <c r="K1506" s="21" t="n"/>
      <c r="L1506" s="22">
        <f>IF(OR(J1506="",K1506=""),"",J1506*K1506)</f>
        <v/>
      </c>
      <c r="M1506" s="19" t="n"/>
      <c r="N1506" s="20" t="n"/>
      <c r="O1506" s="20" t="n"/>
    </row>
    <row r="1507">
      <c r="A1507" s="23" t="n">
        <v>1504</v>
      </c>
      <c r="B1507" s="24" t="inlineStr">
        <is>
          <t>2.6.1.10</t>
        </is>
      </c>
      <c r="C1507" s="25" t="inlineStr">
        <is>
          <t>Part 2 – Technical Systems</t>
        </is>
      </c>
      <c r="D1507" s="25" t="inlineStr">
        <is>
          <t>2.6 IP TELEPHONY (VoIP)</t>
        </is>
      </c>
      <c r="E1507" s="25" t="inlineStr">
        <is>
          <t>2.6.1 REQUIREMENT OVERVIEW</t>
        </is>
      </c>
      <c r="F1507" s="25" t="inlineStr">
        <is>
          <t>Within their proposal, the BIDDER shall detail the actual amount of scalability that is available for immediate use within the OSS911 contract per OSS911 center, without adding additional equipment and software.</t>
        </is>
      </c>
      <c r="G1507" s="19" t="n"/>
      <c r="H1507" s="20" t="n"/>
      <c r="I1507" s="20" t="n"/>
      <c r="J1507" s="19" t="n"/>
      <c r="K1507" s="21" t="n"/>
      <c r="L1507" s="22">
        <f>IF(OR(J1507="",K1507=""),"",J1507*K1507)</f>
        <v/>
      </c>
      <c r="M1507" s="19" t="n"/>
      <c r="N1507" s="20" t="n"/>
      <c r="O1507" s="20" t="n"/>
    </row>
    <row r="1508">
      <c r="A1508" s="16" t="n">
        <v>1505</v>
      </c>
      <c r="B1508" s="17" t="inlineStr">
        <is>
          <t>2.6.1.11</t>
        </is>
      </c>
      <c r="C1508" s="18" t="inlineStr">
        <is>
          <t>Part 2 – Technical Systems</t>
        </is>
      </c>
      <c r="D1508" s="18" t="inlineStr">
        <is>
          <t>2.6 IP TELEPHONY (VoIP)</t>
        </is>
      </c>
      <c r="E1508" s="18" t="inlineStr">
        <is>
          <t>2.6.1 REQUIREMENT OVERVIEW</t>
        </is>
      </c>
      <c r="F1508" s="18" t="inlineStr">
        <is>
          <t>The CONTRACTOR delivered telephony system shall include redundant, geographically diverse trunk connections to the PSTN, to provide a resilient architecture.</t>
        </is>
      </c>
      <c r="G1508" s="19" t="n"/>
      <c r="H1508" s="20" t="n"/>
      <c r="I1508" s="20" t="n"/>
      <c r="J1508" s="19" t="n"/>
      <c r="K1508" s="21" t="n"/>
      <c r="L1508" s="22">
        <f>IF(OR(J1508="",K1508=""),"",J1508*K1508)</f>
        <v/>
      </c>
      <c r="M1508" s="19" t="n"/>
      <c r="N1508" s="20" t="n"/>
      <c r="O1508" s="20" t="n"/>
    </row>
    <row r="1509">
      <c r="A1509" s="23" t="n">
        <v>1506</v>
      </c>
      <c r="B1509" s="24" t="inlineStr">
        <is>
          <t>2.6.1.12</t>
        </is>
      </c>
      <c r="C1509" s="25" t="inlineStr">
        <is>
          <t>Part 2 – Technical Systems</t>
        </is>
      </c>
      <c r="D1509" s="25" t="inlineStr">
        <is>
          <t>2.6 IP TELEPHONY (VoIP)</t>
        </is>
      </c>
      <c r="E1509" s="25" t="inlineStr">
        <is>
          <t>2.6.1 REQUIREMENT OVERVIEW</t>
        </is>
      </c>
      <c r="F1509" s="25" t="inlineStr">
        <is>
          <t>Emergency calls will be delivered into the center using:</t>
        </is>
      </c>
      <c r="G1509" s="19" t="n"/>
      <c r="H1509" s="20" t="n"/>
      <c r="I1509" s="20" t="n"/>
      <c r="J1509" s="19" t="n"/>
      <c r="K1509" s="21" t="n"/>
      <c r="L1509" s="22">
        <f>IF(OR(J1509="",K1509=""),"",J1509*K1509)</f>
        <v/>
      </c>
      <c r="M1509" s="19" t="n"/>
      <c r="N1509" s="20" t="n"/>
      <c r="O1509" s="20" t="n"/>
    </row>
    <row r="1510">
      <c r="A1510" s="16" t="n">
        <v>1507</v>
      </c>
      <c r="B1510" s="16" t="inlineStr">
        <is>
          <t>2.6.1.12.1</t>
        </is>
      </c>
      <c r="C1510" s="18" t="inlineStr">
        <is>
          <t>Part 2 – Technical Systems</t>
        </is>
      </c>
      <c r="D1510" s="18" t="inlineStr">
        <is>
          <t>2.6 IP TELEPHONY (VoIP)</t>
        </is>
      </c>
      <c r="E1510" s="18" t="inlineStr">
        <is>
          <t>2.6.1 REQUIREMENT OVERVIEW</t>
        </is>
      </c>
      <c r="F1510" s="18" t="inlineStr">
        <is>
          <t>SIP connections over fiber circuits</t>
        </is>
      </c>
      <c r="G1510" s="19" t="n"/>
      <c r="H1510" s="20" t="n"/>
      <c r="I1510" s="20" t="n"/>
      <c r="J1510" s="19" t="n"/>
      <c r="K1510" s="21" t="n"/>
      <c r="L1510" s="22">
        <f>IF(OR(J1510="",K1510=""),"",J1510*K1510)</f>
        <v/>
      </c>
      <c r="M1510" s="19" t="n"/>
      <c r="N1510" s="20" t="n"/>
      <c r="O1510" s="20" t="n"/>
    </row>
    <row r="1511">
      <c r="A1511" s="23" t="n">
        <v>1508</v>
      </c>
      <c r="B1511" s="23" t="inlineStr">
        <is>
          <t>2.6.1.12.2</t>
        </is>
      </c>
      <c r="C1511" s="25" t="inlineStr">
        <is>
          <t>Part 2 – Technical Systems</t>
        </is>
      </c>
      <c r="D1511" s="25" t="inlineStr">
        <is>
          <t>2.6 IP TELEPHONY (VoIP)</t>
        </is>
      </c>
      <c r="E1511" s="25" t="inlineStr">
        <is>
          <t>2.6.1 REQUIREMENT OVERVIEW</t>
        </is>
      </c>
      <c r="F1511" s="25" t="inlineStr">
        <is>
          <t>SIP connections over microwave</t>
        </is>
      </c>
      <c r="G1511" s="19" t="n"/>
      <c r="H1511" s="20" t="n"/>
      <c r="I1511" s="20" t="n"/>
      <c r="J1511" s="19" t="n"/>
      <c r="K1511" s="21" t="n"/>
      <c r="L1511" s="22">
        <f>IF(OR(J1511="",K1511=""),"",J1511*K1511)</f>
        <v/>
      </c>
      <c r="M1511" s="19" t="n"/>
      <c r="N1511" s="20" t="n"/>
      <c r="O1511" s="20" t="n"/>
    </row>
    <row r="1512">
      <c r="A1512" s="16" t="n">
        <v>1509</v>
      </c>
      <c r="B1512" s="16" t="inlineStr">
        <is>
          <t>2.6.1.12.3</t>
        </is>
      </c>
      <c r="C1512" s="18" t="inlineStr">
        <is>
          <t>Part 2 – Technical Systems</t>
        </is>
      </c>
      <c r="D1512" s="18" t="inlineStr">
        <is>
          <t>2.6 IP TELEPHONY (VoIP)</t>
        </is>
      </c>
      <c r="E1512" s="18" t="inlineStr">
        <is>
          <t>2.6.1 REQUIREMENT OVERVIEW</t>
        </is>
      </c>
      <c r="F1512" s="18" t="inlineStr">
        <is>
          <t>Power independent analog connections over copper</t>
        </is>
      </c>
      <c r="G1512" s="19" t="n"/>
      <c r="H1512" s="20" t="n"/>
      <c r="I1512" s="20" t="n"/>
      <c r="J1512" s="19" t="n"/>
      <c r="K1512" s="21" t="n"/>
      <c r="L1512" s="22">
        <f>IF(OR(J1512="",K1512=""),"",J1512*K1512)</f>
        <v/>
      </c>
      <c r="M1512" s="19" t="n"/>
      <c r="N1512" s="20" t="n"/>
      <c r="O1512" s="20" t="n"/>
    </row>
    <row r="1513">
      <c r="A1513" s="23" t="n">
        <v>1510</v>
      </c>
      <c r="B1513" s="24" t="inlineStr">
        <is>
          <t>2.6.1.13</t>
        </is>
      </c>
      <c r="C1513" s="25" t="inlineStr">
        <is>
          <t>Part 2 – Technical Systems</t>
        </is>
      </c>
      <c r="D1513" s="25" t="inlineStr">
        <is>
          <t>2.6 IP TELEPHONY (VoIP)</t>
        </is>
      </c>
      <c r="E1513" s="25" t="inlineStr">
        <is>
          <t>2.6.1 REQUIREMENT OVERVIEW</t>
        </is>
      </c>
      <c r="F1513" s="25" t="inlineStr">
        <is>
          <t>The BIDDER shall perform their own analysis and justify their calculations based on likely operational requirements. The BIDDER shall present this analysis in their response.</t>
        </is>
      </c>
      <c r="G1513" s="19" t="n"/>
      <c r="H1513" s="20" t="n"/>
      <c r="I1513" s="20" t="n"/>
      <c r="J1513" s="19" t="n"/>
      <c r="K1513" s="21" t="n"/>
      <c r="L1513" s="22">
        <f>IF(OR(J1513="",K1513=""),"",J1513*K1513)</f>
        <v/>
      </c>
      <c r="M1513" s="19" t="n"/>
      <c r="N1513" s="20" t="n"/>
      <c r="O1513" s="20" t="n"/>
    </row>
    <row r="1514">
      <c r="A1514" s="16" t="n">
        <v>1511</v>
      </c>
      <c r="B1514" s="17" t="inlineStr">
        <is>
          <t>2.6.1.14</t>
        </is>
      </c>
      <c r="C1514" s="18" t="inlineStr">
        <is>
          <t>Part 2 – Technical Systems</t>
        </is>
      </c>
      <c r="D1514" s="18" t="inlineStr">
        <is>
          <t>2.6 IP TELEPHONY (VoIP)</t>
        </is>
      </c>
      <c r="E1514" s="18" t="inlineStr">
        <is>
          <t>2.6.1 REQUIREMENT OVERVIEW</t>
        </is>
      </c>
      <c r="F1514" s="18" t="inlineStr">
        <is>
          <t>It is the responsibility of the CONTRACTOR to provide for any gateways or other hardware that is required for interfacing to the telecommunication networks and for integrating with them for the SIP and analog connections and to connect the MDF to the analog cables.</t>
        </is>
      </c>
      <c r="G1514" s="19" t="n"/>
      <c r="H1514" s="20" t="n"/>
      <c r="I1514" s="20" t="n"/>
      <c r="J1514" s="19" t="n"/>
      <c r="K1514" s="21" t="n"/>
      <c r="L1514" s="22">
        <f>IF(OR(J1514="",K1514=""),"",J1514*K1514)</f>
        <v/>
      </c>
      <c r="M1514" s="19" t="n"/>
      <c r="N1514" s="20" t="n"/>
      <c r="O1514" s="20" t="n"/>
    </row>
    <row r="1515">
      <c r="A1515" s="23" t="n">
        <v>1512</v>
      </c>
      <c r="B1515" s="24" t="inlineStr">
        <is>
          <t>2.6.1.15</t>
        </is>
      </c>
      <c r="C1515" s="25" t="inlineStr">
        <is>
          <t>Part 2 – Technical Systems</t>
        </is>
      </c>
      <c r="D1515" s="25" t="inlineStr">
        <is>
          <t>2.6 IP TELEPHONY (VoIP)</t>
        </is>
      </c>
      <c r="E1515" s="25" t="inlineStr">
        <is>
          <t>2.6.1 REQUIREMENT OVERVIEW</t>
        </is>
      </c>
      <c r="F1515" s="25" t="inlineStr">
        <is>
          <t>It is the responsibility of the CONTRACTOR to provide for any interfacing equipment (software and/or hardware) to connect to mobile network operators and/or third-party service providers for receiving emergency calls including eCall and to receive, record, process, route and report any and all calls and/or data transferred from KSA telecommunication network providers for single-SIM and/or multi-SIM using MSISDN/IMSI/IMEI or any other numbers.</t>
        </is>
      </c>
      <c r="G1515" s="19" t="n"/>
      <c r="H1515" s="20" t="n"/>
      <c r="I1515" s="20" t="n"/>
      <c r="J1515" s="19" t="n"/>
      <c r="K1515" s="21" t="n"/>
      <c r="L1515" s="22">
        <f>IF(OR(J1515="",K1515=""),"",J1515*K1515)</f>
        <v/>
      </c>
      <c r="M1515" s="19" t="n"/>
      <c r="N1515" s="20" t="n"/>
      <c r="O1515" s="20" t="n"/>
    </row>
    <row r="1516">
      <c r="A1516" s="16" t="n">
        <v>1513</v>
      </c>
      <c r="B1516" s="17" t="inlineStr">
        <is>
          <t>2.6.1.16</t>
        </is>
      </c>
      <c r="C1516" s="18" t="inlineStr">
        <is>
          <t>Part 2 – Technical Systems</t>
        </is>
      </c>
      <c r="D1516" s="18" t="inlineStr">
        <is>
          <t>2.6 IP TELEPHONY (VoIP)</t>
        </is>
      </c>
      <c r="E1516" s="18" t="inlineStr">
        <is>
          <t>2.6.1 REQUIREMENT OVERVIEW</t>
        </is>
      </c>
      <c r="F1516" s="18" t="inlineStr">
        <is>
          <t>The CONTRACTOR shall ensure that the hardware IP telephone is fully integrated with the softphone application provided by the CONTRACTOR.</t>
        </is>
      </c>
      <c r="G1516" s="19" t="n"/>
      <c r="H1516" s="20" t="n"/>
      <c r="I1516" s="20" t="n"/>
      <c r="J1516" s="19" t="n"/>
      <c r="K1516" s="21" t="n"/>
      <c r="L1516" s="22">
        <f>IF(OR(J1516="",K1516=""),"",J1516*K1516)</f>
        <v/>
      </c>
      <c r="M1516" s="19" t="n"/>
      <c r="N1516" s="20" t="n"/>
      <c r="O1516" s="20" t="n"/>
    </row>
    <row r="1517">
      <c r="A1517" s="23" t="n">
        <v>1514</v>
      </c>
      <c r="B1517" s="24" t="inlineStr">
        <is>
          <t>2.6.1.17</t>
        </is>
      </c>
      <c r="C1517" s="25" t="inlineStr">
        <is>
          <t>Part 2 – Technical Systems</t>
        </is>
      </c>
      <c r="D1517" s="25" t="inlineStr">
        <is>
          <t>2.6 IP TELEPHONY (VoIP)</t>
        </is>
      </c>
      <c r="E1517" s="25" t="inlineStr">
        <is>
          <t>2.6.1 REQUIREMENT OVERVIEW</t>
        </is>
      </c>
      <c r="F1517" s="25" t="inlineStr">
        <is>
          <t>The CONTRACTOR shall provide any and all devices and software necessary for ensuring that the voice communications through softphone application switch to hardware IP telephone automatically without manual operator intervention while still maintaining voice playback through the operator headsets.</t>
        </is>
      </c>
      <c r="G1517" s="19" t="n"/>
      <c r="H1517" s="20" t="n"/>
      <c r="I1517" s="20" t="n"/>
      <c r="J1517" s="19" t="n"/>
      <c r="K1517" s="21" t="n"/>
      <c r="L1517" s="22">
        <f>IF(OR(J1517="",K1517=""),"",J1517*K1517)</f>
        <v/>
      </c>
      <c r="M1517" s="19" t="n"/>
      <c r="N1517" s="20" t="n"/>
      <c r="O1517" s="20" t="n"/>
    </row>
    <row r="1518">
      <c r="A1518" s="16" t="n">
        <v>1515</v>
      </c>
      <c r="B1518" s="17" t="inlineStr">
        <is>
          <t>2.6.1.18</t>
        </is>
      </c>
      <c r="C1518" s="18" t="inlineStr">
        <is>
          <t>Part 2 – Technical Systems</t>
        </is>
      </c>
      <c r="D1518" s="18" t="inlineStr">
        <is>
          <t>2.6 IP TELEPHONY (VoIP)</t>
        </is>
      </c>
      <c r="E1518" s="18" t="inlineStr">
        <is>
          <t>2.6.1 REQUIREMENT OVERVIEW</t>
        </is>
      </c>
      <c r="F1518" s="18" t="inlineStr">
        <is>
          <t>The CONTRACTOR shall provide any and all devices and software necessary for ensuring that the voice communications through hardware IP telephone switch to softphone application automatically without manual operator intervention while still maintaining voice playback through the operator headsets.</t>
        </is>
      </c>
      <c r="G1518" s="19" t="n"/>
      <c r="H1518" s="20" t="n"/>
      <c r="I1518" s="20" t="n"/>
      <c r="J1518" s="19" t="n"/>
      <c r="K1518" s="21" t="n"/>
      <c r="L1518" s="22">
        <f>IF(OR(J1518="",K1518=""),"",J1518*K1518)</f>
        <v/>
      </c>
      <c r="M1518" s="19" t="n"/>
      <c r="N1518" s="20" t="n"/>
      <c r="O1518" s="20" t="n"/>
    </row>
    <row r="1519">
      <c r="A1519" s="23" t="n">
        <v>1516</v>
      </c>
      <c r="B1519" s="24" t="inlineStr">
        <is>
          <t>2.6.1.19</t>
        </is>
      </c>
      <c r="C1519" s="25" t="inlineStr">
        <is>
          <t>Part 2 – Technical Systems</t>
        </is>
      </c>
      <c r="D1519" s="25" t="inlineStr">
        <is>
          <t>2.6 IP TELEPHONY (VoIP)</t>
        </is>
      </c>
      <c r="E1519" s="25" t="inlineStr">
        <is>
          <t>2.6.1 REQUIREMENT OVERVIEW</t>
        </is>
      </c>
      <c r="F1519" s="25" t="inlineStr">
        <is>
          <t>The CONTRACTOR shall provide complete control of the telephony and recording solution, and all components therein, from a centralized web-browser based management and monitoring system.</t>
        </is>
      </c>
      <c r="G1519" s="19" t="n"/>
      <c r="H1519" s="20" t="n"/>
      <c r="I1519" s="20" t="n"/>
      <c r="J1519" s="19" t="n"/>
      <c r="K1519" s="21" t="n"/>
      <c r="L1519" s="22">
        <f>IF(OR(J1519="",K1519=""),"",J1519*K1519)</f>
        <v/>
      </c>
      <c r="M1519" s="19" t="n"/>
      <c r="N1519" s="20" t="n"/>
      <c r="O1519" s="20" t="n"/>
    </row>
    <row r="1520">
      <c r="A1520" s="16" t="n">
        <v>1517</v>
      </c>
      <c r="B1520" s="17" t="inlineStr">
        <is>
          <t>2.6.1.20</t>
        </is>
      </c>
      <c r="C1520" s="18" t="inlineStr">
        <is>
          <t>Part 2 – Technical Systems</t>
        </is>
      </c>
      <c r="D1520" s="18" t="inlineStr">
        <is>
          <t>2.6 IP TELEPHONY (VoIP)</t>
        </is>
      </c>
      <c r="E1520" s="18" t="inlineStr">
        <is>
          <t>2.6.1 REQUIREMENT OVERVIEW</t>
        </is>
      </c>
      <c r="F1520" s="18" t="inlineStr">
        <is>
          <t>All the CONTRACTOR OSS911 solutions shall be compatible with each other and shall integrate among them seamlessly without compromising any feature or capability of OSS911 solutions.</t>
        </is>
      </c>
      <c r="G1520" s="19" t="n"/>
      <c r="H1520" s="20" t="n"/>
      <c r="I1520" s="20" t="n"/>
      <c r="J1520" s="19" t="n"/>
      <c r="K1520" s="21" t="n"/>
      <c r="L1520" s="22">
        <f>IF(OR(J1520="",K1520=""),"",J1520*K1520)</f>
        <v/>
      </c>
      <c r="M1520" s="19" t="n"/>
      <c r="N1520" s="20" t="n"/>
      <c r="O1520" s="20" t="n"/>
    </row>
    <row r="1521">
      <c r="A1521" s="23" t="n">
        <v>1518</v>
      </c>
      <c r="B1521" s="24" t="inlineStr">
        <is>
          <t>2.6.1.21</t>
        </is>
      </c>
      <c r="C1521" s="25" t="inlineStr">
        <is>
          <t>Part 2 – Technical Systems</t>
        </is>
      </c>
      <c r="D1521" s="25" t="inlineStr">
        <is>
          <t>2.6 IP TELEPHONY (VoIP)</t>
        </is>
      </c>
      <c r="E1521" s="25" t="inlineStr">
        <is>
          <t>2.6.1 REQUIREMENT OVERVIEW</t>
        </is>
      </c>
      <c r="F1521" s="25" t="inlineStr">
        <is>
          <t>The BIDDER shall include a preliminary design with their response. The preliminary design schematic shall be provided as a Microsoft Visio drawing and shall depict the overall system architecture and connectivity requirements and on award of contract the CONTRACTOR shall carry out a detailed design for the telephony solution. The detailed design shall include an overall numbering plan using common numbering pattern.</t>
        </is>
      </c>
      <c r="G1521" s="19" t="n"/>
      <c r="H1521" s="20" t="n"/>
      <c r="I1521" s="20" t="n"/>
      <c r="J1521" s="19" t="n"/>
      <c r="K1521" s="21" t="n"/>
      <c r="L1521" s="22">
        <f>IF(OR(J1521="",K1521=""),"",J1521*K1521)</f>
        <v/>
      </c>
      <c r="M1521" s="19" t="n"/>
      <c r="N1521" s="20" t="n"/>
      <c r="O1521" s="20" t="n"/>
    </row>
    <row r="1522">
      <c r="A1522" s="16" t="n">
        <v>1519</v>
      </c>
      <c r="B1522" s="17" t="inlineStr">
        <is>
          <t>2.6.1.22</t>
        </is>
      </c>
      <c r="C1522" s="18" t="inlineStr">
        <is>
          <t>Part 2 – Technical Systems</t>
        </is>
      </c>
      <c r="D1522" s="18" t="inlineStr">
        <is>
          <t>2.6 IP TELEPHONY (VoIP)</t>
        </is>
      </c>
      <c r="E1522" s="18" t="inlineStr">
        <is>
          <t>2.6.1 REQUIREMENT OVERVIEW</t>
        </is>
      </c>
      <c r="F1522" s="18" t="inlineStr">
        <is>
          <t>The detailed design shall include a configuration specification for the telephony solution including, but not limited to, aspects such as:</t>
        </is>
      </c>
      <c r="G1522" s="19" t="n"/>
      <c r="H1522" s="20" t="n"/>
      <c r="I1522" s="20" t="n"/>
      <c r="J1522" s="19" t="n"/>
      <c r="K1522" s="21" t="n"/>
      <c r="L1522" s="22">
        <f>IF(OR(J1522="",K1522=""),"",J1522*K1522)</f>
        <v/>
      </c>
      <c r="M1522" s="19" t="n"/>
      <c r="N1522" s="20" t="n"/>
      <c r="O1522" s="20" t="n"/>
    </row>
    <row r="1523">
      <c r="A1523" s="23" t="n">
        <v>1520</v>
      </c>
      <c r="B1523" s="23" t="inlineStr">
        <is>
          <t>2.6.1.22.1</t>
        </is>
      </c>
      <c r="C1523" s="25" t="inlineStr">
        <is>
          <t>Part 2 – Technical Systems</t>
        </is>
      </c>
      <c r="D1523" s="25" t="inlineStr">
        <is>
          <t>2.6 IP TELEPHONY (VoIP)</t>
        </is>
      </c>
      <c r="E1523" s="25" t="inlineStr">
        <is>
          <t>2.6.1 REQUIREMENT OVERVIEW</t>
        </is>
      </c>
      <c r="F1523" s="25" t="inlineStr">
        <is>
          <t>Detailed system interconnectivity diagram</t>
        </is>
      </c>
      <c r="G1523" s="19" t="n"/>
      <c r="H1523" s="20" t="n"/>
      <c r="I1523" s="20" t="n"/>
      <c r="J1523" s="19" t="n"/>
      <c r="K1523" s="21" t="n"/>
      <c r="L1523" s="22">
        <f>IF(OR(J1523="",K1523=""),"",J1523*K1523)</f>
        <v/>
      </c>
      <c r="M1523" s="19" t="n"/>
      <c r="N1523" s="20" t="n"/>
      <c r="O1523" s="20" t="n"/>
    </row>
    <row r="1524">
      <c r="A1524" s="16" t="n">
        <v>1521</v>
      </c>
      <c r="B1524" s="16" t="inlineStr">
        <is>
          <t>2.6.1.22.2</t>
        </is>
      </c>
      <c r="C1524" s="18" t="inlineStr">
        <is>
          <t>Part 2 – Technical Systems</t>
        </is>
      </c>
      <c r="D1524" s="18" t="inlineStr">
        <is>
          <t>2.6 IP TELEPHONY (VoIP)</t>
        </is>
      </c>
      <c r="E1524" s="18" t="inlineStr">
        <is>
          <t>2.6.1 REQUIREMENT OVERVIEW</t>
        </is>
      </c>
      <c r="F1524" s="18" t="inlineStr">
        <is>
          <t>Failover and failback workflow and SOPs</t>
        </is>
      </c>
      <c r="G1524" s="19" t="n"/>
      <c r="H1524" s="20" t="n"/>
      <c r="I1524" s="20" t="n"/>
      <c r="J1524" s="19" t="n"/>
      <c r="K1524" s="21" t="n"/>
      <c r="L1524" s="22">
        <f>IF(OR(J1524="",K1524=""),"",J1524*K1524)</f>
        <v/>
      </c>
      <c r="M1524" s="19" t="n"/>
      <c r="N1524" s="20" t="n"/>
      <c r="O1524" s="20" t="n"/>
    </row>
    <row r="1525">
      <c r="A1525" s="23" t="n">
        <v>1522</v>
      </c>
      <c r="B1525" s="23" t="inlineStr">
        <is>
          <t>2.6.1.22.3</t>
        </is>
      </c>
      <c r="C1525" s="25" t="inlineStr">
        <is>
          <t>Part 2 – Technical Systems</t>
        </is>
      </c>
      <c r="D1525" s="25" t="inlineStr">
        <is>
          <t>2.6 IP TELEPHONY (VoIP)</t>
        </is>
      </c>
      <c r="E1525" s="25" t="inlineStr">
        <is>
          <t>2.6.1 REQUIREMENT OVERVIEW</t>
        </is>
      </c>
      <c r="F1525" s="25" t="inlineStr">
        <is>
          <t>Equipment wiring diagrams</t>
        </is>
      </c>
      <c r="G1525" s="19" t="n"/>
      <c r="H1525" s="20" t="n"/>
      <c r="I1525" s="20" t="n"/>
      <c r="J1525" s="19" t="n"/>
      <c r="K1525" s="21" t="n"/>
      <c r="L1525" s="22">
        <f>IF(OR(J1525="",K1525=""),"",J1525*K1525)</f>
        <v/>
      </c>
      <c r="M1525" s="19" t="n"/>
      <c r="N1525" s="20" t="n"/>
      <c r="O1525" s="20" t="n"/>
    </row>
    <row r="1526">
      <c r="A1526" s="16" t="n">
        <v>1523</v>
      </c>
      <c r="B1526" s="16" t="inlineStr">
        <is>
          <t>2.6.1.22.4</t>
        </is>
      </c>
      <c r="C1526" s="18" t="inlineStr">
        <is>
          <t>Part 2 – Technical Systems</t>
        </is>
      </c>
      <c r="D1526" s="18" t="inlineStr">
        <is>
          <t>2.6 IP TELEPHONY (VoIP)</t>
        </is>
      </c>
      <c r="E1526" s="18" t="inlineStr">
        <is>
          <t>2.6.1 REQUIREMENT OVERVIEW</t>
        </is>
      </c>
      <c r="F1526" s="18" t="inlineStr">
        <is>
          <t>Equipment rack elevations</t>
        </is>
      </c>
      <c r="G1526" s="19" t="n"/>
      <c r="H1526" s="20" t="n"/>
      <c r="I1526" s="20" t="n"/>
      <c r="J1526" s="19" t="n"/>
      <c r="K1526" s="21" t="n"/>
      <c r="L1526" s="22">
        <f>IF(OR(J1526="",K1526=""),"",J1526*K1526)</f>
        <v/>
      </c>
      <c r="M1526" s="19" t="n"/>
      <c r="N1526" s="20" t="n"/>
      <c r="O1526" s="20" t="n"/>
    </row>
    <row r="1527">
      <c r="A1527" s="23" t="n">
        <v>1524</v>
      </c>
      <c r="B1527" s="23" t="inlineStr">
        <is>
          <t>2.6.1.22.5</t>
        </is>
      </c>
      <c r="C1527" s="25" t="inlineStr">
        <is>
          <t>Part 2 – Technical Systems</t>
        </is>
      </c>
      <c r="D1527" s="25" t="inlineStr">
        <is>
          <t>2.6 IP TELEPHONY (VoIP)</t>
        </is>
      </c>
      <c r="E1527" s="25" t="inlineStr">
        <is>
          <t>2.6.1 REQUIREMENT OVERVIEW</t>
        </is>
      </c>
      <c r="F1527" s="25" t="inlineStr">
        <is>
          <t>Power calculations</t>
        </is>
      </c>
      <c r="G1527" s="19" t="n"/>
      <c r="H1527" s="20" t="n"/>
      <c r="I1527" s="20" t="n"/>
      <c r="J1527" s="19" t="n"/>
      <c r="K1527" s="21" t="n"/>
      <c r="L1527" s="22">
        <f>IF(OR(J1527="",K1527=""),"",J1527*K1527)</f>
        <v/>
      </c>
      <c r="M1527" s="19" t="n"/>
      <c r="N1527" s="20" t="n"/>
      <c r="O1527" s="20" t="n"/>
    </row>
    <row r="1528">
      <c r="A1528" s="16" t="n">
        <v>1525</v>
      </c>
      <c r="B1528" s="16" t="inlineStr">
        <is>
          <t>2.6.1.22.6</t>
        </is>
      </c>
      <c r="C1528" s="18" t="inlineStr">
        <is>
          <t>Part 2 – Technical Systems</t>
        </is>
      </c>
      <c r="D1528" s="18" t="inlineStr">
        <is>
          <t>2.6 IP TELEPHONY (VoIP)</t>
        </is>
      </c>
      <c r="E1528" s="18" t="inlineStr">
        <is>
          <t>2.6.1 REQUIREMENT OVERVIEW</t>
        </is>
      </c>
      <c r="F1528" s="18" t="inlineStr">
        <is>
          <t>Identification of equipment along with product datasheets</t>
        </is>
      </c>
      <c r="G1528" s="19" t="n"/>
      <c r="H1528" s="20" t="n"/>
      <c r="I1528" s="20" t="n"/>
      <c r="J1528" s="19" t="n"/>
      <c r="K1528" s="21" t="n"/>
      <c r="L1528" s="22">
        <f>IF(OR(J1528="",K1528=""),"",J1528*K1528)</f>
        <v/>
      </c>
      <c r="M1528" s="19" t="n"/>
      <c r="N1528" s="20" t="n"/>
      <c r="O1528" s="20" t="n"/>
    </row>
    <row r="1529">
      <c r="A1529" s="23" t="n">
        <v>1526</v>
      </c>
      <c r="B1529" s="23" t="inlineStr">
        <is>
          <t>2.6.1.22.7</t>
        </is>
      </c>
      <c r="C1529" s="25" t="inlineStr">
        <is>
          <t>Part 2 – Technical Systems</t>
        </is>
      </c>
      <c r="D1529" s="25" t="inlineStr">
        <is>
          <t>2.6 IP TELEPHONY (VoIP)</t>
        </is>
      </c>
      <c r="E1529" s="25" t="inlineStr">
        <is>
          <t>2.6.1 REQUIREMENT OVERVIEW</t>
        </is>
      </c>
      <c r="F1529" s="25" t="inlineStr">
        <is>
          <t>Network configuration information, including identification of security settings, Quality of Service (QoS) settings, bandwidth requirements, VPN clients, IP schema, VLAN schema, etc.</t>
        </is>
      </c>
      <c r="G1529" s="19" t="n"/>
      <c r="H1529" s="20" t="n"/>
      <c r="I1529" s="20" t="n"/>
      <c r="J1529" s="19" t="n"/>
      <c r="K1529" s="21" t="n"/>
      <c r="L1529" s="22">
        <f>IF(OR(J1529="",K1529=""),"",J1529*K1529)</f>
        <v/>
      </c>
      <c r="M1529" s="19" t="n"/>
      <c r="N1529" s="20" t="n"/>
      <c r="O1529" s="20" t="n"/>
    </row>
    <row r="1530">
      <c r="A1530" s="16" t="n">
        <v>1527</v>
      </c>
      <c r="B1530" s="16" t="inlineStr">
        <is>
          <t>2.6.1.22.8</t>
        </is>
      </c>
      <c r="C1530" s="18" t="inlineStr">
        <is>
          <t>Part 2 – Technical Systems</t>
        </is>
      </c>
      <c r="D1530" s="18" t="inlineStr">
        <is>
          <t>2.6 IP TELEPHONY (VoIP)</t>
        </is>
      </c>
      <c r="E1530" s="18" t="inlineStr">
        <is>
          <t>2.6.1 REQUIREMENT OVERVIEW</t>
        </is>
      </c>
      <c r="F1530" s="18" t="inlineStr">
        <is>
          <t>Groups and hunt groups</t>
        </is>
      </c>
      <c r="G1530" s="19" t="n"/>
      <c r="H1530" s="20" t="n"/>
      <c r="I1530" s="20" t="n"/>
      <c r="J1530" s="19" t="n"/>
      <c r="K1530" s="21" t="n"/>
      <c r="L1530" s="22">
        <f>IF(OR(J1530="",K1530=""),"",J1530*K1530)</f>
        <v/>
      </c>
      <c r="M1530" s="19" t="n"/>
      <c r="N1530" s="20" t="n"/>
      <c r="O1530" s="20" t="n"/>
    </row>
    <row r="1531">
      <c r="A1531" s="23" t="n">
        <v>1528</v>
      </c>
      <c r="B1531" s="23" t="inlineStr">
        <is>
          <t>2.6.1.22.9</t>
        </is>
      </c>
      <c r="C1531" s="25" t="inlineStr">
        <is>
          <t>Part 2 – Technical Systems</t>
        </is>
      </c>
      <c r="D1531" s="25" t="inlineStr">
        <is>
          <t>2.6 IP TELEPHONY (VoIP)</t>
        </is>
      </c>
      <c r="E1531" s="25" t="inlineStr">
        <is>
          <t>2.6.1 REQUIREMENT OVERVIEW</t>
        </is>
      </c>
      <c r="F1531" s="25" t="inlineStr">
        <is>
          <t>Individual extension configurations</t>
        </is>
      </c>
      <c r="G1531" s="19" t="n"/>
      <c r="H1531" s="20" t="n"/>
      <c r="I1531" s="20" t="n"/>
      <c r="J1531" s="19" t="n"/>
      <c r="K1531" s="21" t="n"/>
      <c r="L1531" s="22">
        <f>IF(OR(J1531="",K1531=""),"",J1531*K1531)</f>
        <v/>
      </c>
      <c r="M1531" s="19" t="n"/>
      <c r="N1531" s="20" t="n"/>
      <c r="O1531" s="20" t="n"/>
    </row>
    <row r="1532">
      <c r="A1532" s="16" t="n">
        <v>1529</v>
      </c>
      <c r="B1532" s="16" t="inlineStr">
        <is>
          <t>2.6.1.22.10</t>
        </is>
      </c>
      <c r="C1532" s="18" t="inlineStr">
        <is>
          <t>Part 2 – Technical Systems</t>
        </is>
      </c>
      <c r="D1532" s="18" t="inlineStr">
        <is>
          <t>2.6 IP TELEPHONY (VoIP)</t>
        </is>
      </c>
      <c r="E1532" s="18" t="inlineStr">
        <is>
          <t>2.6.1 REQUIREMENT OVERVIEW</t>
        </is>
      </c>
      <c r="F1532" s="18" t="inlineStr">
        <is>
          <t>Numbering Plan</t>
        </is>
      </c>
      <c r="G1532" s="19" t="n"/>
      <c r="H1532" s="20" t="n"/>
      <c r="I1532" s="20" t="n"/>
      <c r="J1532" s="19" t="n"/>
      <c r="K1532" s="21" t="n"/>
      <c r="L1532" s="22">
        <f>IF(OR(J1532="",K1532=""),"",J1532*K1532)</f>
        <v/>
      </c>
      <c r="M1532" s="19" t="n"/>
      <c r="N1532" s="20" t="n"/>
      <c r="O1532" s="20" t="n"/>
    </row>
    <row r="1533">
      <c r="A1533" s="23" t="n">
        <v>1530</v>
      </c>
      <c r="B1533" s="23" t="inlineStr">
        <is>
          <t>2.6.1.22.11</t>
        </is>
      </c>
      <c r="C1533" s="25" t="inlineStr">
        <is>
          <t>Part 2 – Technical Systems</t>
        </is>
      </c>
      <c r="D1533" s="25" t="inlineStr">
        <is>
          <t>2.6 IP TELEPHONY (VoIP)</t>
        </is>
      </c>
      <c r="E1533" s="25" t="inlineStr">
        <is>
          <t>2.6.1 REQUIREMENT OVERVIEW</t>
        </is>
      </c>
      <c r="F1533" s="25" t="inlineStr">
        <is>
          <t>Night service</t>
        </is>
      </c>
      <c r="G1533" s="19" t="n"/>
      <c r="H1533" s="20" t="n"/>
      <c r="I1533" s="20" t="n"/>
      <c r="J1533" s="19" t="n"/>
      <c r="K1533" s="21" t="n"/>
      <c r="L1533" s="22">
        <f>IF(OR(J1533="",K1533=""),"",J1533*K1533)</f>
        <v/>
      </c>
      <c r="M1533" s="19" t="n"/>
      <c r="N1533" s="20" t="n"/>
      <c r="O1533" s="20" t="n"/>
    </row>
    <row r="1534">
      <c r="A1534" s="16" t="n">
        <v>1531</v>
      </c>
      <c r="B1534" s="16" t="inlineStr">
        <is>
          <t>2.6.1.22.12</t>
        </is>
      </c>
      <c r="C1534" s="18" t="inlineStr">
        <is>
          <t>Part 2 – Technical Systems</t>
        </is>
      </c>
      <c r="D1534" s="18" t="inlineStr">
        <is>
          <t>2.6 IP TELEPHONY (VoIP)</t>
        </is>
      </c>
      <c r="E1534" s="18" t="inlineStr">
        <is>
          <t>2.6.1 REQUIREMENT OVERVIEW</t>
        </is>
      </c>
      <c r="F1534" s="18" t="inlineStr">
        <is>
          <t>Trunk and line configurations</t>
        </is>
      </c>
      <c r="G1534" s="19" t="n"/>
      <c r="H1534" s="20" t="n"/>
      <c r="I1534" s="20" t="n"/>
      <c r="J1534" s="19" t="n"/>
      <c r="K1534" s="21" t="n"/>
      <c r="L1534" s="22">
        <f>IF(OR(J1534="",K1534=""),"",J1534*K1534)</f>
        <v/>
      </c>
      <c r="M1534" s="19" t="n"/>
      <c r="N1534" s="20" t="n"/>
      <c r="O1534" s="20" t="n"/>
    </row>
    <row r="1535">
      <c r="A1535" s="23" t="n">
        <v>1532</v>
      </c>
      <c r="B1535" s="23" t="inlineStr">
        <is>
          <t>2.6.1.22.13</t>
        </is>
      </c>
      <c r="C1535" s="25" t="inlineStr">
        <is>
          <t>Part 2 – Technical Systems</t>
        </is>
      </c>
      <c r="D1535" s="25" t="inlineStr">
        <is>
          <t>2.6 IP TELEPHONY (VoIP)</t>
        </is>
      </c>
      <c r="E1535" s="25" t="inlineStr">
        <is>
          <t>2.6.1 REQUIREMENT OVERVIEW</t>
        </is>
      </c>
      <c r="F1535" s="25" t="inlineStr">
        <is>
          <t>Feature access codes</t>
        </is>
      </c>
      <c r="G1535" s="19" t="n"/>
      <c r="H1535" s="20" t="n"/>
      <c r="I1535" s="20" t="n"/>
      <c r="J1535" s="19" t="n"/>
      <c r="K1535" s="21" t="n"/>
      <c r="L1535" s="22">
        <f>IF(OR(J1535="",K1535=""),"",J1535*K1535)</f>
        <v/>
      </c>
      <c r="M1535" s="19" t="n"/>
      <c r="N1535" s="20" t="n"/>
      <c r="O1535" s="20" t="n"/>
    </row>
    <row r="1536">
      <c r="A1536" s="16" t="n">
        <v>1533</v>
      </c>
      <c r="B1536" s="16" t="inlineStr">
        <is>
          <t>2.6.1.22.14</t>
        </is>
      </c>
      <c r="C1536" s="18" t="inlineStr">
        <is>
          <t>Part 2 – Technical Systems</t>
        </is>
      </c>
      <c r="D1536" s="18" t="inlineStr">
        <is>
          <t>2.6 IP TELEPHONY (VoIP)</t>
        </is>
      </c>
      <c r="E1536" s="18" t="inlineStr">
        <is>
          <t>2.6.1 REQUIREMENT OVERVIEW</t>
        </is>
      </c>
      <c r="F1536" s="18" t="inlineStr">
        <is>
          <t>Short code dialing lists</t>
        </is>
      </c>
      <c r="G1536" s="19" t="n"/>
      <c r="H1536" s="20" t="n"/>
      <c r="I1536" s="20" t="n"/>
      <c r="J1536" s="19" t="n"/>
      <c r="K1536" s="21" t="n"/>
      <c r="L1536" s="22">
        <f>IF(OR(J1536="",K1536=""),"",J1536*K1536)</f>
        <v/>
      </c>
      <c r="M1536" s="19" t="n"/>
      <c r="N1536" s="20" t="n"/>
      <c r="O1536" s="20" t="n"/>
    </row>
    <row r="1537">
      <c r="A1537" s="23" t="n">
        <v>1534</v>
      </c>
      <c r="B1537" s="24" t="inlineStr">
        <is>
          <t>2.6.1.23</t>
        </is>
      </c>
      <c r="C1537" s="25" t="inlineStr">
        <is>
          <t>Part 2 – Technical Systems</t>
        </is>
      </c>
      <c r="D1537" s="25" t="inlineStr">
        <is>
          <t>2.6 IP TELEPHONY (VoIP)</t>
        </is>
      </c>
      <c r="E1537" s="25" t="inlineStr">
        <is>
          <t>2.6.1 REQUIREMENT OVERVIEW</t>
        </is>
      </c>
      <c r="F1537" s="25" t="inlineStr">
        <is>
          <t>The CONTRACTOR solution shall be configurable to allow / disallow direct dialing outside numbers based on role, location, telephone numbers, etc.</t>
        </is>
      </c>
      <c r="G1537" s="19" t="n"/>
      <c r="H1537" s="20" t="n"/>
      <c r="I1537" s="20" t="n"/>
      <c r="J1537" s="19" t="n"/>
      <c r="K1537" s="21" t="n"/>
      <c r="L1537" s="22">
        <f>IF(OR(J1537="",K1537=""),"",J1537*K1537)</f>
        <v/>
      </c>
      <c r="M1537" s="19" t="n"/>
      <c r="N1537" s="20" t="n"/>
      <c r="O1537" s="20" t="n"/>
    </row>
    <row r="1538">
      <c r="A1538" s="16" t="n">
        <v>1535</v>
      </c>
      <c r="B1538" s="17" t="inlineStr">
        <is>
          <t>2.6.1.24</t>
        </is>
      </c>
      <c r="C1538" s="18" t="inlineStr">
        <is>
          <t>Part 2 – Technical Systems</t>
        </is>
      </c>
      <c r="D1538" s="18" t="inlineStr">
        <is>
          <t>2.6 IP TELEPHONY (VoIP)</t>
        </is>
      </c>
      <c r="E1538" s="18" t="inlineStr">
        <is>
          <t>2.6.1 REQUIREMENT OVERVIEW</t>
        </is>
      </c>
      <c r="F1538" s="18" t="inlineStr">
        <is>
          <t>The network and system design shall support automatic transfer of relevant IP voice and data communications between the paired OSS911 Centers including assisted transfer, and/or blind transfer – with the actual transfer mechanism agreed with the MOI as part of project design.</t>
        </is>
      </c>
      <c r="G1538" s="19" t="n"/>
      <c r="H1538" s="20" t="n"/>
      <c r="I1538" s="20" t="n"/>
      <c r="J1538" s="19" t="n"/>
      <c r="K1538" s="21" t="n"/>
      <c r="L1538" s="22">
        <f>IF(OR(J1538="",K1538=""),"",J1538*K1538)</f>
        <v/>
      </c>
      <c r="M1538" s="19" t="n"/>
      <c r="N1538" s="20" t="n"/>
      <c r="O1538" s="20" t="n"/>
    </row>
    <row r="1539">
      <c r="A1539" s="23" t="n">
        <v>1536</v>
      </c>
      <c r="B1539" s="24" t="inlineStr">
        <is>
          <t>2.6.1.25</t>
        </is>
      </c>
      <c r="C1539" s="25" t="inlineStr">
        <is>
          <t>Part 2 – Technical Systems</t>
        </is>
      </c>
      <c r="D1539" s="25" t="inlineStr">
        <is>
          <t>2.6 IP TELEPHONY (VoIP)</t>
        </is>
      </c>
      <c r="E1539" s="25" t="inlineStr">
        <is>
          <t>2.6.1 REQUIREMENT OVERVIEW</t>
        </is>
      </c>
      <c r="F1539" s="25" t="inlineStr">
        <is>
          <t>The CONTRACTOR solution shall include delivery of analog telephony solution as emergency backup for all operators and supervisors in the event of a failure of the SIP circuits(s) including the supply of related analog gateways and telephone sets.</t>
        </is>
      </c>
      <c r="G1539" s="19" t="n"/>
      <c r="H1539" s="20" t="n"/>
      <c r="I1539" s="20" t="n"/>
      <c r="J1539" s="19" t="n"/>
      <c r="K1539" s="21" t="n"/>
      <c r="L1539" s="22">
        <f>IF(OR(J1539="",K1539=""),"",J1539*K1539)</f>
        <v/>
      </c>
      <c r="M1539" s="19" t="n"/>
      <c r="N1539" s="20" t="n"/>
      <c r="O1539" s="20" t="n"/>
    </row>
    <row r="1540">
      <c r="A1540" s="16" t="n">
        <v>1537</v>
      </c>
      <c r="B1540" s="17" t="inlineStr">
        <is>
          <t>2.6.1.26</t>
        </is>
      </c>
      <c r="C1540" s="18" t="inlineStr">
        <is>
          <t>Part 2 – Technical Systems</t>
        </is>
      </c>
      <c r="D1540" s="18" t="inlineStr">
        <is>
          <t>2.6 IP TELEPHONY (VoIP)</t>
        </is>
      </c>
      <c r="E1540" s="18" t="inlineStr">
        <is>
          <t>2.6.1 REQUIREMENT OVERVIEW</t>
        </is>
      </c>
      <c r="F1540" s="18" t="inlineStr">
        <is>
          <t>The CONTRACTOR shall integrate the telephony and recording solution with the IRMS solution and the Business Intelligence and Reporting Solution through the CONTRACTOR supplied middleware/enterprise service bus.</t>
        </is>
      </c>
      <c r="G1540" s="19" t="n"/>
      <c r="H1540" s="20" t="n"/>
      <c r="I1540" s="20" t="n"/>
      <c r="J1540" s="19" t="n"/>
      <c r="K1540" s="21" t="n"/>
      <c r="L1540" s="22">
        <f>IF(OR(J1540="",K1540=""),"",J1540*K1540)</f>
        <v/>
      </c>
      <c r="M1540" s="19" t="n"/>
      <c r="N1540" s="20" t="n"/>
      <c r="O1540" s="20" t="n"/>
    </row>
    <row r="1541">
      <c r="A1541" s="23" t="n">
        <v>1538</v>
      </c>
      <c r="B1541" s="24" t="inlineStr">
        <is>
          <t>2.6.1.27</t>
        </is>
      </c>
      <c r="C1541" s="25" t="inlineStr">
        <is>
          <t>Part 2 – Technical Systems</t>
        </is>
      </c>
      <c r="D1541" s="25" t="inlineStr">
        <is>
          <t>2.6 IP TELEPHONY (VoIP)</t>
        </is>
      </c>
      <c r="E1541" s="25" t="inlineStr">
        <is>
          <t>2.6.1 REQUIREMENT OVERVIEW</t>
        </is>
      </c>
      <c r="F1541" s="25" t="inlineStr">
        <is>
          <t>The telephony solution integration with IRMS shall provide a solution for the handling of all emergency calls including eCall, irrespective of the eCall being received directly from the Mobile Network Operators OR through third-party service provides (TPS).</t>
        </is>
      </c>
      <c r="G1541" s="19" t="n"/>
      <c r="H1541" s="20" t="n"/>
      <c r="I1541" s="20" t="n"/>
      <c r="J1541" s="19" t="n"/>
      <c r="K1541" s="21" t="n"/>
      <c r="L1541" s="22">
        <f>IF(OR(J1541="",K1541=""),"",J1541*K1541)</f>
        <v/>
      </c>
      <c r="M1541" s="19" t="n"/>
      <c r="N1541" s="20" t="n"/>
      <c r="O1541" s="20" t="n"/>
    </row>
    <row r="1542">
      <c r="A1542" s="16" t="n">
        <v>1539</v>
      </c>
      <c r="B1542" s="17" t="inlineStr">
        <is>
          <t>2.6.1.28</t>
        </is>
      </c>
      <c r="C1542" s="18" t="inlineStr">
        <is>
          <t>Part 2 – Technical Systems</t>
        </is>
      </c>
      <c r="D1542" s="18" t="inlineStr">
        <is>
          <t>2.6 IP TELEPHONY (VoIP)</t>
        </is>
      </c>
      <c r="E1542" s="18" t="inlineStr">
        <is>
          <t>2.6.1 REQUIREMENT OVERVIEW</t>
        </is>
      </c>
      <c r="F1542" s="18" t="inlineStr">
        <is>
          <t>The telephony solution shall provide communication solution within the OSS911 Center and with external entities.</t>
        </is>
      </c>
      <c r="G1542" s="19" t="n"/>
      <c r="H1542" s="20" t="n"/>
      <c r="I1542" s="20" t="n"/>
      <c r="J1542" s="19" t="n"/>
      <c r="K1542" s="21" t="n"/>
      <c r="L1542" s="22">
        <f>IF(OR(J1542="",K1542=""),"",J1542*K1542)</f>
        <v/>
      </c>
      <c r="M1542" s="19" t="n"/>
      <c r="N1542" s="20" t="n"/>
      <c r="O1542" s="20" t="n"/>
    </row>
    <row r="1543">
      <c r="A1543" s="23" t="n">
        <v>1540</v>
      </c>
      <c r="B1543" s="24" t="inlineStr">
        <is>
          <t>2.6.1.29</t>
        </is>
      </c>
      <c r="C1543" s="25" t="inlineStr">
        <is>
          <t>Part 2 – Technical Systems</t>
        </is>
      </c>
      <c r="D1543" s="25" t="inlineStr">
        <is>
          <t>2.6 IP TELEPHONY (VoIP)</t>
        </is>
      </c>
      <c r="E1543" s="25" t="inlineStr">
        <is>
          <t>2.6.1 REQUIREMENT OVERVIEW</t>
        </is>
      </c>
      <c r="F1543" s="25" t="inlineStr">
        <is>
          <t>The CONTRACTOR shall deliver a telephony and recording solution that:</t>
        </is>
      </c>
      <c r="G1543" s="19" t="n"/>
      <c r="H1543" s="20" t="n"/>
      <c r="I1543" s="20" t="n"/>
      <c r="J1543" s="19" t="n"/>
      <c r="K1543" s="21" t="n"/>
      <c r="L1543" s="22">
        <f>IF(OR(J1543="",K1543=""),"",J1543*K1543)</f>
        <v/>
      </c>
      <c r="M1543" s="19" t="n"/>
      <c r="N1543" s="20" t="n"/>
      <c r="O1543" s="20" t="n"/>
    </row>
    <row r="1544">
      <c r="A1544" s="16" t="n">
        <v>1541</v>
      </c>
      <c r="B1544" s="16" t="inlineStr">
        <is>
          <t>2.6.1.29.1</t>
        </is>
      </c>
      <c r="C1544" s="18" t="inlineStr">
        <is>
          <t>Part 2 – Technical Systems</t>
        </is>
      </c>
      <c r="D1544" s="18" t="inlineStr">
        <is>
          <t>2.6 IP TELEPHONY (VoIP)</t>
        </is>
      </c>
      <c r="E1544" s="18" t="inlineStr">
        <is>
          <t>2.6.1 REQUIREMENT OVERVIEW</t>
        </is>
      </c>
      <c r="F1544" s="18" t="inlineStr">
        <is>
          <t>Is scalable and modular.</t>
        </is>
      </c>
      <c r="G1544" s="19" t="n"/>
      <c r="H1544" s="20" t="n"/>
      <c r="I1544" s="20" t="n"/>
      <c r="J1544" s="19" t="n"/>
      <c r="K1544" s="21" t="n"/>
      <c r="L1544" s="22">
        <f>IF(OR(J1544="",K1544=""),"",J1544*K1544)</f>
        <v/>
      </c>
      <c r="M1544" s="19" t="n"/>
      <c r="N1544" s="20" t="n"/>
      <c r="O1544" s="20" t="n"/>
    </row>
    <row r="1545">
      <c r="A1545" s="23" t="n">
        <v>1542</v>
      </c>
      <c r="B1545" s="23" t="inlineStr">
        <is>
          <t>2.6.1.29.2</t>
        </is>
      </c>
      <c r="C1545" s="25" t="inlineStr">
        <is>
          <t>Part 2 – Technical Systems</t>
        </is>
      </c>
      <c r="D1545" s="25" t="inlineStr">
        <is>
          <t>2.6 IP TELEPHONY (VoIP)</t>
        </is>
      </c>
      <c r="E1545" s="25" t="inlineStr">
        <is>
          <t>2.6.1 REQUIREMENT OVERVIEW</t>
        </is>
      </c>
      <c r="F1545" s="25" t="inlineStr">
        <is>
          <t>Shall support all open system industry standards including H.323, SIP, 802.1p, and 802.1s.</t>
        </is>
      </c>
      <c r="G1545" s="19" t="n"/>
      <c r="H1545" s="20" t="n"/>
      <c r="I1545" s="20" t="n"/>
      <c r="J1545" s="19" t="n"/>
      <c r="K1545" s="21" t="n"/>
      <c r="L1545" s="22">
        <f>IF(OR(J1545="",K1545=""),"",J1545*K1545)</f>
        <v/>
      </c>
      <c r="M1545" s="19" t="n"/>
      <c r="N1545" s="20" t="n"/>
      <c r="O1545" s="20" t="n"/>
    </row>
    <row r="1546">
      <c r="A1546" s="16" t="n">
        <v>1543</v>
      </c>
      <c r="B1546" s="16" t="inlineStr">
        <is>
          <t>2.6.1.29.3</t>
        </is>
      </c>
      <c r="C1546" s="18" t="inlineStr">
        <is>
          <t>Part 2 – Technical Systems</t>
        </is>
      </c>
      <c r="D1546" s="18" t="inlineStr">
        <is>
          <t>2.6 IP TELEPHONY (VoIP)</t>
        </is>
      </c>
      <c r="E1546" s="18" t="inlineStr">
        <is>
          <t>2.6.1 REQUIREMENT OVERVIEW</t>
        </is>
      </c>
      <c r="F1546" s="18" t="inlineStr">
        <is>
          <t>Includes a voice messaging system that shall be a scalable solution that supports industry standards including LDAP, and IMAP.</t>
        </is>
      </c>
      <c r="G1546" s="19" t="n"/>
      <c r="H1546" s="20" t="n"/>
      <c r="I1546" s="20" t="n"/>
      <c r="J1546" s="19" t="n"/>
      <c r="K1546" s="21" t="n"/>
      <c r="L1546" s="22">
        <f>IF(OR(J1546="",K1546=""),"",J1546*K1546)</f>
        <v/>
      </c>
      <c r="M1546" s="19" t="n"/>
      <c r="N1546" s="20" t="n"/>
      <c r="O1546" s="20" t="n"/>
    </row>
    <row r="1547">
      <c r="A1547" s="23" t="n">
        <v>1544</v>
      </c>
      <c r="B1547" s="23" t="inlineStr">
        <is>
          <t>2.6.1.29.4</t>
        </is>
      </c>
      <c r="C1547" s="25" t="inlineStr">
        <is>
          <t>Part 2 – Technical Systems</t>
        </is>
      </c>
      <c r="D1547" s="25" t="inlineStr">
        <is>
          <t>2.6 IP TELEPHONY (VoIP)</t>
        </is>
      </c>
      <c r="E1547" s="25" t="inlineStr">
        <is>
          <t>2.6.1 REQUIREMENT OVERVIEW</t>
        </is>
      </c>
      <c r="F1547" s="25" t="inlineStr">
        <is>
          <t>Includes a web-based management and monitoring solution.</t>
        </is>
      </c>
      <c r="G1547" s="19" t="n"/>
      <c r="H1547" s="20" t="n"/>
      <c r="I1547" s="20" t="n"/>
      <c r="J1547" s="19" t="n"/>
      <c r="K1547" s="21" t="n"/>
      <c r="L1547" s="22">
        <f>IF(OR(J1547="",K1547=""),"",J1547*K1547)</f>
        <v/>
      </c>
      <c r="M1547" s="19" t="n"/>
      <c r="N1547" s="20" t="n"/>
      <c r="O1547" s="20" t="n"/>
    </row>
    <row r="1548">
      <c r="A1548" s="16" t="n">
        <v>1545</v>
      </c>
      <c r="B1548" s="16" t="inlineStr">
        <is>
          <t>2.6.1.29.5</t>
        </is>
      </c>
      <c r="C1548" s="18" t="inlineStr">
        <is>
          <t>Part 2 – Technical Systems</t>
        </is>
      </c>
      <c r="D1548" s="18" t="inlineStr">
        <is>
          <t>2.6 IP TELEPHONY (VoIP)</t>
        </is>
      </c>
      <c r="E1548" s="18" t="inlineStr">
        <is>
          <t>2.6.1 REQUIREMENT OVERVIEW</t>
        </is>
      </c>
      <c r="F1548" s="18" t="inlineStr">
        <is>
          <t>Includes abbreviated dialing pattern</t>
        </is>
      </c>
      <c r="G1548" s="19" t="n"/>
      <c r="H1548" s="20" t="n"/>
      <c r="I1548" s="20" t="n"/>
      <c r="J1548" s="19" t="n"/>
      <c r="K1548" s="21" t="n"/>
      <c r="L1548" s="22">
        <f>IF(OR(J1548="",K1548=""),"",J1548*K1548)</f>
        <v/>
      </c>
      <c r="M1548" s="19" t="n"/>
      <c r="N1548" s="20" t="n"/>
      <c r="O1548" s="20" t="n"/>
    </row>
    <row r="1549">
      <c r="A1549" s="23" t="n">
        <v>1546</v>
      </c>
      <c r="B1549" s="23" t="inlineStr">
        <is>
          <t>2.6.1.29.6</t>
        </is>
      </c>
      <c r="C1549" s="25" t="inlineStr">
        <is>
          <t>Part 2 – Technical Systems</t>
        </is>
      </c>
      <c r="D1549" s="25" t="inlineStr">
        <is>
          <t>2.6 IP TELEPHONY (VoIP)</t>
        </is>
      </c>
      <c r="E1549" s="25" t="inlineStr">
        <is>
          <t>2.6.1 REQUIREMENT OVERVIEW</t>
        </is>
      </c>
      <c r="F1549" s="25" t="inlineStr">
        <is>
          <t>Includes the ability to be monitored via SNMP or other protocol compatible with the CONTRACTOR solutions for OSS911 systems management.</t>
        </is>
      </c>
      <c r="G1549" s="19" t="n"/>
      <c r="H1549" s="20" t="n"/>
      <c r="I1549" s="20" t="n"/>
      <c r="J1549" s="19" t="n"/>
      <c r="K1549" s="21" t="n"/>
      <c r="L1549" s="22">
        <f>IF(OR(J1549="",K1549=""),"",J1549*K1549)</f>
        <v/>
      </c>
      <c r="M1549" s="19" t="n"/>
      <c r="N1549" s="20" t="n"/>
      <c r="O1549" s="20" t="n"/>
    </row>
    <row r="1550">
      <c r="A1550" s="16" t="n">
        <v>1547</v>
      </c>
      <c r="B1550" s="16" t="inlineStr">
        <is>
          <t>2.6.1.29.7</t>
        </is>
      </c>
      <c r="C1550" s="18" t="inlineStr">
        <is>
          <t>Part 2 – Technical Systems</t>
        </is>
      </c>
      <c r="D1550" s="18" t="inlineStr">
        <is>
          <t>2.6 IP TELEPHONY (VoIP)</t>
        </is>
      </c>
      <c r="E1550" s="18" t="inlineStr">
        <is>
          <t>2.6.1 REQUIREMENT OVERVIEW</t>
        </is>
      </c>
      <c r="F1550" s="18" t="inlineStr">
        <is>
          <t>Includes the ability to support the automatic and dynamic identification of phone locations.</t>
        </is>
      </c>
      <c r="G1550" s="19" t="n"/>
      <c r="H1550" s="20" t="n"/>
      <c r="I1550" s="20" t="n"/>
      <c r="J1550" s="19" t="n"/>
      <c r="K1550" s="21" t="n"/>
      <c r="L1550" s="22">
        <f>IF(OR(J1550="",K1550=""),"",J1550*K1550)</f>
        <v/>
      </c>
      <c r="M1550" s="19" t="n"/>
      <c r="N1550" s="20" t="n"/>
      <c r="O1550" s="20" t="n"/>
    </row>
    <row r="1551">
      <c r="A1551" s="23" t="n">
        <v>1548</v>
      </c>
      <c r="B1551" s="23" t="inlineStr">
        <is>
          <t>2.6.1.29.8</t>
        </is>
      </c>
      <c r="C1551" s="25" t="inlineStr">
        <is>
          <t>Part 2 – Technical Systems</t>
        </is>
      </c>
      <c r="D1551" s="25" t="inlineStr">
        <is>
          <t>2.6 IP TELEPHONY (VoIP)</t>
        </is>
      </c>
      <c r="E1551" s="25" t="inlineStr">
        <is>
          <t>2.6.1 REQUIREMENT OVERVIEW</t>
        </is>
      </c>
      <c r="F1551" s="25" t="inlineStr">
        <is>
          <t>Includes device assignments via VLAN by MAC Address.</t>
        </is>
      </c>
      <c r="G1551" s="19" t="n"/>
      <c r="H1551" s="20" t="n"/>
      <c r="I1551" s="20" t="n"/>
      <c r="J1551" s="19" t="n"/>
      <c r="K1551" s="21" t="n"/>
      <c r="L1551" s="22">
        <f>IF(OR(J1551="",K1551=""),"",J1551*K1551)</f>
        <v/>
      </c>
      <c r="M1551" s="19" t="n"/>
      <c r="N1551" s="20" t="n"/>
      <c r="O1551" s="20" t="n"/>
    </row>
    <row r="1552">
      <c r="A1552" s="16" t="n">
        <v>1549</v>
      </c>
      <c r="B1552" s="16" t="inlineStr">
        <is>
          <t>2.6.1.29.9</t>
        </is>
      </c>
      <c r="C1552" s="18" t="inlineStr">
        <is>
          <t>Part 2 – Technical Systems</t>
        </is>
      </c>
      <c r="D1552" s="18" t="inlineStr">
        <is>
          <t>2.6 IP TELEPHONY (VoIP)</t>
        </is>
      </c>
      <c r="E1552" s="18" t="inlineStr">
        <is>
          <t>2.6.1 REQUIREMENT OVERVIEW</t>
        </is>
      </c>
      <c r="F1552" s="18" t="inlineStr">
        <is>
          <t>Includes the ability to relocate phones without requiring configuration changes.</t>
        </is>
      </c>
      <c r="G1552" s="19" t="n"/>
      <c r="H1552" s="20" t="n"/>
      <c r="I1552" s="20" t="n"/>
      <c r="J1552" s="19" t="n"/>
      <c r="K1552" s="21" t="n"/>
      <c r="L1552" s="22">
        <f>IF(OR(J1552="",K1552=""),"",J1552*K1552)</f>
        <v/>
      </c>
      <c r="M1552" s="19" t="n"/>
      <c r="N1552" s="20" t="n"/>
      <c r="O1552" s="20" t="n"/>
    </row>
    <row r="1553">
      <c r="A1553" s="23" t="n">
        <v>1550</v>
      </c>
      <c r="B1553" s="23" t="inlineStr">
        <is>
          <t>2.6.1.29.10</t>
        </is>
      </c>
      <c r="C1553" s="25" t="inlineStr">
        <is>
          <t>Part 2 – Technical Systems</t>
        </is>
      </c>
      <c r="D1553" s="25" t="inlineStr">
        <is>
          <t>2.6 IP TELEPHONY (VoIP)</t>
        </is>
      </c>
      <c r="E1553" s="25" t="inlineStr">
        <is>
          <t>2.6.1 REQUIREMENT OVERVIEW</t>
        </is>
      </c>
      <c r="F1553" s="25" t="inlineStr">
        <is>
          <t>Includes defense mechanisms to protect from security attacks like telephony denial of service.</t>
        </is>
      </c>
      <c r="G1553" s="19" t="n"/>
      <c r="H1553" s="20" t="n"/>
      <c r="I1553" s="20" t="n"/>
      <c r="J1553" s="19" t="n"/>
      <c r="K1553" s="21" t="n"/>
      <c r="L1553" s="22">
        <f>IF(OR(J1553="",K1553=""),"",J1553*K1553)</f>
        <v/>
      </c>
      <c r="M1553" s="19" t="n"/>
      <c r="N1553" s="20" t="n"/>
      <c r="O1553" s="20" t="n"/>
    </row>
    <row r="1554">
      <c r="A1554" s="16" t="n">
        <v>1551</v>
      </c>
      <c r="B1554" s="16" t="inlineStr">
        <is>
          <t>2.6.1.29.11</t>
        </is>
      </c>
      <c r="C1554" s="18" t="inlineStr">
        <is>
          <t>Part 2 – Technical Systems</t>
        </is>
      </c>
      <c r="D1554" s="18" t="inlineStr">
        <is>
          <t>2.6 IP TELEPHONY (VoIP)</t>
        </is>
      </c>
      <c r="E1554" s="18" t="inlineStr">
        <is>
          <t>2.6.1 REQUIREMENT OVERVIEW</t>
        </is>
      </c>
      <c r="F1554" s="18" t="inlineStr">
        <is>
          <t>Includes the ability to detect unauthorized IP stations and prevent systems access.</t>
        </is>
      </c>
      <c r="G1554" s="19" t="n"/>
      <c r="H1554" s="20" t="n"/>
      <c r="I1554" s="20" t="n"/>
      <c r="J1554" s="19" t="n"/>
      <c r="K1554" s="21" t="n"/>
      <c r="L1554" s="22">
        <f>IF(OR(J1554="",K1554=""),"",J1554*K1554)</f>
        <v/>
      </c>
      <c r="M1554" s="19" t="n"/>
      <c r="N1554" s="20" t="n"/>
      <c r="O1554" s="20" t="n"/>
    </row>
    <row r="1555">
      <c r="A1555" s="23" t="n">
        <v>1552</v>
      </c>
      <c r="B1555" s="23" t="inlineStr">
        <is>
          <t>2.6.1.29.12</t>
        </is>
      </c>
      <c r="C1555" s="25" t="inlineStr">
        <is>
          <t>Part 2 – Technical Systems</t>
        </is>
      </c>
      <c r="D1555" s="25" t="inlineStr">
        <is>
          <t>2.6 IP TELEPHONY (VoIP)</t>
        </is>
      </c>
      <c r="E1555" s="25" t="inlineStr">
        <is>
          <t>2.6.1 REQUIREMENT OVERVIEW</t>
        </is>
      </c>
      <c r="F1555" s="25" t="inlineStr">
        <is>
          <t>Shall support Dynamic Host Control Protocol (DHCP).</t>
        </is>
      </c>
      <c r="G1555" s="19" t="n"/>
      <c r="H1555" s="20" t="n"/>
      <c r="I1555" s="20" t="n"/>
      <c r="J1555" s="19" t="n"/>
      <c r="K1555" s="21" t="n"/>
      <c r="L1555" s="22">
        <f>IF(OR(J1555="",K1555=""),"",J1555*K1555)</f>
        <v/>
      </c>
      <c r="M1555" s="19" t="n"/>
      <c r="N1555" s="20" t="n"/>
      <c r="O1555" s="20" t="n"/>
    </row>
    <row r="1556">
      <c r="A1556" s="16" t="n">
        <v>1553</v>
      </c>
      <c r="B1556" s="16" t="inlineStr">
        <is>
          <t>2.6.1.29.13</t>
        </is>
      </c>
      <c r="C1556" s="18" t="inlineStr">
        <is>
          <t>Part 2 – Technical Systems</t>
        </is>
      </c>
      <c r="D1556" s="18" t="inlineStr">
        <is>
          <t>2.6 IP TELEPHONY (VoIP)</t>
        </is>
      </c>
      <c r="E1556" s="18" t="inlineStr">
        <is>
          <t>2.6.1 REQUIREMENT OVERVIEW</t>
        </is>
      </c>
      <c r="F1556" s="18" t="inlineStr">
        <is>
          <t>Includes the ability to pass Caller line Identification (CLI) into and out of the telephony and recording solution.</t>
        </is>
      </c>
      <c r="G1556" s="19" t="n"/>
      <c r="H1556" s="20" t="n"/>
      <c r="I1556" s="20" t="n"/>
      <c r="J1556" s="19" t="n"/>
      <c r="K1556" s="21" t="n"/>
      <c r="L1556" s="22">
        <f>IF(OR(J1556="",K1556=""),"",J1556*K1556)</f>
        <v/>
      </c>
      <c r="M1556" s="19" t="n"/>
      <c r="N1556" s="20" t="n"/>
      <c r="O1556" s="20" t="n"/>
    </row>
    <row r="1557">
      <c r="A1557" s="23" t="n">
        <v>1554</v>
      </c>
      <c r="B1557" s="23" t="inlineStr">
        <is>
          <t>2.6.1.29.14</t>
        </is>
      </c>
      <c r="C1557" s="25" t="inlineStr">
        <is>
          <t>Part 2 – Technical Systems</t>
        </is>
      </c>
      <c r="D1557" s="25" t="inlineStr">
        <is>
          <t>2.6 IP TELEPHONY (VoIP)</t>
        </is>
      </c>
      <c r="E1557" s="25" t="inlineStr">
        <is>
          <t>2.6.1 REQUIREMENT OVERVIEW</t>
        </is>
      </c>
      <c r="F1557" s="25" t="inlineStr">
        <is>
          <t>Includes fast call setup.</t>
        </is>
      </c>
      <c r="G1557" s="19" t="n"/>
      <c r="H1557" s="20" t="n"/>
      <c r="I1557" s="20" t="n"/>
      <c r="J1557" s="19" t="n"/>
      <c r="K1557" s="21" t="n"/>
      <c r="L1557" s="22">
        <f>IF(OR(J1557="",K1557=""),"",J1557*K1557)</f>
        <v/>
      </c>
      <c r="M1557" s="19" t="n"/>
      <c r="N1557" s="20" t="n"/>
      <c r="O1557" s="20" t="n"/>
    </row>
    <row r="1558">
      <c r="A1558" s="16" t="n">
        <v>1555</v>
      </c>
      <c r="B1558" s="17" t="inlineStr">
        <is>
          <t>2.6.1.30</t>
        </is>
      </c>
      <c r="C1558" s="18" t="inlineStr">
        <is>
          <t>Part 2 – Technical Systems</t>
        </is>
      </c>
      <c r="D1558" s="18" t="inlineStr">
        <is>
          <t>2.6 IP TELEPHONY (VoIP)</t>
        </is>
      </c>
      <c r="E1558" s="18" t="inlineStr">
        <is>
          <t>2.6.1 REQUIREMENT OVERVIEW</t>
        </is>
      </c>
      <c r="F1558" s="18" t="inlineStr">
        <is>
          <t>It is the responsibility of the BIDDER to liaise with the telecom providers to understand the required details about SIP trunk services and all other connection types.</t>
        </is>
      </c>
      <c r="G1558" s="19" t="n"/>
      <c r="H1558" s="20" t="n"/>
      <c r="I1558" s="20" t="n"/>
      <c r="J1558" s="19" t="n"/>
      <c r="K1558" s="21" t="n"/>
      <c r="L1558" s="22">
        <f>IF(OR(J1558="",K1558=""),"",J1558*K1558)</f>
        <v/>
      </c>
      <c r="M1558" s="19" t="n"/>
      <c r="N1558" s="20" t="n"/>
      <c r="O1558" s="20" t="n"/>
    </row>
    <row r="1559">
      <c r="A1559" s="23" t="n">
        <v>1556</v>
      </c>
      <c r="B1559" s="24" t="inlineStr">
        <is>
          <t>2.6.1.31</t>
        </is>
      </c>
      <c r="C1559" s="25" t="inlineStr">
        <is>
          <t>Part 2 – Technical Systems</t>
        </is>
      </c>
      <c r="D1559" s="25" t="inlineStr">
        <is>
          <t>2.6 IP TELEPHONY (VoIP)</t>
        </is>
      </c>
      <c r="E1559" s="25" t="inlineStr">
        <is>
          <t>2.6.1 REQUIREMENT OVERVIEW</t>
        </is>
      </c>
      <c r="F1559" s="25" t="inlineStr">
        <is>
          <t>The BIDDER shall clearly describe in the proposal response the security measures that are proposed to be included in their overall security solution that shall help the telephony solution to be secure against attacks or intrusions that would impact service availability or compromise integrity and for defense against telephony denial of service attacks.</t>
        </is>
      </c>
      <c r="G1559" s="19" t="n"/>
      <c r="H1559" s="20" t="n"/>
      <c r="I1559" s="20" t="n"/>
      <c r="J1559" s="19" t="n"/>
      <c r="K1559" s="21" t="n"/>
      <c r="L1559" s="22">
        <f>IF(OR(J1559="",K1559=""),"",J1559*K1559)</f>
        <v/>
      </c>
      <c r="M1559" s="19" t="n"/>
      <c r="N1559" s="20" t="n"/>
      <c r="O1559" s="20" t="n"/>
    </row>
    <row r="1560">
      <c r="A1560" s="16" t="n">
        <v>1557</v>
      </c>
      <c r="B1560" s="17" t="inlineStr">
        <is>
          <t>2.6.1.32</t>
        </is>
      </c>
      <c r="C1560" s="18" t="inlineStr">
        <is>
          <t>Part 2 – Technical Systems</t>
        </is>
      </c>
      <c r="D1560" s="18" t="inlineStr">
        <is>
          <t>2.6 IP TELEPHONY (VoIP)</t>
        </is>
      </c>
      <c r="E1560" s="18" t="inlineStr">
        <is>
          <t>2.6.1 REQUIREMENT OVERVIEW</t>
        </is>
      </c>
      <c r="F1560" s="18" t="inlineStr">
        <is>
          <t>The equipment shall conform to the following:</t>
        </is>
      </c>
      <c r="G1560" s="19" t="n"/>
      <c r="H1560" s="20" t="n"/>
      <c r="I1560" s="20" t="n"/>
      <c r="J1560" s="19" t="n"/>
      <c r="K1560" s="21" t="n"/>
      <c r="L1560" s="22">
        <f>IF(OR(J1560="",K1560=""),"",J1560*K1560)</f>
        <v/>
      </c>
      <c r="M1560" s="19" t="n"/>
      <c r="N1560" s="20" t="n"/>
      <c r="O1560" s="20" t="n"/>
    </row>
    <row r="1561">
      <c r="A1561" s="23" t="n">
        <v>1558</v>
      </c>
      <c r="B1561" s="23" t="inlineStr">
        <is>
          <t>2.6.1.32.1</t>
        </is>
      </c>
      <c r="C1561" s="25" t="inlineStr">
        <is>
          <t>Part 2 – Technical Systems</t>
        </is>
      </c>
      <c r="D1561" s="25" t="inlineStr">
        <is>
          <t>2.6 IP TELEPHONY (VoIP)</t>
        </is>
      </c>
      <c r="E1561" s="25" t="inlineStr">
        <is>
          <t>2.6.1 REQUIREMENT OVERVIEW</t>
        </is>
      </c>
      <c r="F1561" s="25" t="inlineStr">
        <is>
          <t>Minimum 6 Centrum Call Seconds (CCS) per station port/36 CCS per trunk port</t>
        </is>
      </c>
      <c r="G1561" s="19" t="n"/>
      <c r="H1561" s="20" t="n"/>
      <c r="I1561" s="20" t="n"/>
      <c r="J1561" s="19" t="n"/>
      <c r="K1561" s="21" t="n"/>
      <c r="L1561" s="22">
        <f>IF(OR(J1561="",K1561=""),"",J1561*K1561)</f>
        <v/>
      </c>
      <c r="M1561" s="19" t="n"/>
      <c r="N1561" s="20" t="n"/>
      <c r="O1561" s="20" t="n"/>
    </row>
    <row r="1562">
      <c r="A1562" s="16" t="n">
        <v>1559</v>
      </c>
      <c r="B1562" s="16" t="inlineStr">
        <is>
          <t>2.6.1.32.2</t>
        </is>
      </c>
      <c r="C1562" s="18" t="inlineStr">
        <is>
          <t>Part 2 – Technical Systems</t>
        </is>
      </c>
      <c r="D1562" s="18" t="inlineStr">
        <is>
          <t>2.6 IP TELEPHONY (VoIP)</t>
        </is>
      </c>
      <c r="E1562" s="18" t="inlineStr">
        <is>
          <t>2.6.1 REQUIREMENT OVERVIEW</t>
        </is>
      </c>
      <c r="F1562" s="18" t="inlineStr">
        <is>
          <t>Minimum 15,000 BHCA (guaranteed under full load)</t>
        </is>
      </c>
      <c r="G1562" s="19" t="n"/>
      <c r="H1562" s="20" t="n"/>
      <c r="I1562" s="20" t="n"/>
      <c r="J1562" s="19" t="n"/>
      <c r="K1562" s="21" t="n"/>
      <c r="L1562" s="22">
        <f>IF(OR(J1562="",K1562=""),"",J1562*K1562)</f>
        <v/>
      </c>
      <c r="M1562" s="19" t="n"/>
      <c r="N1562" s="20" t="n"/>
      <c r="O1562" s="20" t="n"/>
    </row>
    <row r="1563">
      <c r="A1563" s="23" t="n">
        <v>1560</v>
      </c>
      <c r="B1563" s="24" t="inlineStr">
        <is>
          <t>2.6.1.33</t>
        </is>
      </c>
      <c r="C1563" s="25" t="inlineStr">
        <is>
          <t>Part 2 – Technical Systems</t>
        </is>
      </c>
      <c r="D1563" s="25" t="inlineStr">
        <is>
          <t>2.6 IP TELEPHONY (VoIP)</t>
        </is>
      </c>
      <c r="E1563" s="25" t="inlineStr">
        <is>
          <t>2.6.1 REQUIREMENT OVERVIEW</t>
        </is>
      </c>
      <c r="F1563" s="25" t="inlineStr">
        <is>
          <t>The BIDDER shall provide the following information regarding the telephony solution:</t>
        </is>
      </c>
      <c r="G1563" s="19" t="n"/>
      <c r="H1563" s="20" t="n"/>
      <c r="I1563" s="20" t="n"/>
      <c r="J1563" s="19" t="n"/>
      <c r="K1563" s="21" t="n"/>
      <c r="L1563" s="22">
        <f>IF(OR(J1563="",K1563=""),"",J1563*K1563)</f>
        <v/>
      </c>
      <c r="M1563" s="19" t="n"/>
      <c r="N1563" s="20" t="n"/>
      <c r="O1563" s="20" t="n"/>
    </row>
    <row r="1564">
      <c r="A1564" s="16" t="n">
        <v>1561</v>
      </c>
      <c r="B1564" s="16" t="inlineStr">
        <is>
          <t>2.6.1.33.1</t>
        </is>
      </c>
      <c r="C1564" s="18" t="inlineStr">
        <is>
          <t>Part 2 – Technical Systems</t>
        </is>
      </c>
      <c r="D1564" s="18" t="inlineStr">
        <is>
          <t>2.6 IP TELEPHONY (VoIP)</t>
        </is>
      </c>
      <c r="E1564" s="18" t="inlineStr">
        <is>
          <t>2.6.1 REQUIREMENT OVERVIEW</t>
        </is>
      </c>
      <c r="F1564" s="18" t="inlineStr">
        <is>
          <t>Minimum trunk groups</t>
        </is>
      </c>
      <c r="G1564" s="19" t="n"/>
      <c r="H1564" s="20" t="n"/>
      <c r="I1564" s="20" t="n"/>
      <c r="J1564" s="19" t="n"/>
      <c r="K1564" s="21" t="n"/>
      <c r="L1564" s="22">
        <f>IF(OR(J1564="",K1564=""),"",J1564*K1564)</f>
        <v/>
      </c>
      <c r="M1564" s="19" t="n"/>
      <c r="N1564" s="20" t="n"/>
      <c r="O1564" s="20" t="n"/>
    </row>
    <row r="1565">
      <c r="A1565" s="23" t="n">
        <v>1562</v>
      </c>
      <c r="B1565" s="23" t="inlineStr">
        <is>
          <t>2.6.1.33.2</t>
        </is>
      </c>
      <c r="C1565" s="25" t="inlineStr">
        <is>
          <t>Part 2 – Technical Systems</t>
        </is>
      </c>
      <c r="D1565" s="25" t="inlineStr">
        <is>
          <t>2.6 IP TELEPHONY (VoIP)</t>
        </is>
      </c>
      <c r="E1565" s="25" t="inlineStr">
        <is>
          <t>2.6.1 REQUIREMENT OVERVIEW</t>
        </is>
      </c>
      <c r="F1565" s="25" t="inlineStr">
        <is>
          <t>Minimum classes of service</t>
        </is>
      </c>
      <c r="G1565" s="19" t="n"/>
      <c r="H1565" s="20" t="n"/>
      <c r="I1565" s="20" t="n"/>
      <c r="J1565" s="19" t="n"/>
      <c r="K1565" s="21" t="n"/>
      <c r="L1565" s="22">
        <f>IF(OR(J1565="",K1565=""),"",J1565*K1565)</f>
        <v/>
      </c>
      <c r="M1565" s="19" t="n"/>
      <c r="N1565" s="20" t="n"/>
      <c r="O1565" s="20" t="n"/>
    </row>
    <row r="1566">
      <c r="A1566" s="16" t="n">
        <v>1563</v>
      </c>
      <c r="B1566" s="17" t="inlineStr">
        <is>
          <t>2.6.1.34</t>
        </is>
      </c>
      <c r="C1566" s="18" t="inlineStr">
        <is>
          <t>Part 2 – Technical Systems</t>
        </is>
      </c>
      <c r="D1566" s="18" t="inlineStr">
        <is>
          <t>2.6 IP TELEPHONY (VoIP)</t>
        </is>
      </c>
      <c r="E1566" s="18" t="inlineStr">
        <is>
          <t>2.6.1 REQUIREMENT OVERVIEW</t>
        </is>
      </c>
      <c r="F1566" s="18" t="inlineStr">
        <is>
          <t>The CONTRACTOR shall ensure that all their technical infrastructure fits within the space designated as per the datacenter designs.</t>
        </is>
      </c>
      <c r="G1566" s="19" t="n"/>
      <c r="H1566" s="20" t="n"/>
      <c r="I1566" s="20" t="n"/>
      <c r="J1566" s="19" t="n"/>
      <c r="K1566" s="21" t="n"/>
      <c r="L1566" s="22">
        <f>IF(OR(J1566="",K1566=""),"",J1566*K1566)</f>
        <v/>
      </c>
      <c r="M1566" s="19" t="n"/>
      <c r="N1566" s="20" t="n"/>
      <c r="O1566" s="20" t="n"/>
    </row>
    <row r="1567">
      <c r="A1567" s="23" t="n">
        <v>1564</v>
      </c>
      <c r="B1567" s="24" t="inlineStr">
        <is>
          <t>2.6.2.1</t>
        </is>
      </c>
      <c r="C1567" s="25" t="inlineStr">
        <is>
          <t>Part 2 – Technical Systems</t>
        </is>
      </c>
      <c r="D1567" s="25" t="inlineStr">
        <is>
          <t>2.6 IP TELEPHONY (VoIP)</t>
        </is>
      </c>
      <c r="E1567" s="25" t="inlineStr">
        <is>
          <t>2.6.2 SYSTEM FEATURES</t>
        </is>
      </c>
      <c r="F1567" s="25" t="inlineStr">
        <is>
          <t>LINE GROUPS</t>
        </is>
      </c>
      <c r="G1567" s="19" t="n"/>
      <c r="H1567" s="20" t="n"/>
      <c r="I1567" s="20" t="n"/>
      <c r="J1567" s="19" t="n"/>
      <c r="K1567" s="21" t="n"/>
      <c r="L1567" s="22">
        <f>IF(OR(J1567="",K1567=""),"",J1567*K1567)</f>
        <v/>
      </c>
      <c r="M1567" s="19" t="n"/>
      <c r="N1567" s="20" t="n"/>
      <c r="O1567" s="20" t="n"/>
    </row>
    <row r="1568">
      <c r="A1568" s="16" t="n">
        <v>1565</v>
      </c>
      <c r="B1568" s="16" t="inlineStr">
        <is>
          <t>2.6.2.1.1</t>
        </is>
      </c>
      <c r="C1568" s="18" t="inlineStr">
        <is>
          <t>Part 2 – Technical Systems</t>
        </is>
      </c>
      <c r="D1568" s="18" t="inlineStr">
        <is>
          <t>2.6 IP TELEPHONY (VoIP)</t>
        </is>
      </c>
      <c r="E1568" s="18" t="inlineStr">
        <is>
          <t>2.6.2 SYSTEM FEATURES</t>
        </is>
      </c>
      <c r="F1568" s="18" t="inlineStr">
        <is>
          <t>The telephone lines to be connected to the system shall be divided into a number of distinct groups. The grouping given here is indicative and the system shall be capable of supporting further or different groups.</t>
        </is>
      </c>
      <c r="G1568" s="19" t="n"/>
      <c r="H1568" s="20" t="n"/>
      <c r="I1568" s="20" t="n"/>
      <c r="J1568" s="19" t="n"/>
      <c r="K1568" s="21" t="n"/>
      <c r="L1568" s="22">
        <f>IF(OR(J1568="",K1568=""),"",J1568*K1568)</f>
        <v/>
      </c>
      <c r="M1568" s="19" t="n"/>
      <c r="N1568" s="20" t="n"/>
      <c r="O1568" s="20" t="n"/>
    </row>
    <row r="1569">
      <c r="A1569" s="23" t="n">
        <v>1566</v>
      </c>
      <c r="B1569" s="23" t="inlineStr">
        <is>
          <t>2.6.2.1.2</t>
        </is>
      </c>
      <c r="C1569" s="25" t="inlineStr">
        <is>
          <t>Part 2 – Technical Systems</t>
        </is>
      </c>
      <c r="D1569" s="25" t="inlineStr">
        <is>
          <t>2.6 IP TELEPHONY (VoIP)</t>
        </is>
      </c>
      <c r="E1569" s="25" t="inlineStr">
        <is>
          <t>2.6.2 SYSTEM FEATURES</t>
        </is>
      </c>
      <c r="F1569" s="25" t="inlineStr">
        <is>
          <t>A line group shall be made up of a number of characteristics of the line. These are: a. The type of the line b. The service that is delivered over the line c. The direction or directions in which the lines can be used</t>
        </is>
      </c>
      <c r="G1569" s="19" t="n"/>
      <c r="H1569" s="20" t="n"/>
      <c r="I1569" s="20" t="n"/>
      <c r="J1569" s="19" t="n"/>
      <c r="K1569" s="21" t="n"/>
      <c r="L1569" s="22">
        <f>IF(OR(J1569="",K1569=""),"",J1569*K1569)</f>
        <v/>
      </c>
      <c r="M1569" s="19" t="n"/>
      <c r="N1569" s="20" t="n"/>
      <c r="O1569" s="20" t="n"/>
    </row>
    <row r="1570">
      <c r="A1570" s="16" t="n">
        <v>1567</v>
      </c>
      <c r="B1570" s="16" t="inlineStr">
        <is>
          <t>2.6.2.1.3</t>
        </is>
      </c>
      <c r="C1570" s="18" t="inlineStr">
        <is>
          <t>Part 2 – Technical Systems</t>
        </is>
      </c>
      <c r="D1570" s="18" t="inlineStr">
        <is>
          <t>2.6 IP TELEPHONY (VoIP)</t>
        </is>
      </c>
      <c r="E1570" s="18" t="inlineStr">
        <is>
          <t>2.6.2 SYSTEM FEATURES</t>
        </is>
      </c>
      <c r="F1570" s="18" t="inlineStr">
        <is>
          <t>The Telephony system shall support the ability to further divide a group into sub-groups.</t>
        </is>
      </c>
      <c r="G1570" s="19" t="n"/>
      <c r="H1570" s="20" t="n"/>
      <c r="I1570" s="20" t="n"/>
      <c r="J1570" s="19" t="n"/>
      <c r="K1570" s="21" t="n"/>
      <c r="L1570" s="22">
        <f>IF(OR(J1570="",K1570=""),"",J1570*K1570)</f>
        <v/>
      </c>
      <c r="M1570" s="19" t="n"/>
      <c r="N1570" s="20" t="n"/>
      <c r="O1570" s="20" t="n"/>
    </row>
    <row r="1571">
      <c r="A1571" s="23" t="n">
        <v>1568</v>
      </c>
      <c r="B1571" s="23" t="inlineStr">
        <is>
          <t>2.6.2.1.4</t>
        </is>
      </c>
      <c r="C1571" s="25" t="inlineStr">
        <is>
          <t>Part 2 – Technical Systems</t>
        </is>
      </c>
      <c r="D1571" s="25" t="inlineStr">
        <is>
          <t>2.6 IP TELEPHONY (VoIP)</t>
        </is>
      </c>
      <c r="E1571" s="25" t="inlineStr">
        <is>
          <t>2.6.2 SYSTEM FEATURES</t>
        </is>
      </c>
      <c r="F1571" s="25" t="inlineStr">
        <is>
          <t>Indicative line groups shall be as follows but not limited to: a. Public generated emergency calls of line type trunk group and/or direct exchange lines (DEL) with direction inbound only for usage for delivery of emergency 9XX calls from MOI defined numbers. b. Hotlines of line type ‘private wire’ with direction both-ways (inbound and outbound) for usage as emergency hotlines from different MOI and non- MOI agencies. Each private wire shall have the capability to be identified on a unique sub-group. c. Direct Exchange Lines (DELs) for urgent calls from other MOI and non-MOI agencies with direction both-ways (inbound and outbound). d. Emergency calls transferred internally for line type IP telephony extensions used to transfer emergency calls internally. e. General use IP telephony extensions with direction both-ways (inbound and outbound) with the capability to have a number of sub-groups to allow individual positions or functional areas to be addressed. f. Outbound overflow for line type IP telephony extensions with direction outbound to ensure some outbound lines are always available and would be automatically selected by the system in the event that all lines are busy. g. Direct Exchange Lines (DELs) for general use with direction both-ways (inbound and outbound).</t>
        </is>
      </c>
      <c r="G1571" s="19" t="n"/>
      <c r="H1571" s="20" t="n"/>
      <c r="I1571" s="20" t="n"/>
      <c r="J1571" s="19" t="n"/>
      <c r="K1571" s="21" t="n"/>
      <c r="L1571" s="22">
        <f>IF(OR(J1571="",K1571=""),"",J1571*K1571)</f>
        <v/>
      </c>
      <c r="M1571" s="19" t="n"/>
      <c r="N1571" s="20" t="n"/>
      <c r="O1571" s="20" t="n"/>
    </row>
    <row r="1572">
      <c r="A1572" s="16" t="n">
        <v>1569</v>
      </c>
      <c r="B1572" s="16" t="inlineStr">
        <is>
          <t>2.6.2.1.5</t>
        </is>
      </c>
      <c r="C1572" s="18" t="inlineStr">
        <is>
          <t>Part 2 – Technical Systems</t>
        </is>
      </c>
      <c r="D1572" s="18" t="inlineStr">
        <is>
          <t>2.6 IP TELEPHONY (VoIP)</t>
        </is>
      </c>
      <c r="E1572" s="18" t="inlineStr">
        <is>
          <t>2.6.2 SYSTEM FEATURES</t>
        </is>
      </c>
      <c r="F1572" s="18" t="inlineStr">
        <is>
          <t>The system shall be capable of supporting a minimum of 30 line groups.</t>
        </is>
      </c>
      <c r="G1572" s="19" t="n"/>
      <c r="H1572" s="20" t="n"/>
      <c r="I1572" s="20" t="n"/>
      <c r="J1572" s="19" t="n"/>
      <c r="K1572" s="21" t="n"/>
      <c r="L1572" s="22">
        <f>IF(OR(J1572="",K1572=""),"",J1572*K1572)</f>
        <v/>
      </c>
      <c r="M1572" s="19" t="n"/>
      <c r="N1572" s="20" t="n"/>
      <c r="O1572" s="20" t="n"/>
    </row>
    <row r="1573">
      <c r="A1573" s="23" t="n">
        <v>1570</v>
      </c>
      <c r="B1573" s="23" t="inlineStr">
        <is>
          <t>2.6.2.1.6</t>
        </is>
      </c>
      <c r="C1573" s="25" t="inlineStr">
        <is>
          <t>Part 2 – Technical Systems</t>
        </is>
      </c>
      <c r="D1573" s="25" t="inlineStr">
        <is>
          <t>2.6 IP TELEPHONY (VoIP)</t>
        </is>
      </c>
      <c r="E1573" s="25" t="inlineStr">
        <is>
          <t>2.6.2 SYSTEM FEATURES</t>
        </is>
      </c>
      <c r="F1573" s="25" t="inlineStr">
        <is>
          <t>Each line group to which the operator has access shall be presented separately to the operator.</t>
        </is>
      </c>
      <c r="G1573" s="19" t="n"/>
      <c r="H1573" s="20" t="n"/>
      <c r="I1573" s="20" t="n"/>
      <c r="J1573" s="19" t="n"/>
      <c r="K1573" s="21" t="n"/>
      <c r="L1573" s="22">
        <f>IF(OR(J1573="",K1573=""),"",J1573*K1573)</f>
        <v/>
      </c>
      <c r="M1573" s="19" t="n"/>
      <c r="N1573" s="20" t="n"/>
      <c r="O1573" s="20" t="n"/>
    </row>
    <row r="1574">
      <c r="A1574" s="16" t="n">
        <v>1571</v>
      </c>
      <c r="B1574" s="16" t="inlineStr">
        <is>
          <t>2.6.2.1.7</t>
        </is>
      </c>
      <c r="C1574" s="18" t="inlineStr">
        <is>
          <t>Part 2 – Technical Systems</t>
        </is>
      </c>
      <c r="D1574" s="18" t="inlineStr">
        <is>
          <t>2.6 IP TELEPHONY (VoIP)</t>
        </is>
      </c>
      <c r="E1574" s="18" t="inlineStr">
        <is>
          <t>2.6.2 SYSTEM FEATURES</t>
        </is>
      </c>
      <c r="F1574" s="18" t="inlineStr">
        <is>
          <t>Emergency Calls arriving into the system shall be automatically assigned a unique Call ID that shall remain with the call until such time as it is cleared.</t>
        </is>
      </c>
      <c r="G1574" s="19" t="n"/>
      <c r="H1574" s="20" t="n"/>
      <c r="I1574" s="20" t="n"/>
      <c r="J1574" s="19" t="n"/>
      <c r="K1574" s="21" t="n"/>
      <c r="L1574" s="22">
        <f>IF(OR(J1574="",K1574=""),"",J1574*K1574)</f>
        <v/>
      </c>
      <c r="M1574" s="19" t="n"/>
      <c r="N1574" s="20" t="n"/>
      <c r="O1574" s="20" t="n"/>
    </row>
    <row r="1575">
      <c r="A1575" s="23" t="n">
        <v>1572</v>
      </c>
      <c r="B1575" s="23" t="inlineStr">
        <is>
          <t>2.6.2.1.8</t>
        </is>
      </c>
      <c r="C1575" s="25" t="inlineStr">
        <is>
          <t>Part 2 – Technical Systems</t>
        </is>
      </c>
      <c r="D1575" s="25" t="inlineStr">
        <is>
          <t>2.6 IP TELEPHONY (VoIP)</t>
        </is>
      </c>
      <c r="E1575" s="25" t="inlineStr">
        <is>
          <t>2.6.2 SYSTEM FEATURES</t>
        </is>
      </c>
      <c r="F1575" s="25" t="inlineStr">
        <is>
          <t>Emergency Calls arriving into each group or sub-group shall be queued pending answer by an operator. The call that has been waiting the longest shall be at the top of the queue.</t>
        </is>
      </c>
      <c r="G1575" s="19" t="n"/>
      <c r="H1575" s="20" t="n"/>
      <c r="I1575" s="20" t="n"/>
      <c r="J1575" s="19" t="n"/>
      <c r="K1575" s="21" t="n"/>
      <c r="L1575" s="22">
        <f>IF(OR(J1575="",K1575=""),"",J1575*K1575)</f>
        <v/>
      </c>
      <c r="M1575" s="19" t="n"/>
      <c r="N1575" s="20" t="n"/>
      <c r="O1575" s="20" t="n"/>
    </row>
    <row r="1576">
      <c r="A1576" s="16" t="n">
        <v>1573</v>
      </c>
      <c r="B1576" s="16" t="inlineStr">
        <is>
          <t>2.6.2.1.9</t>
        </is>
      </c>
      <c r="C1576" s="18" t="inlineStr">
        <is>
          <t>Part 2 – Technical Systems</t>
        </is>
      </c>
      <c r="D1576" s="18" t="inlineStr">
        <is>
          <t>2.6 IP TELEPHONY (VoIP)</t>
        </is>
      </c>
      <c r="E1576" s="18" t="inlineStr">
        <is>
          <t>2.6.2 SYSTEM FEATURES</t>
        </is>
      </c>
      <c r="F1576" s="18" t="inlineStr">
        <is>
          <t>There shall be a separate queue for each group.</t>
        </is>
      </c>
      <c r="G1576" s="19" t="n"/>
      <c r="H1576" s="20" t="n"/>
      <c r="I1576" s="20" t="n"/>
      <c r="J1576" s="19" t="n"/>
      <c r="K1576" s="21" t="n"/>
      <c r="L1576" s="22">
        <f>IF(OR(J1576="",K1576=""),"",J1576*K1576)</f>
        <v/>
      </c>
      <c r="M1576" s="19" t="n"/>
      <c r="N1576" s="20" t="n"/>
      <c r="O1576" s="20" t="n"/>
    </row>
    <row r="1577">
      <c r="A1577" s="23" t="n">
        <v>1574</v>
      </c>
      <c r="B1577" s="24" t="inlineStr">
        <is>
          <t>2.6.2.2</t>
        </is>
      </c>
      <c r="C1577" s="25" t="inlineStr">
        <is>
          <t>Part 2 – Technical Systems</t>
        </is>
      </c>
      <c r="D1577" s="25" t="inlineStr">
        <is>
          <t>2.6 IP TELEPHONY (VoIP)</t>
        </is>
      </c>
      <c r="E1577" s="25" t="inlineStr">
        <is>
          <t>2.6.2 SYSTEM FEATURES</t>
        </is>
      </c>
      <c r="F1577" s="25" t="inlineStr">
        <is>
          <t>( ﺗﻘدﯾم اﻟﺑﻼﻏﺎتCALL PRESENTATION)</t>
        </is>
      </c>
      <c r="G1577" s="19" t="n"/>
      <c r="H1577" s="20" t="n"/>
      <c r="I1577" s="20" t="n"/>
      <c r="J1577" s="19" t="n"/>
      <c r="K1577" s="21" t="n"/>
      <c r="L1577" s="22">
        <f>IF(OR(J1577="",K1577=""),"",J1577*K1577)</f>
        <v/>
      </c>
      <c r="M1577" s="19" t="n"/>
      <c r="N1577" s="20" t="n"/>
      <c r="O1577" s="20" t="n"/>
    </row>
    <row r="1578">
      <c r="A1578" s="16" t="n">
        <v>1575</v>
      </c>
      <c r="B1578" s="16" t="inlineStr">
        <is>
          <t>2.6.2.2.1</t>
        </is>
      </c>
      <c r="C1578" s="18" t="inlineStr">
        <is>
          <t>Part 2 – Technical Systems</t>
        </is>
      </c>
      <c r="D1578" s="18" t="inlineStr">
        <is>
          <t>2.6 IP TELEPHONY (VoIP)</t>
        </is>
      </c>
      <c r="E1578" s="18" t="inlineStr">
        <is>
          <t>2.6.2 SYSTEM FEATURES</t>
        </is>
      </c>
      <c r="F1578" s="18" t="inlineStr">
        <is>
          <t>Emergency Calls in queue shall be presented to operators using a priority allocation system.</t>
        </is>
      </c>
      <c r="G1578" s="19" t="n"/>
      <c r="H1578" s="20" t="n"/>
      <c r="I1578" s="20" t="n"/>
      <c r="J1578" s="19" t="n"/>
      <c r="K1578" s="21" t="n"/>
      <c r="L1578" s="22">
        <f>IF(OR(J1578="",K1578=""),"",J1578*K1578)</f>
        <v/>
      </c>
      <c r="M1578" s="19" t="n"/>
      <c r="N1578" s="20" t="n"/>
      <c r="O1578" s="20" t="n"/>
    </row>
    <row r="1579">
      <c r="A1579" s="23" t="n">
        <v>1576</v>
      </c>
      <c r="B1579" s="23" t="inlineStr">
        <is>
          <t>2.6.2.2.2</t>
        </is>
      </c>
      <c r="C1579" s="25" t="inlineStr">
        <is>
          <t>Part 2 – Technical Systems</t>
        </is>
      </c>
      <c r="D1579" s="25" t="inlineStr">
        <is>
          <t>2.6 IP TELEPHONY (VoIP)</t>
        </is>
      </c>
      <c r="E1579" s="25" t="inlineStr">
        <is>
          <t>2.6.2 SYSTEM FEATURES</t>
        </is>
      </c>
      <c r="F1579" s="25" t="inlineStr">
        <is>
          <t>Emergency Calls shall always be presented to an available operator with the highest priority for a call type.</t>
        </is>
      </c>
      <c r="G1579" s="19" t="n"/>
      <c r="H1579" s="20" t="n"/>
      <c r="I1579" s="20" t="n"/>
      <c r="J1579" s="19" t="n"/>
      <c r="K1579" s="21" t="n"/>
      <c r="L1579" s="22">
        <f>IF(OR(J1579="",K1579=""),"",J1579*K1579)</f>
        <v/>
      </c>
      <c r="M1579" s="19" t="n"/>
      <c r="N1579" s="20" t="n"/>
      <c r="O1579" s="20" t="n"/>
    </row>
    <row r="1580">
      <c r="A1580" s="16" t="n">
        <v>1577</v>
      </c>
      <c r="B1580" s="16" t="inlineStr">
        <is>
          <t>2.6.2.2.3</t>
        </is>
      </c>
      <c r="C1580" s="18" t="inlineStr">
        <is>
          <t>Part 2 – Technical Systems</t>
        </is>
      </c>
      <c r="D1580" s="18" t="inlineStr">
        <is>
          <t>2.6 IP TELEPHONY (VoIP)</t>
        </is>
      </c>
      <c r="E1580" s="18" t="inlineStr">
        <is>
          <t>2.6.2 SYSTEM FEATURES</t>
        </is>
      </c>
      <c r="F1580" s="18" t="inlineStr">
        <is>
          <t>Where more than one operator is available with the same highest priority, Emergency calls shall be assigned to the operator who has been waiting the longest</t>
        </is>
      </c>
      <c r="G1580" s="19" t="n"/>
      <c r="H1580" s="20" t="n"/>
      <c r="I1580" s="20" t="n"/>
      <c r="J1580" s="19" t="n"/>
      <c r="K1580" s="21" t="n"/>
      <c r="L1580" s="22">
        <f>IF(OR(J1580="",K1580=""),"",J1580*K1580)</f>
        <v/>
      </c>
      <c r="M1580" s="19" t="n"/>
      <c r="N1580" s="20" t="n"/>
      <c r="O1580" s="20" t="n"/>
    </row>
    <row r="1581">
      <c r="A1581" s="23" t="n">
        <v>1578</v>
      </c>
      <c r="B1581" s="23" t="inlineStr">
        <is>
          <t>2.6.2.2.4</t>
        </is>
      </c>
      <c r="C1581" s="25" t="inlineStr">
        <is>
          <t>Part 2 – Technical Systems</t>
        </is>
      </c>
      <c r="D1581" s="25" t="inlineStr">
        <is>
          <t>2.6 IP TELEPHONY (VoIP)</t>
        </is>
      </c>
      <c r="E1581" s="25" t="inlineStr">
        <is>
          <t>2.6.2 SYSTEM FEATURES</t>
        </is>
      </c>
      <c r="F1581" s="25" t="inlineStr">
        <is>
          <t>An operator shall be available to receive Emergency calls by going into a “Ready” state on the system.</t>
        </is>
      </c>
      <c r="G1581" s="19" t="n"/>
      <c r="H1581" s="20" t="n"/>
      <c r="I1581" s="20" t="n"/>
      <c r="J1581" s="19" t="n"/>
      <c r="K1581" s="21" t="n"/>
      <c r="L1581" s="22">
        <f>IF(OR(J1581="",K1581=""),"",J1581*K1581)</f>
        <v/>
      </c>
      <c r="M1581" s="19" t="n"/>
      <c r="N1581" s="20" t="n"/>
      <c r="O1581" s="20" t="n"/>
    </row>
    <row r="1582">
      <c r="A1582" s="16" t="n">
        <v>1579</v>
      </c>
      <c r="B1582" s="16" t="inlineStr">
        <is>
          <t>2.6.2.2.5</t>
        </is>
      </c>
      <c r="C1582" s="18" t="inlineStr">
        <is>
          <t>Part 2 – Technical Systems</t>
        </is>
      </c>
      <c r="D1582" s="18" t="inlineStr">
        <is>
          <t>2.6 IP TELEPHONY (VoIP)</t>
        </is>
      </c>
      <c r="E1582" s="18" t="inlineStr">
        <is>
          <t>2.6.2 SYSTEM FEATURES</t>
        </is>
      </c>
      <c r="F1582" s="18" t="inlineStr">
        <is>
          <t>The system shall be able to be configured to allow Emergency calls to be automatically presented to the operators i.e. the operator has no opportunity to accept or decline the Emergency call.</t>
        </is>
      </c>
      <c r="G1582" s="19" t="n"/>
      <c r="H1582" s="20" t="n"/>
      <c r="I1582" s="20" t="n"/>
      <c r="J1582" s="19" t="n"/>
      <c r="K1582" s="21" t="n"/>
      <c r="L1582" s="22">
        <f>IF(OR(J1582="",K1582=""),"",J1582*K1582)</f>
        <v/>
      </c>
      <c r="M1582" s="19" t="n"/>
      <c r="N1582" s="20" t="n"/>
      <c r="O1582" s="20" t="n"/>
    </row>
    <row r="1583">
      <c r="A1583" s="23" t="n">
        <v>1580</v>
      </c>
      <c r="B1583" s="23" t="inlineStr">
        <is>
          <t>2.6.2.2.6</t>
        </is>
      </c>
      <c r="C1583" s="25" t="inlineStr">
        <is>
          <t>Part 2 – Technical Systems</t>
        </is>
      </c>
      <c r="D1583" s="25" t="inlineStr">
        <is>
          <t>2.6 IP TELEPHONY (VoIP)</t>
        </is>
      </c>
      <c r="E1583" s="25" t="inlineStr">
        <is>
          <t>2.6.2 SYSTEM FEATURES</t>
        </is>
      </c>
      <c r="F1583" s="25" t="inlineStr">
        <is>
          <t>The system shall be able to be configured to allow the operator to manually accept or decline Emergency calls.</t>
        </is>
      </c>
      <c r="G1583" s="19" t="n"/>
      <c r="H1583" s="20" t="n"/>
      <c r="I1583" s="20" t="n"/>
      <c r="J1583" s="19" t="n"/>
      <c r="K1583" s="21" t="n"/>
      <c r="L1583" s="22">
        <f>IF(OR(J1583="",K1583=""),"",J1583*K1583)</f>
        <v/>
      </c>
      <c r="M1583" s="19" t="n"/>
      <c r="N1583" s="20" t="n"/>
      <c r="O1583" s="20" t="n"/>
    </row>
    <row r="1584">
      <c r="A1584" s="16" t="n">
        <v>1581</v>
      </c>
      <c r="B1584" s="16" t="inlineStr">
        <is>
          <t>2.6.2.2.7</t>
        </is>
      </c>
      <c r="C1584" s="18" t="inlineStr">
        <is>
          <t>Part 2 – Technical Systems</t>
        </is>
      </c>
      <c r="D1584" s="18" t="inlineStr">
        <is>
          <t>2.6 IP TELEPHONY (VoIP)</t>
        </is>
      </c>
      <c r="E1584" s="18" t="inlineStr">
        <is>
          <t>2.6.2 SYSTEM FEATURES</t>
        </is>
      </c>
      <c r="F1584" s="18" t="inlineStr">
        <is>
          <t>If an Emergency call is not accepted by an operator in a configurable time period that call shall be presented to the next available operator and the first operator shall go into a “Not Ready” state. A notification of failure to respond shall be presented to the supervisor.</t>
        </is>
      </c>
      <c r="G1584" s="19" t="n"/>
      <c r="H1584" s="20" t="n"/>
      <c r="I1584" s="20" t="n"/>
      <c r="J1584" s="19" t="n"/>
      <c r="K1584" s="21" t="n"/>
      <c r="L1584" s="22">
        <f>IF(OR(J1584="",K1584=""),"",J1584*K1584)</f>
        <v/>
      </c>
      <c r="M1584" s="19" t="n"/>
      <c r="N1584" s="20" t="n"/>
      <c r="O1584" s="20" t="n"/>
    </row>
    <row r="1585">
      <c r="A1585" s="23" t="n">
        <v>1582</v>
      </c>
      <c r="B1585" s="23" t="inlineStr">
        <is>
          <t>2.6.2.2.8</t>
        </is>
      </c>
      <c r="C1585" s="25" t="inlineStr">
        <is>
          <t>Part 2 – Technical Systems</t>
        </is>
      </c>
      <c r="D1585" s="25" t="inlineStr">
        <is>
          <t>2.6 IP TELEPHONY (VoIP)</t>
        </is>
      </c>
      <c r="E1585" s="25" t="inlineStr">
        <is>
          <t>2.6.2 SYSTEM FEATURES</t>
        </is>
      </c>
      <c r="F1585" s="25" t="inlineStr">
        <is>
          <t>The system shall be configurable so as to allow a change in the audio/visual presentation of an Emergency call to an operator to change when calls remain unanswered after predetermined time periods.</t>
        </is>
      </c>
      <c r="G1585" s="19" t="n"/>
      <c r="H1585" s="20" t="n"/>
      <c r="I1585" s="20" t="n"/>
      <c r="J1585" s="19" t="n"/>
      <c r="K1585" s="21" t="n"/>
      <c r="L1585" s="22">
        <f>IF(OR(J1585="",K1585=""),"",J1585*K1585)</f>
        <v/>
      </c>
      <c r="M1585" s="19" t="n"/>
      <c r="N1585" s="20" t="n"/>
      <c r="O1585" s="20" t="n"/>
    </row>
    <row r="1586">
      <c r="A1586" s="16" t="n">
        <v>1583</v>
      </c>
      <c r="B1586" s="16" t="inlineStr">
        <is>
          <t>2.6.2.2.9</t>
        </is>
      </c>
      <c r="C1586" s="18" t="inlineStr">
        <is>
          <t>Part 2 – Technical Systems</t>
        </is>
      </c>
      <c r="D1586" s="18" t="inlineStr">
        <is>
          <t>2.6 IP TELEPHONY (VoIP)</t>
        </is>
      </c>
      <c r="E1586" s="18" t="inlineStr">
        <is>
          <t>2.6.2 SYSTEM FEATURES</t>
        </is>
      </c>
      <c r="F1586" s="18" t="inlineStr">
        <is>
          <t>When the Emergency call is presented to an operator, the CLI of the call shall be displayed on the operator’s terminal in the telephony software console, and in the application that caters to requirements for event creation and event dispatch.</t>
        </is>
      </c>
      <c r="G1586" s="19" t="n"/>
      <c r="H1586" s="20" t="n"/>
      <c r="I1586" s="20" t="n"/>
      <c r="J1586" s="19" t="n"/>
      <c r="K1586" s="21" t="n"/>
      <c r="L1586" s="22">
        <f>IF(OR(J1586="",K1586=""),"",J1586*K1586)</f>
        <v/>
      </c>
      <c r="M1586" s="19" t="n"/>
      <c r="N1586" s="20" t="n"/>
      <c r="O1586" s="20" t="n"/>
    </row>
    <row r="1587">
      <c r="A1587" s="23" t="n">
        <v>1584</v>
      </c>
      <c r="B1587" s="23" t="inlineStr">
        <is>
          <t>2.6.2.2.10</t>
        </is>
      </c>
      <c r="C1587" s="25" t="inlineStr">
        <is>
          <t>Part 2 – Technical Systems</t>
        </is>
      </c>
      <c r="D1587" s="25" t="inlineStr">
        <is>
          <t>2.6 IP TELEPHONY (VoIP)</t>
        </is>
      </c>
      <c r="E1587" s="25" t="inlineStr">
        <is>
          <t>2.6.2 SYSTEM FEATURES</t>
        </is>
      </c>
      <c r="F1587" s="25" t="inlineStr">
        <is>
          <t>The system shall be able to present multiple queues in the form of a common queue to an operator. Emergency Calls shall be queued based on the operator’s priority for each group and then the length of time that calls within each group have been queuing.</t>
        </is>
      </c>
      <c r="G1587" s="19" t="n"/>
      <c r="H1587" s="20" t="n"/>
      <c r="I1587" s="20" t="n"/>
      <c r="J1587" s="19" t="n"/>
      <c r="K1587" s="21" t="n"/>
      <c r="L1587" s="22">
        <f>IF(OR(J1587="",K1587=""),"",J1587*K1587)</f>
        <v/>
      </c>
      <c r="M1587" s="19" t="n"/>
      <c r="N1587" s="20" t="n"/>
      <c r="O1587" s="20" t="n"/>
    </row>
    <row r="1588">
      <c r="A1588" s="16" t="n">
        <v>1585</v>
      </c>
      <c r="B1588" s="16" t="inlineStr">
        <is>
          <t>2.6.2.2.11</t>
        </is>
      </c>
      <c r="C1588" s="18" t="inlineStr">
        <is>
          <t>Part 2 – Technical Systems</t>
        </is>
      </c>
      <c r="D1588" s="18" t="inlineStr">
        <is>
          <t>2.6 IP TELEPHONY (VoIP)</t>
        </is>
      </c>
      <c r="E1588" s="18" t="inlineStr">
        <is>
          <t>2.6.2 SYSTEM FEATURES</t>
        </is>
      </c>
      <c r="F1588" s="18" t="inlineStr">
        <is>
          <t>The system shall be able to permanently display the number of Emergency calls queuing for each call group that are assigned to a call group. This facility shall be available on every console.</t>
        </is>
      </c>
      <c r="G1588" s="19" t="n"/>
      <c r="H1588" s="20" t="n"/>
      <c r="I1588" s="20" t="n"/>
      <c r="J1588" s="19" t="n"/>
      <c r="K1588" s="21" t="n"/>
      <c r="L1588" s="22">
        <f>IF(OR(J1588="",K1588=""),"",J1588*K1588)</f>
        <v/>
      </c>
      <c r="M1588" s="19" t="n"/>
      <c r="N1588" s="20" t="n"/>
      <c r="O1588" s="20" t="n"/>
    </row>
    <row r="1589">
      <c r="A1589" s="23" t="n">
        <v>1586</v>
      </c>
      <c r="B1589" s="23" t="inlineStr">
        <is>
          <t>2.6.2.2.12</t>
        </is>
      </c>
      <c r="C1589" s="25" t="inlineStr">
        <is>
          <t>Part 2 – Technical Systems</t>
        </is>
      </c>
      <c r="D1589" s="25" t="inlineStr">
        <is>
          <t>2.6 IP TELEPHONY (VoIP)</t>
        </is>
      </c>
      <c r="E1589" s="25" t="inlineStr">
        <is>
          <t>2.6.2 SYSTEM FEATURES</t>
        </is>
      </c>
      <c r="F1589" s="25" t="inlineStr">
        <is>
          <t>When an Emergency call is presented to an operator there shall be both a visual and audible alarm.</t>
        </is>
      </c>
      <c r="G1589" s="19" t="n"/>
      <c r="H1589" s="20" t="n"/>
      <c r="I1589" s="20" t="n"/>
      <c r="J1589" s="19" t="n"/>
      <c r="K1589" s="21" t="n"/>
      <c r="L1589" s="22">
        <f>IF(OR(J1589="",K1589=""),"",J1589*K1589)</f>
        <v/>
      </c>
      <c r="M1589" s="19" t="n"/>
      <c r="N1589" s="20" t="n"/>
      <c r="O1589" s="20" t="n"/>
    </row>
    <row r="1590">
      <c r="A1590" s="16" t="n">
        <v>1587</v>
      </c>
      <c r="B1590" s="16" t="inlineStr">
        <is>
          <t>2.6.2.2.13</t>
        </is>
      </c>
      <c r="C1590" s="18" t="inlineStr">
        <is>
          <t>Part 2 – Technical Systems</t>
        </is>
      </c>
      <c r="D1590" s="18" t="inlineStr">
        <is>
          <t>2.6 IP TELEPHONY (VoIP)</t>
        </is>
      </c>
      <c r="E1590" s="18" t="inlineStr">
        <is>
          <t>2.6.2 SYSTEM FEATURES</t>
        </is>
      </c>
      <c r="F1590" s="18" t="inlineStr">
        <is>
          <t>The operator shall be able to mute the audible alarm for certain call groups for a predetermined time period.</t>
        </is>
      </c>
      <c r="G1590" s="19" t="n"/>
      <c r="H1590" s="20" t="n"/>
      <c r="I1590" s="20" t="n"/>
      <c r="J1590" s="19" t="n"/>
      <c r="K1590" s="21" t="n"/>
      <c r="L1590" s="22">
        <f>IF(OR(J1590="",K1590=""),"",J1590*K1590)</f>
        <v/>
      </c>
      <c r="M1590" s="19" t="n"/>
      <c r="N1590" s="20" t="n"/>
      <c r="O1590" s="20" t="n"/>
    </row>
    <row r="1591">
      <c r="A1591" s="23" t="n">
        <v>1588</v>
      </c>
      <c r="B1591" s="23" t="inlineStr">
        <is>
          <t>2.6.2.2.14</t>
        </is>
      </c>
      <c r="C1591" s="25" t="inlineStr">
        <is>
          <t>Part 2 – Technical Systems</t>
        </is>
      </c>
      <c r="D1591" s="25" t="inlineStr">
        <is>
          <t>2.6 IP TELEPHONY (VoIP)</t>
        </is>
      </c>
      <c r="E1591" s="25" t="inlineStr">
        <is>
          <t>2.6.2 SYSTEM FEATURES</t>
        </is>
      </c>
      <c r="F1591" s="25" t="inlineStr">
        <is>
          <t>The system shall support the ability of an authorized user to define, through system configuration, which non-emergency call groups shall be queued in a “silent queue”, where, if an operator has not answered the call after a configured time, the system shall generate an audible alarm.</t>
        </is>
      </c>
      <c r="G1591" s="19" t="n"/>
      <c r="H1591" s="20" t="n"/>
      <c r="I1591" s="20" t="n"/>
      <c r="J1591" s="19" t="n"/>
      <c r="K1591" s="21" t="n"/>
      <c r="L1591" s="22">
        <f>IF(OR(J1591="",K1591=""),"",J1591*K1591)</f>
        <v/>
      </c>
      <c r="M1591" s="19" t="n"/>
      <c r="N1591" s="20" t="n"/>
      <c r="O1591" s="20" t="n"/>
    </row>
    <row r="1592">
      <c r="A1592" s="16" t="n">
        <v>1589</v>
      </c>
      <c r="B1592" s="16" t="inlineStr">
        <is>
          <t>2.6.2.2.15</t>
        </is>
      </c>
      <c r="C1592" s="18" t="inlineStr">
        <is>
          <t>Part 2 – Technical Systems</t>
        </is>
      </c>
      <c r="D1592" s="18" t="inlineStr">
        <is>
          <t>2.6 IP TELEPHONY (VoIP)</t>
        </is>
      </c>
      <c r="E1592" s="18" t="inlineStr">
        <is>
          <t>2.6.2 SYSTEM FEATURES</t>
        </is>
      </c>
      <c r="F1592" s="18" t="inlineStr">
        <is>
          <t>There shall be at least two different types of audible alert that can be associated with a call group. For example, public generated emergency calls may have a different audible alert to other call groups.</t>
        </is>
      </c>
      <c r="G1592" s="19" t="n"/>
      <c r="H1592" s="20" t="n"/>
      <c r="I1592" s="20" t="n"/>
      <c r="J1592" s="19" t="n"/>
      <c r="K1592" s="21" t="n"/>
      <c r="L1592" s="22">
        <f>IF(OR(J1592="",K1592=""),"",J1592*K1592)</f>
        <v/>
      </c>
      <c r="M1592" s="19" t="n"/>
      <c r="N1592" s="20" t="n"/>
      <c r="O1592" s="20" t="n"/>
    </row>
    <row r="1593">
      <c r="A1593" s="23" t="n">
        <v>1590</v>
      </c>
      <c r="B1593" s="23" t="inlineStr">
        <is>
          <t>2.6.2.2.16</t>
        </is>
      </c>
      <c r="C1593" s="25" t="inlineStr">
        <is>
          <t>Part 2 – Technical Systems</t>
        </is>
      </c>
      <c r="D1593" s="25" t="inlineStr">
        <is>
          <t>2.6 IP TELEPHONY (VoIP)</t>
        </is>
      </c>
      <c r="E1593" s="25" t="inlineStr">
        <is>
          <t>2.6.2 SYSTEM FEATURES</t>
        </is>
      </c>
      <c r="F1593" s="25" t="inlineStr">
        <is>
          <t>The audible alert associated with a mutable call group shall be automatically suppressed when the operator is already handling a call.</t>
        </is>
      </c>
      <c r="G1593" s="19" t="n"/>
      <c r="H1593" s="20" t="n"/>
      <c r="I1593" s="20" t="n"/>
      <c r="J1593" s="19" t="n"/>
      <c r="K1593" s="21" t="n"/>
      <c r="L1593" s="22">
        <f>IF(OR(J1593="",K1593=""),"",J1593*K1593)</f>
        <v/>
      </c>
      <c r="M1593" s="19" t="n"/>
      <c r="N1593" s="20" t="n"/>
      <c r="O1593" s="20" t="n"/>
    </row>
    <row r="1594">
      <c r="A1594" s="16" t="n">
        <v>1591</v>
      </c>
      <c r="B1594" s="16" t="inlineStr">
        <is>
          <t>2.6.2.2.17</t>
        </is>
      </c>
      <c r="C1594" s="18" t="inlineStr">
        <is>
          <t>Part 2 – Technical Systems</t>
        </is>
      </c>
      <c r="D1594" s="18" t="inlineStr">
        <is>
          <t>2.6 IP TELEPHONY (VoIP)</t>
        </is>
      </c>
      <c r="E1594" s="18" t="inlineStr">
        <is>
          <t>2.6.2 SYSTEM FEATURES</t>
        </is>
      </c>
      <c r="F1594" s="18" t="inlineStr">
        <is>
          <t>If a call has arrived or arrives for a non-mutable call group then the appropriate audible alarm shall sound.</t>
        </is>
      </c>
      <c r="G1594" s="19" t="n"/>
      <c r="H1594" s="20" t="n"/>
      <c r="I1594" s="20" t="n"/>
      <c r="J1594" s="19" t="n"/>
      <c r="K1594" s="21" t="n"/>
      <c r="L1594" s="22">
        <f>IF(OR(J1594="",K1594=""),"",J1594*K1594)</f>
        <v/>
      </c>
      <c r="M1594" s="19" t="n"/>
      <c r="N1594" s="20" t="n"/>
      <c r="O1594" s="20" t="n"/>
    </row>
    <row r="1595">
      <c r="A1595" s="23" t="n">
        <v>1592</v>
      </c>
      <c r="B1595" s="23" t="inlineStr">
        <is>
          <t>2.6.2.2.18</t>
        </is>
      </c>
      <c r="C1595" s="25" t="inlineStr">
        <is>
          <t>Part 2 – Technical Systems</t>
        </is>
      </c>
      <c r="D1595" s="25" t="inlineStr">
        <is>
          <t>2.6 IP TELEPHONY (VoIP)</t>
        </is>
      </c>
      <c r="E1595" s="25" t="inlineStr">
        <is>
          <t>2.6.2 SYSTEM FEATURES</t>
        </is>
      </c>
      <c r="F1595" s="25" t="inlineStr">
        <is>
          <t>The audible alert that sounds shall be the one that is associated with the call group of the highest priority waiting call.</t>
        </is>
      </c>
      <c r="G1595" s="19" t="n"/>
      <c r="H1595" s="20" t="n"/>
      <c r="I1595" s="20" t="n"/>
      <c r="J1595" s="19" t="n"/>
      <c r="K1595" s="21" t="n"/>
      <c r="L1595" s="22">
        <f>IF(OR(J1595="",K1595=""),"",J1595*K1595)</f>
        <v/>
      </c>
      <c r="M1595" s="19" t="n"/>
      <c r="N1595" s="20" t="n"/>
      <c r="O1595" s="20" t="n"/>
    </row>
    <row r="1596">
      <c r="A1596" s="16" t="n">
        <v>1593</v>
      </c>
      <c r="B1596" s="16" t="inlineStr">
        <is>
          <t>2.6.2.2.19</t>
        </is>
      </c>
      <c r="C1596" s="18" t="inlineStr">
        <is>
          <t>Part 2 – Technical Systems</t>
        </is>
      </c>
      <c r="D1596" s="18" t="inlineStr">
        <is>
          <t>2.6 IP TELEPHONY (VoIP)</t>
        </is>
      </c>
      <c r="E1596" s="18" t="inlineStr">
        <is>
          <t>2.6.2 SYSTEM FEATURES</t>
        </is>
      </c>
      <c r="F1596" s="18" t="inlineStr">
        <is>
          <t>All incoming Emergency calls shall be presented to all operators who have that group or sub-group associated with their profile.</t>
        </is>
      </c>
      <c r="G1596" s="19" t="n"/>
      <c r="H1596" s="20" t="n"/>
      <c r="I1596" s="20" t="n"/>
      <c r="J1596" s="19" t="n"/>
      <c r="K1596" s="21" t="n"/>
      <c r="L1596" s="22">
        <f>IF(OR(J1596="",K1596=""),"",J1596*K1596)</f>
        <v/>
      </c>
      <c r="M1596" s="19" t="n"/>
      <c r="N1596" s="20" t="n"/>
      <c r="O1596" s="20" t="n"/>
    </row>
    <row r="1597">
      <c r="A1597" s="23" t="n">
        <v>1594</v>
      </c>
      <c r="B1597" s="23" t="inlineStr">
        <is>
          <t>2.6.2.2.20</t>
        </is>
      </c>
      <c r="C1597" s="25" t="inlineStr">
        <is>
          <t>Part 2 – Technical Systems</t>
        </is>
      </c>
      <c r="D1597" s="25" t="inlineStr">
        <is>
          <t>2.6 IP TELEPHONY (VoIP)</t>
        </is>
      </c>
      <c r="E1597" s="25" t="inlineStr">
        <is>
          <t>2.6.2 SYSTEM FEATURES</t>
        </is>
      </c>
      <c r="F1597" s="25" t="inlineStr">
        <is>
          <t>The action taken in the event that an Emergency call is missed/dropped/lost/clears before it is answered by an operator shall be configurable. Possible actions include: a. Clear the call from the system, removing it from the call queue b. Leave the call in the queue and present to the operator as a dummy call providing a feature for the operator to attempt to call back the caller in a queue that presents these calls for configurable number of call back attempts along with related statistics, reports, monitoring etc.</t>
        </is>
      </c>
      <c r="G1597" s="19" t="n"/>
      <c r="H1597" s="20" t="n"/>
      <c r="I1597" s="20" t="n"/>
      <c r="J1597" s="19" t="n"/>
      <c r="K1597" s="21" t="n"/>
      <c r="L1597" s="22">
        <f>IF(OR(J1597="",K1597=""),"",J1597*K1597)</f>
        <v/>
      </c>
      <c r="M1597" s="19" t="n"/>
      <c r="N1597" s="20" t="n"/>
      <c r="O1597" s="20" t="n"/>
    </row>
    <row r="1598">
      <c r="A1598" s="16" t="n">
        <v>1595</v>
      </c>
      <c r="B1598" s="16" t="inlineStr">
        <is>
          <t>2.6.2.2.21</t>
        </is>
      </c>
      <c r="C1598" s="18" t="inlineStr">
        <is>
          <t>Part 2 – Technical Systems</t>
        </is>
      </c>
      <c r="D1598" s="18" t="inlineStr">
        <is>
          <t>2.6 IP TELEPHONY (VoIP)</t>
        </is>
      </c>
      <c r="E1598" s="18" t="inlineStr">
        <is>
          <t>2.6.2 SYSTEM FEATURES</t>
        </is>
      </c>
      <c r="F1598" s="18" t="inlineStr">
        <is>
          <t>The system shall drive wall displays with configurable information concerning call statistics and parameters such as: a. Number of calls in each queue b. Longest waiting time</t>
        </is>
      </c>
      <c r="G1598" s="19" t="n"/>
      <c r="H1598" s="20" t="n"/>
      <c r="I1598" s="20" t="n"/>
      <c r="J1598" s="19" t="n"/>
      <c r="K1598" s="21" t="n"/>
      <c r="L1598" s="22">
        <f>IF(OR(J1598="",K1598=""),"",J1598*K1598)</f>
        <v/>
      </c>
      <c r="M1598" s="19" t="n"/>
      <c r="N1598" s="20" t="n"/>
      <c r="O1598" s="20" t="n"/>
    </row>
    <row r="1599">
      <c r="A1599" s="23" t="n">
        <v>1596</v>
      </c>
      <c r="B1599" s="23" t="inlineStr">
        <is>
          <t>2.6.2.2.22</t>
        </is>
      </c>
      <c r="C1599" s="25" t="inlineStr">
        <is>
          <t>Part 2 – Technical Systems</t>
        </is>
      </c>
      <c r="D1599" s="25" t="inlineStr">
        <is>
          <t>2.6 IP TELEPHONY (VoIP)</t>
        </is>
      </c>
      <c r="E1599" s="25" t="inlineStr">
        <is>
          <t>2.6.2 SYSTEM FEATURES</t>
        </is>
      </c>
      <c r="F1599" s="25" t="inlineStr">
        <is>
          <t>Dashboards shall be delivered by the CONTRACTOR to be able to be displayed on the wall displays and will be configured for parameters to be defined with the MOI per OSS911 center.</t>
        </is>
      </c>
      <c r="G1599" s="19" t="n"/>
      <c r="H1599" s="20" t="n"/>
      <c r="I1599" s="20" t="n"/>
      <c r="J1599" s="19" t="n"/>
      <c r="K1599" s="21" t="n"/>
      <c r="L1599" s="22">
        <f>IF(OR(J1599="",K1599=""),"",J1599*K1599)</f>
        <v/>
      </c>
      <c r="M1599" s="19" t="n"/>
      <c r="N1599" s="20" t="n"/>
      <c r="O1599" s="20" t="n"/>
    </row>
    <row r="1600">
      <c r="A1600" s="16" t="n">
        <v>1597</v>
      </c>
      <c r="B1600" s="16" t="inlineStr">
        <is>
          <t>2.6.2.2.23</t>
        </is>
      </c>
      <c r="C1600" s="18" t="inlineStr">
        <is>
          <t>Part 2 – Technical Systems</t>
        </is>
      </c>
      <c r="D1600" s="18" t="inlineStr">
        <is>
          <t>2.6 IP TELEPHONY (VoIP)</t>
        </is>
      </c>
      <c r="E1600" s="18" t="inlineStr">
        <is>
          <t>2.6.2 SYSTEM FEATURES</t>
        </is>
      </c>
      <c r="F1600" s="18" t="inlineStr">
        <is>
          <t>Priority messages for the display shall be configurable. For example, if public generated emergency calls are queuing it shall be possible to display a message which takes priority over other scheduled messages.</t>
        </is>
      </c>
      <c r="G1600" s="19" t="n"/>
      <c r="H1600" s="20" t="n"/>
      <c r="I1600" s="20" t="n"/>
      <c r="J1600" s="19" t="n"/>
      <c r="K1600" s="21" t="n"/>
      <c r="L1600" s="22">
        <f>IF(OR(J1600="",K1600=""),"",J1600*K1600)</f>
        <v/>
      </c>
      <c r="M1600" s="19" t="n"/>
      <c r="N1600" s="20" t="n"/>
      <c r="O1600" s="20" t="n"/>
    </row>
    <row r="1601">
      <c r="A1601" s="23" t="n">
        <v>1598</v>
      </c>
      <c r="B1601" s="23" t="inlineStr">
        <is>
          <t>2.6.2.2.24</t>
        </is>
      </c>
      <c r="C1601" s="25" t="inlineStr">
        <is>
          <t>Part 2 – Technical Systems</t>
        </is>
      </c>
      <c r="D1601" s="25" t="inlineStr">
        <is>
          <t>2.6 IP TELEPHONY (VoIP)</t>
        </is>
      </c>
      <c r="E1601" s="25" t="inlineStr">
        <is>
          <t>2.6.2 SYSTEM FEATURES</t>
        </is>
      </c>
      <c r="F1601" s="25" t="inlineStr">
        <is>
          <t>The system shall be able to provide a graphical display for display on one or more flat panel displays.</t>
        </is>
      </c>
      <c r="G1601" s="19" t="n"/>
      <c r="H1601" s="20" t="n"/>
      <c r="I1601" s="20" t="n"/>
      <c r="J1601" s="19" t="n"/>
      <c r="K1601" s="21" t="n"/>
      <c r="L1601" s="22">
        <f>IF(OR(J1601="",K1601=""),"",J1601*K1601)</f>
        <v/>
      </c>
      <c r="M1601" s="19" t="n"/>
      <c r="N1601" s="20" t="n"/>
      <c r="O1601" s="20" t="n"/>
    </row>
    <row r="1602">
      <c r="A1602" s="16" t="n">
        <v>1599</v>
      </c>
      <c r="B1602" s="16" t="inlineStr">
        <is>
          <t>2.6.2.2.25</t>
        </is>
      </c>
      <c r="C1602" s="18" t="inlineStr">
        <is>
          <t>Part 2 – Technical Systems</t>
        </is>
      </c>
      <c r="D1602" s="18" t="inlineStr">
        <is>
          <t>2.6 IP TELEPHONY (VoIP)</t>
        </is>
      </c>
      <c r="E1602" s="18" t="inlineStr">
        <is>
          <t>2.6.2 SYSTEM FEATURES</t>
        </is>
      </c>
      <c r="F1602" s="18" t="inlineStr">
        <is>
          <t>The system shall support multiple displays for showing different information in different functional areas across OSS911 center.</t>
        </is>
      </c>
      <c r="G1602" s="19" t="n"/>
      <c r="H1602" s="20" t="n"/>
      <c r="I1602" s="20" t="n"/>
      <c r="J1602" s="19" t="n"/>
      <c r="K1602" s="21" t="n"/>
      <c r="L1602" s="22">
        <f>IF(OR(J1602="",K1602=""),"",J1602*K1602)</f>
        <v/>
      </c>
      <c r="M1602" s="19" t="n"/>
      <c r="N1602" s="20" t="n"/>
      <c r="O1602" s="20" t="n"/>
    </row>
    <row r="1603">
      <c r="A1603" s="23" t="n">
        <v>1600</v>
      </c>
      <c r="B1603" s="24" t="inlineStr">
        <is>
          <t>2.6.2.3</t>
        </is>
      </c>
      <c r="C1603" s="25" t="inlineStr">
        <is>
          <t>Part 2 – Technical Systems</t>
        </is>
      </c>
      <c r="D1603" s="25" t="inlineStr">
        <is>
          <t>2.6 IP TELEPHONY (VoIP)</t>
        </is>
      </c>
      <c r="E1603" s="25" t="inlineStr">
        <is>
          <t>2.6.2 SYSTEM FEATURES</t>
        </is>
      </c>
      <c r="F1603" s="25" t="inlineStr">
        <is>
          <t>( اﻟرد ﻋﻠﻰ اﻟﺑﻼﻏﺎتANSWERING CALLS)</t>
        </is>
      </c>
      <c r="G1603" s="19" t="n"/>
      <c r="H1603" s="20" t="n"/>
      <c r="I1603" s="20" t="n"/>
      <c r="J1603" s="19" t="n"/>
      <c r="K1603" s="21" t="n"/>
      <c r="L1603" s="22">
        <f>IF(OR(J1603="",K1603=""),"",J1603*K1603)</f>
        <v/>
      </c>
      <c r="M1603" s="19" t="n"/>
      <c r="N1603" s="20" t="n"/>
      <c r="O1603" s="20" t="n"/>
    </row>
    <row r="1604">
      <c r="A1604" s="16" t="n">
        <v>1601</v>
      </c>
      <c r="B1604" s="16" t="inlineStr">
        <is>
          <t>2.6.2.3.1</t>
        </is>
      </c>
      <c r="C1604" s="18" t="inlineStr">
        <is>
          <t>Part 2 – Technical Systems</t>
        </is>
      </c>
      <c r="D1604" s="18" t="inlineStr">
        <is>
          <t>2.6 IP TELEPHONY (VoIP)</t>
        </is>
      </c>
      <c r="E1604" s="18" t="inlineStr">
        <is>
          <t>2.6.2 SYSTEM FEATURES</t>
        </is>
      </c>
      <c r="F1604" s="18" t="inlineStr">
        <is>
          <t>The operator shall be able to answer the highest priority Emergency call by means of a single key.</t>
        </is>
      </c>
      <c r="G1604" s="19" t="n"/>
      <c r="H1604" s="20" t="n"/>
      <c r="I1604" s="20" t="n"/>
      <c r="J1604" s="19" t="n"/>
      <c r="K1604" s="21" t="n"/>
      <c r="L1604" s="22">
        <f>IF(OR(J1604="",K1604=""),"",J1604*K1604)</f>
        <v/>
      </c>
      <c r="M1604" s="19" t="n"/>
      <c r="N1604" s="20" t="n"/>
      <c r="O1604" s="20" t="n"/>
    </row>
    <row r="1605">
      <c r="A1605" s="23" t="n">
        <v>1602</v>
      </c>
      <c r="B1605" s="23" t="inlineStr">
        <is>
          <t>2.6.2.3.2</t>
        </is>
      </c>
      <c r="C1605" s="25" t="inlineStr">
        <is>
          <t>Part 2 – Technical Systems</t>
        </is>
      </c>
      <c r="D1605" s="25" t="inlineStr">
        <is>
          <t>2.6 IP TELEPHONY (VoIP)</t>
        </is>
      </c>
      <c r="E1605" s="25" t="inlineStr">
        <is>
          <t>2.6.2 SYSTEM FEATURES</t>
        </is>
      </c>
      <c r="F1605" s="25" t="inlineStr">
        <is>
          <t>The operator shall be able to select an Emergency call from a queue to answer, even if that call is not of the highest priority.</t>
        </is>
      </c>
      <c r="G1605" s="19" t="n"/>
      <c r="H1605" s="20" t="n"/>
      <c r="I1605" s="20" t="n"/>
      <c r="J1605" s="19" t="n"/>
      <c r="K1605" s="21" t="n"/>
      <c r="L1605" s="22">
        <f>IF(OR(J1605="",K1605=""),"",J1605*K1605)</f>
        <v/>
      </c>
      <c r="M1605" s="19" t="n"/>
      <c r="N1605" s="20" t="n"/>
      <c r="O1605" s="20" t="n"/>
    </row>
    <row r="1606">
      <c r="A1606" s="16" t="n">
        <v>1603</v>
      </c>
      <c r="B1606" s="16" t="inlineStr">
        <is>
          <t>2.6.2.3.3</t>
        </is>
      </c>
      <c r="C1606" s="18" t="inlineStr">
        <is>
          <t>Part 2 – Technical Systems</t>
        </is>
      </c>
      <c r="D1606" s="18" t="inlineStr">
        <is>
          <t>2.6 IP TELEPHONY (VoIP)</t>
        </is>
      </c>
      <c r="E1606" s="18" t="inlineStr">
        <is>
          <t>2.6.2 SYSTEM FEATURES</t>
        </is>
      </c>
      <c r="F1606" s="18" t="inlineStr">
        <is>
          <t>When an Emergency call is answered by an operator it shall be removed from the queue and any alerting associated with that call shall be stopped on all relevant operator consoles.</t>
        </is>
      </c>
      <c r="G1606" s="19" t="n"/>
      <c r="H1606" s="20" t="n"/>
      <c r="I1606" s="20" t="n"/>
      <c r="J1606" s="19" t="n"/>
      <c r="K1606" s="21" t="n"/>
      <c r="L1606" s="22">
        <f>IF(OR(J1606="",K1606=""),"",J1606*K1606)</f>
        <v/>
      </c>
      <c r="M1606" s="19" t="n"/>
      <c r="N1606" s="20" t="n"/>
      <c r="O1606" s="20" t="n"/>
    </row>
    <row r="1607">
      <c r="A1607" s="23" t="n">
        <v>1604</v>
      </c>
      <c r="B1607" s="23" t="inlineStr">
        <is>
          <t>2.6.2.3.4</t>
        </is>
      </c>
      <c r="C1607" s="25" t="inlineStr">
        <is>
          <t>Part 2 – Technical Systems</t>
        </is>
      </c>
      <c r="D1607" s="25" t="inlineStr">
        <is>
          <t>2.6 IP TELEPHONY (VoIP)</t>
        </is>
      </c>
      <c r="E1607" s="25" t="inlineStr">
        <is>
          <t>2.6.2 SYSTEM FEATURES</t>
        </is>
      </c>
      <c r="F1607" s="25" t="inlineStr">
        <is>
          <t>When an Emergency call has been answered, the CLI (if available) of the call shall be clearly displayed on the console and shall remain present until such time as the operator has cleared the call.</t>
        </is>
      </c>
      <c r="G1607" s="19" t="n"/>
      <c r="H1607" s="20" t="n"/>
      <c r="I1607" s="20" t="n"/>
      <c r="J1607" s="19" t="n"/>
      <c r="K1607" s="21" t="n"/>
      <c r="L1607" s="22">
        <f>IF(OR(J1607="",K1607=""),"",J1607*K1607)</f>
        <v/>
      </c>
      <c r="M1607" s="19" t="n"/>
      <c r="N1607" s="20" t="n"/>
      <c r="O1607" s="20" t="n"/>
    </row>
    <row r="1608">
      <c r="A1608" s="16" t="n">
        <v>1605</v>
      </c>
      <c r="B1608" s="16" t="inlineStr">
        <is>
          <t>2.6.2.3.5</t>
        </is>
      </c>
      <c r="C1608" s="18" t="inlineStr">
        <is>
          <t>Part 2 – Technical Systems</t>
        </is>
      </c>
      <c r="D1608" s="18" t="inlineStr">
        <is>
          <t>2.6 IP TELEPHONY (VoIP)</t>
        </is>
      </c>
      <c r="E1608" s="18" t="inlineStr">
        <is>
          <t>2.6.2 SYSTEM FEATURES</t>
        </is>
      </c>
      <c r="F1608" s="18" t="inlineStr">
        <is>
          <t>An operator shall be able to answer an Emergency call, even if they are already handling a call, by a single key press, providing they do not already have more than a configurable number of calls on hold.</t>
        </is>
      </c>
      <c r="G1608" s="19" t="n"/>
      <c r="H1608" s="20" t="n"/>
      <c r="I1608" s="20" t="n"/>
      <c r="J1608" s="19" t="n"/>
      <c r="K1608" s="21" t="n"/>
      <c r="L1608" s="22">
        <f>IF(OR(J1608="",K1608=""),"",J1608*K1608)</f>
        <v/>
      </c>
      <c r="M1608" s="19" t="n"/>
      <c r="N1608" s="20" t="n"/>
      <c r="O1608" s="20" t="n"/>
    </row>
    <row r="1609">
      <c r="A1609" s="23" t="n">
        <v>1606</v>
      </c>
      <c r="B1609" s="23" t="inlineStr">
        <is>
          <t>2.6.2.3.6</t>
        </is>
      </c>
      <c r="C1609" s="25" t="inlineStr">
        <is>
          <t>Part 2 – Technical Systems</t>
        </is>
      </c>
      <c r="D1609" s="25" t="inlineStr">
        <is>
          <t>2.6 IP TELEPHONY (VoIP)</t>
        </is>
      </c>
      <c r="E1609" s="25" t="inlineStr">
        <is>
          <t>2.6.2 SYSTEM FEATURES</t>
        </is>
      </c>
      <c r="F1609" s="25" t="inlineStr">
        <is>
          <t>If an operator answers an Emergency call whilst they are already handling another call then the first call (the one they were handling) shall be automatically put on hold and given appropriate on hold treatment.</t>
        </is>
      </c>
      <c r="G1609" s="19" t="n"/>
      <c r="H1609" s="20" t="n"/>
      <c r="I1609" s="20" t="n"/>
      <c r="J1609" s="19" t="n"/>
      <c r="K1609" s="21" t="n"/>
      <c r="L1609" s="22">
        <f>IF(OR(J1609="",K1609=""),"",J1609*K1609)</f>
        <v/>
      </c>
      <c r="M1609" s="19" t="n"/>
      <c r="N1609" s="20" t="n"/>
      <c r="O1609" s="20" t="n"/>
    </row>
    <row r="1610">
      <c r="A1610" s="16" t="n">
        <v>1607</v>
      </c>
      <c r="B1610" s="16" t="inlineStr">
        <is>
          <t>2.6.2.3.7</t>
        </is>
      </c>
      <c r="C1610" s="18" t="inlineStr">
        <is>
          <t>Part 2 – Technical Systems</t>
        </is>
      </c>
      <c r="D1610" s="18" t="inlineStr">
        <is>
          <t>2.6 IP TELEPHONY (VoIP)</t>
        </is>
      </c>
      <c r="E1610" s="18" t="inlineStr">
        <is>
          <t>2.6.2 SYSTEM FEATURES</t>
        </is>
      </c>
      <c r="F1610" s="18" t="inlineStr">
        <is>
          <t>The system shall support the ability to configure an alarm that can be raised on the supervisors’ console if an Emergency call has remained unanswered for more than a pre-configured period of time. This time period shall be configurable for each call group.</t>
        </is>
      </c>
      <c r="G1610" s="19" t="n"/>
      <c r="H1610" s="20" t="n"/>
      <c r="I1610" s="20" t="n"/>
      <c r="J1610" s="19" t="n"/>
      <c r="K1610" s="21" t="n"/>
      <c r="L1610" s="22">
        <f>IF(OR(J1610="",K1610=""),"",J1610*K1610)</f>
        <v/>
      </c>
      <c r="M1610" s="19" t="n"/>
      <c r="N1610" s="20" t="n"/>
      <c r="O1610" s="20" t="n"/>
    </row>
    <row r="1611">
      <c r="A1611" s="23" t="n">
        <v>1608</v>
      </c>
      <c r="B1611" s="23" t="inlineStr">
        <is>
          <t>2.6.2.3.8</t>
        </is>
      </c>
      <c r="C1611" s="25" t="inlineStr">
        <is>
          <t>Part 2 – Technical Systems</t>
        </is>
      </c>
      <c r="D1611" s="25" t="inlineStr">
        <is>
          <t>2.6 IP TELEPHONY (VoIP)</t>
        </is>
      </c>
      <c r="E1611" s="25" t="inlineStr">
        <is>
          <t>2.6.2 SYSTEM FEATURES</t>
        </is>
      </c>
      <c r="F1611" s="25" t="inlineStr">
        <is>
          <t>For some call groups (e.g., public generated emergency calls) it shall be possible to commence an incident record (in the incident management system) shall be automatically opened for each call that arrives.</t>
        </is>
      </c>
      <c r="G1611" s="19" t="n"/>
      <c r="H1611" s="20" t="n"/>
      <c r="I1611" s="20" t="n"/>
      <c r="J1611" s="19" t="n"/>
      <c r="K1611" s="21" t="n"/>
      <c r="L1611" s="22">
        <f>IF(OR(J1611="",K1611=""),"",J1611*K1611)</f>
        <v/>
      </c>
      <c r="M1611" s="19" t="n"/>
      <c r="N1611" s="20" t="n"/>
      <c r="O1611" s="20" t="n"/>
    </row>
    <row r="1612">
      <c r="A1612" s="16" t="n">
        <v>1609</v>
      </c>
      <c r="B1612" s="16" t="inlineStr">
        <is>
          <t>2.6.2.3.9</t>
        </is>
      </c>
      <c r="C1612" s="18" t="inlineStr">
        <is>
          <t>Part 2 – Technical Systems</t>
        </is>
      </c>
      <c r="D1612" s="18" t="inlineStr">
        <is>
          <t>2.6 IP TELEPHONY (VoIP)</t>
        </is>
      </c>
      <c r="E1612" s="18" t="inlineStr">
        <is>
          <t>2.6.2 SYSTEM FEATURES</t>
        </is>
      </c>
      <c r="F1612" s="18" t="inlineStr">
        <is>
          <t>In order to provide efficiency in the generation of the incident record and reduce the opportunity for error, the system shall support the electronic exchange of data associated with an Emergency call with an external application.</t>
        </is>
      </c>
      <c r="G1612" s="19" t="n"/>
      <c r="H1612" s="20" t="n"/>
      <c r="I1612" s="20" t="n"/>
      <c r="J1612" s="19" t="n"/>
      <c r="K1612" s="21" t="n"/>
      <c r="L1612" s="22">
        <f>IF(OR(J1612="",K1612=""),"",J1612*K1612)</f>
        <v/>
      </c>
      <c r="M1612" s="19" t="n"/>
      <c r="N1612" s="20" t="n"/>
      <c r="O1612" s="20" t="n"/>
    </row>
    <row r="1613">
      <c r="A1613" s="23" t="n">
        <v>1610</v>
      </c>
      <c r="B1613" s="23" t="inlineStr">
        <is>
          <t>2.6.2.3.10</t>
        </is>
      </c>
      <c r="C1613" s="25" t="inlineStr">
        <is>
          <t>Part 2 – Technical Systems</t>
        </is>
      </c>
      <c r="D1613" s="25" t="inlineStr">
        <is>
          <t>2.6 IP TELEPHONY (VoIP)</t>
        </is>
      </c>
      <c r="E1613" s="25" t="inlineStr">
        <is>
          <t>2.6.2 SYSTEM FEATURES</t>
        </is>
      </c>
      <c r="F1613" s="25" t="inlineStr">
        <is>
          <t>An interface shall be provided that allows Emergency call details of each call answered at operators’ console to be passed to an external application.</t>
        </is>
      </c>
      <c r="G1613" s="19" t="n"/>
      <c r="H1613" s="20" t="n"/>
      <c r="I1613" s="20" t="n"/>
      <c r="J1613" s="19" t="n"/>
      <c r="K1613" s="21" t="n"/>
      <c r="L1613" s="22">
        <f>IF(OR(J1613="",K1613=""),"",J1613*K1613)</f>
        <v/>
      </c>
      <c r="M1613" s="19" t="n"/>
      <c r="N1613" s="20" t="n"/>
      <c r="O1613" s="20" t="n"/>
    </row>
    <row r="1614">
      <c r="A1614" s="16" t="n">
        <v>1611</v>
      </c>
      <c r="B1614" s="17" t="inlineStr">
        <is>
          <t>2.6.2.4</t>
        </is>
      </c>
      <c r="C1614" s="18" t="inlineStr">
        <is>
          <t>Part 2 – Technical Systems</t>
        </is>
      </c>
      <c r="D1614" s="18" t="inlineStr">
        <is>
          <t>2.6 IP TELEPHONY (VoIP)</t>
        </is>
      </c>
      <c r="E1614" s="18" t="inlineStr">
        <is>
          <t>2.6.2 SYSTEM FEATURES</t>
        </is>
      </c>
      <c r="F1614" s="18" t="inlineStr">
        <is>
          <t>إﻏﻼق اﻟﻤﻜﺎﻟﻤﺔ أﺛﻧﺎء أﺗﺻﺎل طوارئCALL CLEARING DURING EMERGENCY CALLS HANDLING</t>
        </is>
      </c>
      <c r="G1614" s="19" t="n"/>
      <c r="H1614" s="20" t="n"/>
      <c r="I1614" s="20" t="n"/>
      <c r="J1614" s="19" t="n"/>
      <c r="K1614" s="21" t="n"/>
      <c r="L1614" s="22">
        <f>IF(OR(J1614="",K1614=""),"",J1614*K1614)</f>
        <v/>
      </c>
      <c r="M1614" s="19" t="n"/>
      <c r="N1614" s="20" t="n"/>
      <c r="O1614" s="20" t="n"/>
    </row>
    <row r="1615">
      <c r="A1615" s="23" t="n">
        <v>1612</v>
      </c>
      <c r="B1615" s="23" t="inlineStr">
        <is>
          <t>2.6.2.4.1</t>
        </is>
      </c>
      <c r="C1615" s="25" t="inlineStr">
        <is>
          <t>Part 2 – Technical Systems</t>
        </is>
      </c>
      <c r="D1615" s="25" t="inlineStr">
        <is>
          <t>2.6 IP TELEPHONY (VoIP)</t>
        </is>
      </c>
      <c r="E1615" s="25" t="inlineStr">
        <is>
          <t>2.6.2 SYSTEM FEATURES</t>
        </is>
      </c>
      <c r="F1615" s="25" t="inlineStr">
        <is>
          <t>Call clearing shall be invoked by either the operator or the called/calling party. Within their proposal, the BIDDER shall identify the support for call clearing.</t>
        </is>
      </c>
      <c r="G1615" s="19" t="n"/>
      <c r="H1615" s="20" t="n"/>
      <c r="I1615" s="20" t="n"/>
      <c r="J1615" s="19" t="n"/>
      <c r="K1615" s="21" t="n"/>
      <c r="L1615" s="22">
        <f>IF(OR(J1615="",K1615=""),"",J1615*K1615)</f>
        <v/>
      </c>
      <c r="M1615" s="19" t="n"/>
      <c r="N1615" s="20" t="n"/>
      <c r="O1615" s="20" t="n"/>
    </row>
    <row r="1616">
      <c r="A1616" s="16" t="n">
        <v>1613</v>
      </c>
      <c r="B1616" s="16" t="inlineStr">
        <is>
          <t>2.6.2.4.2</t>
        </is>
      </c>
      <c r="C1616" s="18" t="inlineStr">
        <is>
          <t>Part 2 – Technical Systems</t>
        </is>
      </c>
      <c r="D1616" s="18" t="inlineStr">
        <is>
          <t>2.6 IP TELEPHONY (VoIP)</t>
        </is>
      </c>
      <c r="E1616" s="18" t="inlineStr">
        <is>
          <t>2.6.2 SYSTEM FEATURES</t>
        </is>
      </c>
      <c r="F1616" s="18" t="inlineStr">
        <is>
          <t>In the event that the called/calling party invokes call clearing, all information associated with that call shall remain on the screen until the operator performs call clearing of their half of the connection.</t>
        </is>
      </c>
      <c r="G1616" s="19" t="n"/>
      <c r="H1616" s="20" t="n"/>
      <c r="I1616" s="20" t="n"/>
      <c r="J1616" s="19" t="n"/>
      <c r="K1616" s="21" t="n"/>
      <c r="L1616" s="22">
        <f>IF(OR(J1616="",K1616=""),"",J1616*K1616)</f>
        <v/>
      </c>
      <c r="M1616" s="19" t="n"/>
      <c r="N1616" s="20" t="n"/>
      <c r="O1616" s="20" t="n"/>
    </row>
    <row r="1617">
      <c r="A1617" s="23" t="n">
        <v>1614</v>
      </c>
      <c r="B1617" s="23" t="inlineStr">
        <is>
          <t>2.6.2.4.3</t>
        </is>
      </c>
      <c r="C1617" s="25" t="inlineStr">
        <is>
          <t>Part 2 – Technical Systems</t>
        </is>
      </c>
      <c r="D1617" s="25" t="inlineStr">
        <is>
          <t>2.6 IP TELEPHONY (VoIP)</t>
        </is>
      </c>
      <c r="E1617" s="25" t="inlineStr">
        <is>
          <t>2.6.2 SYSTEM FEATURES</t>
        </is>
      </c>
      <c r="F1617" s="25" t="inlineStr">
        <is>
          <t>It shall be configurable by call group whether operator- initiated call clearing is allowed.</t>
        </is>
      </c>
      <c r="G1617" s="19" t="n"/>
      <c r="H1617" s="20" t="n"/>
      <c r="I1617" s="20" t="n"/>
      <c r="J1617" s="19" t="n"/>
      <c r="K1617" s="21" t="n"/>
      <c r="L1617" s="22">
        <f>IF(OR(J1617="",K1617=""),"",J1617*K1617)</f>
        <v/>
      </c>
      <c r="M1617" s="19" t="n"/>
      <c r="N1617" s="20" t="n"/>
      <c r="O1617" s="20" t="n"/>
    </row>
    <row r="1618">
      <c r="A1618" s="16" t="n">
        <v>1615</v>
      </c>
      <c r="B1618" s="16" t="inlineStr">
        <is>
          <t>2.6.2.4.4</t>
        </is>
      </c>
      <c r="C1618" s="18" t="inlineStr">
        <is>
          <t>Part 2 – Technical Systems</t>
        </is>
      </c>
      <c r="D1618" s="18" t="inlineStr">
        <is>
          <t>2.6 IP TELEPHONY (VoIP)</t>
        </is>
      </c>
      <c r="E1618" s="18" t="inlineStr">
        <is>
          <t>2.6.2 SYSTEM FEATURES</t>
        </is>
      </c>
      <c r="F1618" s="18" t="inlineStr">
        <is>
          <t>For calls in a call group for which operator-initiated call clearing is permitted, if the operator invokes call clearing, the call shall be released and cleared.</t>
        </is>
      </c>
      <c r="G1618" s="19" t="n"/>
      <c r="H1618" s="20" t="n"/>
      <c r="I1618" s="20" t="n"/>
      <c r="J1618" s="19" t="n"/>
      <c r="K1618" s="21" t="n"/>
      <c r="L1618" s="22">
        <f>IF(OR(J1618="",K1618=""),"",J1618*K1618)</f>
        <v/>
      </c>
      <c r="M1618" s="19" t="n"/>
      <c r="N1618" s="20" t="n"/>
      <c r="O1618" s="20" t="n"/>
    </row>
    <row r="1619">
      <c r="A1619" s="23" t="n">
        <v>1616</v>
      </c>
      <c r="B1619" s="23" t="inlineStr">
        <is>
          <t>2.6.2.4.5</t>
        </is>
      </c>
      <c r="C1619" s="25" t="inlineStr">
        <is>
          <t>Part 2 – Technical Systems</t>
        </is>
      </c>
      <c r="D1619" s="25" t="inlineStr">
        <is>
          <t>2.6 IP TELEPHONY (VoIP)</t>
        </is>
      </c>
      <c r="E1619" s="25" t="inlineStr">
        <is>
          <t>2.6.2 SYSTEM FEATURES</t>
        </is>
      </c>
      <c r="F1619" s="25" t="inlineStr">
        <is>
          <t>For calls in a call group for which operator-initiated call clearing is NOT permitted, if the operator invokes call clearing then that call shall automatically be re-queued and its priority in the call queue will be based on the length of time the call has been in the system (This would normally cause it to go to the head of the queue).</t>
        </is>
      </c>
      <c r="G1619" s="19" t="n"/>
      <c r="H1619" s="20" t="n"/>
      <c r="I1619" s="20" t="n"/>
      <c r="J1619" s="19" t="n"/>
      <c r="K1619" s="21" t="n"/>
      <c r="L1619" s="22">
        <f>IF(OR(J1619="",K1619=""),"",J1619*K1619)</f>
        <v/>
      </c>
      <c r="M1619" s="19" t="n"/>
      <c r="N1619" s="20" t="n"/>
      <c r="O1619" s="20" t="n"/>
    </row>
    <row r="1620">
      <c r="A1620" s="16" t="n">
        <v>1617</v>
      </c>
      <c r="B1620" s="16" t="inlineStr">
        <is>
          <t>2.6.2.4.6</t>
        </is>
      </c>
      <c r="C1620" s="18" t="inlineStr">
        <is>
          <t>Part 2 – Technical Systems</t>
        </is>
      </c>
      <c r="D1620" s="18" t="inlineStr">
        <is>
          <t>2.6 IP TELEPHONY (VoIP)</t>
        </is>
      </c>
      <c r="E1620" s="18" t="inlineStr">
        <is>
          <t>2.6.2 SYSTEM FEATURES</t>
        </is>
      </c>
      <c r="F1620" s="18" t="inlineStr">
        <is>
          <t>The next operator who receives the call shall be given an indication that the call was re-queued and for authorized users like the supervisors, the identity of the operator who released the call.</t>
        </is>
      </c>
      <c r="G1620" s="19" t="n"/>
      <c r="H1620" s="20" t="n"/>
      <c r="I1620" s="20" t="n"/>
      <c r="J1620" s="19" t="n"/>
      <c r="K1620" s="21" t="n"/>
      <c r="L1620" s="22">
        <f>IF(OR(J1620="",K1620=""),"",J1620*K1620)</f>
        <v/>
      </c>
      <c r="M1620" s="19" t="n"/>
      <c r="N1620" s="20" t="n"/>
      <c r="O1620" s="20" t="n"/>
    </row>
    <row r="1621">
      <c r="A1621" s="23" t="n">
        <v>1618</v>
      </c>
      <c r="B1621" s="23" t="inlineStr">
        <is>
          <t>2.6.2.4.7</t>
        </is>
      </c>
      <c r="C1621" s="25" t="inlineStr">
        <is>
          <t>Part 2 – Technical Systems</t>
        </is>
      </c>
      <c r="D1621" s="25" t="inlineStr">
        <is>
          <t>2.6 IP TELEPHONY (VoIP)</t>
        </is>
      </c>
      <c r="E1621" s="25" t="inlineStr">
        <is>
          <t>2.6.2 SYSTEM FEATURES</t>
        </is>
      </c>
      <c r="F1621" s="25" t="inlineStr">
        <is>
          <t>In the event that the called/calling party clears whilst the call is being re-queued then its treatment shall depend on how that call group is configured.</t>
        </is>
      </c>
      <c r="G1621" s="19" t="n"/>
      <c r="H1621" s="20" t="n"/>
      <c r="I1621" s="20" t="n"/>
      <c r="J1621" s="19" t="n"/>
      <c r="K1621" s="21" t="n"/>
      <c r="L1621" s="22">
        <f>IF(OR(J1621="",K1621=""),"",J1621*K1621)</f>
        <v/>
      </c>
      <c r="M1621" s="19" t="n"/>
      <c r="N1621" s="20" t="n"/>
      <c r="O1621" s="20" t="n"/>
    </row>
    <row r="1622">
      <c r="A1622" s="16" t="n">
        <v>1619</v>
      </c>
      <c r="B1622" s="16" t="inlineStr">
        <is>
          <t>2.6.2.4.8</t>
        </is>
      </c>
      <c r="C1622" s="18" t="inlineStr">
        <is>
          <t>Part 2 – Technical Systems</t>
        </is>
      </c>
      <c r="D1622" s="18" t="inlineStr">
        <is>
          <t>2.6 IP TELEPHONY (VoIP)</t>
        </is>
      </c>
      <c r="E1622" s="18" t="inlineStr">
        <is>
          <t>2.6.2 SYSTEM FEATURES</t>
        </is>
      </c>
      <c r="F1622" s="18" t="inlineStr">
        <is>
          <t>It is possible that due to some type of fault condition a call that cannot be cleared by an operator from the system. In this case it shall be possible for the supervisor to release this call and clear the line. This action shall be recorded in a fault log for the system as a fault condition.</t>
        </is>
      </c>
      <c r="G1622" s="19" t="n"/>
      <c r="H1622" s="20" t="n"/>
      <c r="I1622" s="20" t="n"/>
      <c r="J1622" s="19" t="n"/>
      <c r="K1622" s="21" t="n"/>
      <c r="L1622" s="22">
        <f>IF(OR(J1622="",K1622=""),"",J1622*K1622)</f>
        <v/>
      </c>
      <c r="M1622" s="19" t="n"/>
      <c r="N1622" s="20" t="n"/>
      <c r="O1622" s="20" t="n"/>
    </row>
    <row r="1623">
      <c r="A1623" s="23" t="n">
        <v>1620</v>
      </c>
      <c r="B1623" s="24" t="inlineStr">
        <is>
          <t>2.6.2.5</t>
        </is>
      </c>
      <c r="C1623" s="25" t="inlineStr">
        <is>
          <t>Part 2 – Technical Systems</t>
        </is>
      </c>
      <c r="D1623" s="25" t="inlineStr">
        <is>
          <t>2.6 IP TELEPHONY (VoIP)</t>
        </is>
      </c>
      <c r="E1623" s="25" t="inlineStr">
        <is>
          <t>2.6.2 SYSTEM FEATURES</t>
        </is>
      </c>
      <c r="F1623" s="25" t="inlineStr">
        <is>
          <t>( اﻟﻣﻛﺎﻟﻣﺎت اﻟﺻﺎدرةOUTGOING CALLS)</t>
        </is>
      </c>
      <c r="G1623" s="19" t="n"/>
      <c r="H1623" s="20" t="n"/>
      <c r="I1623" s="20" t="n"/>
      <c r="J1623" s="19" t="n"/>
      <c r="K1623" s="21" t="n"/>
      <c r="L1623" s="22">
        <f>IF(OR(J1623="",K1623=""),"",J1623*K1623)</f>
        <v/>
      </c>
      <c r="M1623" s="19" t="n"/>
      <c r="N1623" s="20" t="n"/>
      <c r="O1623" s="20" t="n"/>
    </row>
    <row r="1624">
      <c r="A1624" s="16" t="n">
        <v>1621</v>
      </c>
      <c r="B1624" s="16" t="inlineStr">
        <is>
          <t>2.6.2.5.1</t>
        </is>
      </c>
      <c r="C1624" s="18" t="inlineStr">
        <is>
          <t>Part 2 – Technical Systems</t>
        </is>
      </c>
      <c r="D1624" s="18" t="inlineStr">
        <is>
          <t>2.6 IP TELEPHONY (VoIP)</t>
        </is>
      </c>
      <c r="E1624" s="18" t="inlineStr">
        <is>
          <t>2.6.2 SYSTEM FEATURES</t>
        </is>
      </c>
      <c r="F1624" s="18" t="inlineStr">
        <is>
          <t>The operator shall be able to make outgoing calls on any group that is configured for both-way or outbound calls.</t>
        </is>
      </c>
      <c r="G1624" s="19" t="n"/>
      <c r="H1624" s="20" t="n"/>
      <c r="I1624" s="20" t="n"/>
      <c r="J1624" s="19" t="n"/>
      <c r="K1624" s="21" t="n"/>
      <c r="L1624" s="22">
        <f>IF(OR(J1624="",K1624=""),"",J1624*K1624)</f>
        <v/>
      </c>
      <c r="M1624" s="19" t="n"/>
      <c r="N1624" s="20" t="n"/>
      <c r="O1624" s="20" t="n"/>
    </row>
    <row r="1625">
      <c r="A1625" s="23" t="n">
        <v>1622</v>
      </c>
      <c r="B1625" s="23" t="inlineStr">
        <is>
          <t>2.6.2.5.2</t>
        </is>
      </c>
      <c r="C1625" s="25" t="inlineStr">
        <is>
          <t>Part 2 – Technical Systems</t>
        </is>
      </c>
      <c r="D1625" s="25" t="inlineStr">
        <is>
          <t>2.6 IP TELEPHONY (VoIP)</t>
        </is>
      </c>
      <c r="E1625" s="25" t="inlineStr">
        <is>
          <t>2.6.2 SYSTEM FEATURES</t>
        </is>
      </c>
      <c r="F1625" s="25" t="inlineStr">
        <is>
          <t>An on-screen keypad shall be available for the operator to dial from.</t>
        </is>
      </c>
      <c r="G1625" s="19" t="n"/>
      <c r="H1625" s="20" t="n"/>
      <c r="I1625" s="20" t="n"/>
      <c r="J1625" s="19" t="n"/>
      <c r="K1625" s="21" t="n"/>
      <c r="L1625" s="22">
        <f>IF(OR(J1625="",K1625=""),"",J1625*K1625)</f>
        <v/>
      </c>
      <c r="M1625" s="19" t="n"/>
      <c r="N1625" s="20" t="n"/>
      <c r="O1625" s="20" t="n"/>
    </row>
    <row r="1626">
      <c r="A1626" s="16" t="n">
        <v>1623</v>
      </c>
      <c r="B1626" s="16" t="inlineStr">
        <is>
          <t>2.6.2.5.3</t>
        </is>
      </c>
      <c r="C1626" s="18" t="inlineStr">
        <is>
          <t>Part 2 – Technical Systems</t>
        </is>
      </c>
      <c r="D1626" s="18" t="inlineStr">
        <is>
          <t>2.6 IP TELEPHONY (VoIP)</t>
        </is>
      </c>
      <c r="E1626" s="18" t="inlineStr">
        <is>
          <t>2.6.2 SYSTEM FEATURES</t>
        </is>
      </c>
      <c r="F1626" s="18" t="inlineStr">
        <is>
          <t>One touch speed dial key shall be configurable on the console. It shall be possible to configure these keys through system configuration, where the system administrator will identify both the group to be used and the number to be dialed.</t>
        </is>
      </c>
      <c r="G1626" s="19" t="n"/>
      <c r="H1626" s="20" t="n"/>
      <c r="I1626" s="20" t="n"/>
      <c r="J1626" s="19" t="n"/>
      <c r="K1626" s="21" t="n"/>
      <c r="L1626" s="22">
        <f>IF(OR(J1626="",K1626=""),"",J1626*K1626)</f>
        <v/>
      </c>
      <c r="M1626" s="19" t="n"/>
      <c r="N1626" s="20" t="n"/>
      <c r="O1626" s="20" t="n"/>
    </row>
    <row r="1627">
      <c r="A1627" s="23" t="n">
        <v>1624</v>
      </c>
      <c r="B1627" s="23" t="inlineStr">
        <is>
          <t>2.6.2.5.4</t>
        </is>
      </c>
      <c r="C1627" s="25" t="inlineStr">
        <is>
          <t>Part 2 – Technical Systems</t>
        </is>
      </c>
      <c r="D1627" s="25" t="inlineStr">
        <is>
          <t>2.6 IP TELEPHONY (VoIP)</t>
        </is>
      </c>
      <c r="E1627" s="25" t="inlineStr">
        <is>
          <t>2.6.2 SYSTEM FEATURES</t>
        </is>
      </c>
      <c r="F1627" s="25" t="inlineStr">
        <is>
          <t>The number being dialed by the operator using the keypad shall be displayed.</t>
        </is>
      </c>
      <c r="G1627" s="19" t="n"/>
      <c r="H1627" s="20" t="n"/>
      <c r="I1627" s="20" t="n"/>
      <c r="J1627" s="19" t="n"/>
      <c r="K1627" s="21" t="n"/>
      <c r="L1627" s="22">
        <f>IF(OR(J1627="",K1627=""),"",J1627*K1627)</f>
        <v/>
      </c>
      <c r="M1627" s="19" t="n"/>
      <c r="N1627" s="20" t="n"/>
      <c r="O1627" s="20" t="n"/>
    </row>
    <row r="1628">
      <c r="A1628" s="16" t="n">
        <v>1625</v>
      </c>
      <c r="B1628" s="16" t="inlineStr">
        <is>
          <t>2.6.2.5.5</t>
        </is>
      </c>
      <c r="C1628" s="18" t="inlineStr">
        <is>
          <t>Part 2 – Technical Systems</t>
        </is>
      </c>
      <c r="D1628" s="18" t="inlineStr">
        <is>
          <t>2.6 IP TELEPHONY (VoIP)</t>
        </is>
      </c>
      <c r="E1628" s="18" t="inlineStr">
        <is>
          <t>2.6.2 SYSTEM FEATURES</t>
        </is>
      </c>
      <c r="F1628" s="18" t="inlineStr">
        <is>
          <t>The operator shall be able to correct the number being dialed via the keypad during the dialing process.</t>
        </is>
      </c>
      <c r="G1628" s="19" t="n"/>
      <c r="H1628" s="20" t="n"/>
      <c r="I1628" s="20" t="n"/>
      <c r="J1628" s="19" t="n"/>
      <c r="K1628" s="21" t="n"/>
      <c r="L1628" s="22">
        <f>IF(OR(J1628="",K1628=""),"",J1628*K1628)</f>
        <v/>
      </c>
      <c r="M1628" s="19" t="n"/>
      <c r="N1628" s="20" t="n"/>
      <c r="O1628" s="20" t="n"/>
    </row>
    <row r="1629">
      <c r="A1629" s="23" t="n">
        <v>1626</v>
      </c>
      <c r="B1629" s="23" t="inlineStr">
        <is>
          <t>2.6.2.5.6</t>
        </is>
      </c>
      <c r="C1629" s="25" t="inlineStr">
        <is>
          <t>Part 2 – Technical Systems</t>
        </is>
      </c>
      <c r="D1629" s="25" t="inlineStr">
        <is>
          <t>2.6 IP TELEPHONY (VoIP)</t>
        </is>
      </c>
      <c r="E1629" s="25" t="inlineStr">
        <is>
          <t>2.6.2 SYSTEM FEATURES</t>
        </is>
      </c>
      <c r="F1629" s="25" t="inlineStr">
        <is>
          <t>The operator shall be able to cancel outbound dialing at any time.</t>
        </is>
      </c>
      <c r="G1629" s="19" t="n"/>
      <c r="H1629" s="20" t="n"/>
      <c r="I1629" s="20" t="n"/>
      <c r="J1629" s="19" t="n"/>
      <c r="K1629" s="21" t="n"/>
      <c r="L1629" s="22">
        <f>IF(OR(J1629="",K1629=""),"",J1629*K1629)</f>
        <v/>
      </c>
      <c r="M1629" s="19" t="n"/>
      <c r="N1629" s="20" t="n"/>
      <c r="O1629" s="20" t="n"/>
    </row>
    <row r="1630">
      <c r="A1630" s="16" t="n">
        <v>1627</v>
      </c>
      <c r="B1630" s="16" t="inlineStr">
        <is>
          <t>2.6.2.5.7</t>
        </is>
      </c>
      <c r="C1630" s="18" t="inlineStr">
        <is>
          <t>Part 2 – Technical Systems</t>
        </is>
      </c>
      <c r="D1630" s="18" t="inlineStr">
        <is>
          <t>2.6 IP TELEPHONY (VoIP)</t>
        </is>
      </c>
      <c r="E1630" s="18" t="inlineStr">
        <is>
          <t>2.6.2 SYSTEM FEATURES</t>
        </is>
      </c>
      <c r="F1630" s="18" t="inlineStr">
        <is>
          <t>A last number redial facility shall exist allowing the last number dialed from that console to be displayed and redialed.</t>
        </is>
      </c>
      <c r="G1630" s="19" t="n"/>
      <c r="H1630" s="20" t="n"/>
      <c r="I1630" s="20" t="n"/>
      <c r="J1630" s="19" t="n"/>
      <c r="K1630" s="21" t="n"/>
      <c r="L1630" s="22">
        <f>IF(OR(J1630="",K1630=""),"",J1630*K1630)</f>
        <v/>
      </c>
      <c r="M1630" s="19" t="n"/>
      <c r="N1630" s="20" t="n"/>
      <c r="O1630" s="20" t="n"/>
    </row>
    <row r="1631">
      <c r="A1631" s="23" t="n">
        <v>1628</v>
      </c>
      <c r="B1631" s="23" t="inlineStr">
        <is>
          <t>2.6.2.5.8</t>
        </is>
      </c>
      <c r="C1631" s="25" t="inlineStr">
        <is>
          <t>Part 2 – Technical Systems</t>
        </is>
      </c>
      <c r="D1631" s="25" t="inlineStr">
        <is>
          <t>2.6 IP TELEPHONY (VoIP)</t>
        </is>
      </c>
      <c r="E1631" s="25" t="inlineStr">
        <is>
          <t>2.6.2 SYSTEM FEATURES</t>
        </is>
      </c>
      <c r="F1631" s="25" t="inlineStr">
        <is>
          <t>The keypad shall be available to the operator while the call is in progress.</t>
        </is>
      </c>
      <c r="G1631" s="19" t="n"/>
      <c r="H1631" s="20" t="n"/>
      <c r="I1631" s="20" t="n"/>
      <c r="J1631" s="19" t="n"/>
      <c r="K1631" s="21" t="n"/>
      <c r="L1631" s="22">
        <f>IF(OR(J1631="",K1631=""),"",J1631*K1631)</f>
        <v/>
      </c>
      <c r="M1631" s="19" t="n"/>
      <c r="N1631" s="20" t="n"/>
      <c r="O1631" s="20" t="n"/>
    </row>
    <row r="1632">
      <c r="A1632" s="16" t="n">
        <v>1629</v>
      </c>
      <c r="B1632" s="16" t="inlineStr">
        <is>
          <t>2.6.2.5.9</t>
        </is>
      </c>
      <c r="C1632" s="18" t="inlineStr">
        <is>
          <t>Part 2 – Technical Systems</t>
        </is>
      </c>
      <c r="D1632" s="18" t="inlineStr">
        <is>
          <t>2.6 IP TELEPHONY (VoIP)</t>
        </is>
      </c>
      <c r="E1632" s="18" t="inlineStr">
        <is>
          <t>2.6.2 SYSTEM FEATURES</t>
        </is>
      </c>
      <c r="F1632" s="18" t="inlineStr">
        <is>
          <t>Before the call is answered the keypad shall be used to send additional dialed digits.</t>
        </is>
      </c>
      <c r="G1632" s="19" t="n"/>
      <c r="H1632" s="20" t="n"/>
      <c r="I1632" s="20" t="n"/>
      <c r="J1632" s="19" t="n"/>
      <c r="K1632" s="21" t="n"/>
      <c r="L1632" s="22">
        <f>IF(OR(J1632="",K1632=""),"",J1632*K1632)</f>
        <v/>
      </c>
      <c r="M1632" s="19" t="n"/>
      <c r="N1632" s="20" t="n"/>
      <c r="O1632" s="20" t="n"/>
    </row>
    <row r="1633">
      <c r="A1633" s="23" t="n">
        <v>1630</v>
      </c>
      <c r="B1633" s="23" t="inlineStr">
        <is>
          <t>2.6.2.5.10</t>
        </is>
      </c>
      <c r="C1633" s="25" t="inlineStr">
        <is>
          <t>Part 2 – Technical Systems</t>
        </is>
      </c>
      <c r="D1633" s="25" t="inlineStr">
        <is>
          <t>2.6 IP TELEPHONY (VoIP)</t>
        </is>
      </c>
      <c r="E1633" s="25" t="inlineStr">
        <is>
          <t>2.6.2 SYSTEM FEATURES</t>
        </is>
      </c>
      <c r="F1633" s="25" t="inlineStr">
        <is>
          <t>Once the call has been answered, pressing any number (0- 9, *, #) key shall result in the associated DTMF tone being generated on the line.</t>
        </is>
      </c>
      <c r="G1633" s="19" t="n"/>
      <c r="H1633" s="20" t="n"/>
      <c r="I1633" s="20" t="n"/>
      <c r="J1633" s="19" t="n"/>
      <c r="K1633" s="21" t="n"/>
      <c r="L1633" s="22">
        <f>IF(OR(J1633="",K1633=""),"",J1633*K1633)</f>
        <v/>
      </c>
      <c r="M1633" s="19" t="n"/>
      <c r="N1633" s="20" t="n"/>
      <c r="O1633" s="20" t="n"/>
    </row>
    <row r="1634">
      <c r="A1634" s="16" t="n">
        <v>1631</v>
      </c>
      <c r="B1634" s="16" t="inlineStr">
        <is>
          <t>2.6.2.5.11</t>
        </is>
      </c>
      <c r="C1634" s="18" t="inlineStr">
        <is>
          <t>Part 2 – Technical Systems</t>
        </is>
      </c>
      <c r="D1634" s="18" t="inlineStr">
        <is>
          <t>2.6 IP TELEPHONY (VoIP)</t>
        </is>
      </c>
      <c r="E1634" s="18" t="inlineStr">
        <is>
          <t>2.6.2 SYSTEM FEATURES</t>
        </is>
      </c>
      <c r="F1634" s="18" t="inlineStr">
        <is>
          <t>Outgoing calls on hotlines shall require no more than 2 key presses.</t>
        </is>
      </c>
      <c r="G1634" s="19" t="n"/>
      <c r="H1634" s="20" t="n"/>
      <c r="I1634" s="20" t="n"/>
      <c r="J1634" s="19" t="n"/>
      <c r="K1634" s="21" t="n"/>
      <c r="L1634" s="22">
        <f>IF(OR(J1634="",K1634=""),"",J1634*K1634)</f>
        <v/>
      </c>
      <c r="M1634" s="19" t="n"/>
      <c r="N1634" s="20" t="n"/>
      <c r="O1634" s="20" t="n"/>
    </row>
    <row r="1635">
      <c r="A1635" s="23" t="n">
        <v>1632</v>
      </c>
      <c r="B1635" s="24" t="inlineStr">
        <is>
          <t>2.6.2.6</t>
        </is>
      </c>
      <c r="C1635" s="25" t="inlineStr">
        <is>
          <t>Part 2 – Technical Systems</t>
        </is>
      </c>
      <c r="D1635" s="25" t="inlineStr">
        <is>
          <t>2.6 IP TELEPHONY (VoIP)</t>
        </is>
      </c>
      <c r="E1635" s="25" t="inlineStr">
        <is>
          <t>2.6.2 SYSTEM FEATURES</t>
        </is>
      </c>
      <c r="F1635" s="25" t="inlineStr">
        <is>
          <t>( وﺿﻊ اﻟﺑﻼﻏﺎت ﻗﯾد اﻻﻧﺘﻈﺎرHOLDING CALLS)</t>
        </is>
      </c>
      <c r="G1635" s="19" t="n"/>
      <c r="H1635" s="20" t="n"/>
      <c r="I1635" s="20" t="n"/>
      <c r="J1635" s="19" t="n"/>
      <c r="K1635" s="21" t="n"/>
      <c r="L1635" s="22">
        <f>IF(OR(J1635="",K1635=""),"",J1635*K1635)</f>
        <v/>
      </c>
      <c r="M1635" s="19" t="n"/>
      <c r="N1635" s="20" t="n"/>
      <c r="O1635" s="20" t="n"/>
    </row>
    <row r="1636">
      <c r="A1636" s="16" t="n">
        <v>1633</v>
      </c>
      <c r="B1636" s="16" t="inlineStr">
        <is>
          <t>2.6.2.6.1</t>
        </is>
      </c>
      <c r="C1636" s="18" t="inlineStr">
        <is>
          <t>Part 2 – Technical Systems</t>
        </is>
      </c>
      <c r="D1636" s="18" t="inlineStr">
        <is>
          <t>2.6 IP TELEPHONY (VoIP)</t>
        </is>
      </c>
      <c r="E1636" s="18" t="inlineStr">
        <is>
          <t>2.6.2 SYSTEM FEATURES</t>
        </is>
      </c>
      <c r="F1636" s="18" t="inlineStr">
        <is>
          <t>An operator shall be able to place a minimum of 3 calls on hold and to later retrieve them.</t>
        </is>
      </c>
      <c r="G1636" s="19" t="n"/>
      <c r="H1636" s="20" t="n"/>
      <c r="I1636" s="20" t="n"/>
      <c r="J1636" s="19" t="n"/>
      <c r="K1636" s="21" t="n"/>
      <c r="L1636" s="22">
        <f>IF(OR(J1636="",K1636=""),"",J1636*K1636)</f>
        <v/>
      </c>
      <c r="M1636" s="19" t="n"/>
      <c r="N1636" s="20" t="n"/>
      <c r="O1636" s="20" t="n"/>
    </row>
    <row r="1637">
      <c r="A1637" s="23" t="n">
        <v>1634</v>
      </c>
      <c r="B1637" s="23" t="inlineStr">
        <is>
          <t>2.6.2.6.2</t>
        </is>
      </c>
      <c r="C1637" s="25" t="inlineStr">
        <is>
          <t>Part 2 – Technical Systems</t>
        </is>
      </c>
      <c r="D1637" s="25" t="inlineStr">
        <is>
          <t>2.6 IP TELEPHONY (VoIP)</t>
        </is>
      </c>
      <c r="E1637" s="25" t="inlineStr">
        <is>
          <t>2.6.2 SYSTEM FEATURES</t>
        </is>
      </c>
      <c r="F1637" s="25" t="inlineStr">
        <is>
          <t>Once a call has been placed on hold the operator shall be able to answer another call or place an outgoing call.</t>
        </is>
      </c>
      <c r="G1637" s="19" t="n"/>
      <c r="H1637" s="20" t="n"/>
      <c r="I1637" s="20" t="n"/>
      <c r="J1637" s="19" t="n"/>
      <c r="K1637" s="21" t="n"/>
      <c r="L1637" s="22">
        <f>IF(OR(J1637="",K1637=""),"",J1637*K1637)</f>
        <v/>
      </c>
      <c r="M1637" s="19" t="n"/>
      <c r="N1637" s="20" t="n"/>
      <c r="O1637" s="20" t="n"/>
    </row>
    <row r="1638">
      <c r="A1638" s="16" t="n">
        <v>1635</v>
      </c>
      <c r="B1638" s="16" t="inlineStr">
        <is>
          <t>2.6.2.6.3</t>
        </is>
      </c>
      <c r="C1638" s="18" t="inlineStr">
        <is>
          <t>Part 2 – Technical Systems</t>
        </is>
      </c>
      <c r="D1638" s="18" t="inlineStr">
        <is>
          <t>2.6 IP TELEPHONY (VoIP)</t>
        </is>
      </c>
      <c r="E1638" s="18" t="inlineStr">
        <is>
          <t>2.6.2 SYSTEM FEATURES</t>
        </is>
      </c>
      <c r="F1638" s="18" t="inlineStr">
        <is>
          <t>Held calls shall be displayed in a separate area of the console display.</t>
        </is>
      </c>
      <c r="G1638" s="19" t="n"/>
      <c r="H1638" s="20" t="n"/>
      <c r="I1638" s="20" t="n"/>
      <c r="J1638" s="19" t="n"/>
      <c r="K1638" s="21" t="n"/>
      <c r="L1638" s="22">
        <f>IF(OR(J1638="",K1638=""),"",J1638*K1638)</f>
        <v/>
      </c>
      <c r="M1638" s="19" t="n"/>
      <c r="N1638" s="20" t="n"/>
      <c r="O1638" s="20" t="n"/>
    </row>
    <row r="1639">
      <c r="A1639" s="23" t="n">
        <v>1636</v>
      </c>
      <c r="B1639" s="23" t="inlineStr">
        <is>
          <t>2.6.2.6.4</t>
        </is>
      </c>
      <c r="C1639" s="25" t="inlineStr">
        <is>
          <t>Part 2 – Technical Systems</t>
        </is>
      </c>
      <c r="D1639" s="25" t="inlineStr">
        <is>
          <t>2.6 IP TELEPHONY (VoIP)</t>
        </is>
      </c>
      <c r="E1639" s="25" t="inlineStr">
        <is>
          <t>2.6.2 SYSTEM FEATURES</t>
        </is>
      </c>
      <c r="F1639" s="25" t="inlineStr">
        <is>
          <t>Where an operator answers a call whilst already handling a call, the call they are handling shall automatically be placed on hold until the limit for the maximum number of calls on hold is reached.</t>
        </is>
      </c>
      <c r="G1639" s="19" t="n"/>
      <c r="H1639" s="20" t="n"/>
      <c r="I1639" s="20" t="n"/>
      <c r="J1639" s="19" t="n"/>
      <c r="K1639" s="21" t="n"/>
      <c r="L1639" s="22">
        <f>IF(OR(J1639="",K1639=""),"",J1639*K1639)</f>
        <v/>
      </c>
      <c r="M1639" s="19" t="n"/>
      <c r="N1639" s="20" t="n"/>
      <c r="O1639" s="20" t="n"/>
    </row>
    <row r="1640">
      <c r="A1640" s="16" t="n">
        <v>1637</v>
      </c>
      <c r="B1640" s="16" t="inlineStr">
        <is>
          <t>2.6.2.6.5</t>
        </is>
      </c>
      <c r="C1640" s="18" t="inlineStr">
        <is>
          <t>Part 2 – Technical Systems</t>
        </is>
      </c>
      <c r="D1640" s="18" t="inlineStr">
        <is>
          <t>2.6 IP TELEPHONY (VoIP)</t>
        </is>
      </c>
      <c r="E1640" s="18" t="inlineStr">
        <is>
          <t>2.6.2 SYSTEM FEATURES</t>
        </is>
      </c>
      <c r="F1640" s="18" t="inlineStr">
        <is>
          <t>Audible Reminder of Held Calls: Provides an audible tone as a reminder that calls are on hold on a user’s station.</t>
        </is>
      </c>
      <c r="G1640" s="19" t="n"/>
      <c r="H1640" s="20" t="n"/>
      <c r="I1640" s="20" t="n"/>
      <c r="J1640" s="19" t="n"/>
      <c r="K1640" s="21" t="n"/>
      <c r="L1640" s="22">
        <f>IF(OR(J1640="",K1640=""),"",J1640*K1640)</f>
        <v/>
      </c>
      <c r="M1640" s="19" t="n"/>
      <c r="N1640" s="20" t="n"/>
      <c r="O1640" s="20" t="n"/>
    </row>
    <row r="1641">
      <c r="A1641" s="23" t="n">
        <v>1638</v>
      </c>
      <c r="B1641" s="24" t="inlineStr">
        <is>
          <t>2.6.2.7</t>
        </is>
      </c>
      <c r="C1641" s="25" t="inlineStr">
        <is>
          <t>Part 2 – Technical Systems</t>
        </is>
      </c>
      <c r="D1641" s="25" t="inlineStr">
        <is>
          <t>2.6 IP TELEPHONY (VoIP)</t>
        </is>
      </c>
      <c r="E1641" s="25" t="inlineStr">
        <is>
          <t>2.6.2 SYSTEM FEATURES</t>
        </is>
      </c>
      <c r="F1641" s="25" t="inlineStr">
        <is>
          <t>( ﺗﺣوﯾل اﻟﻣﻛﺎﻟﻣﺎتCALL TRANSFER)</t>
        </is>
      </c>
      <c r="G1641" s="19" t="n"/>
      <c r="H1641" s="20" t="n"/>
      <c r="I1641" s="20" t="n"/>
      <c r="J1641" s="19" t="n"/>
      <c r="K1641" s="21" t="n"/>
      <c r="L1641" s="22">
        <f>IF(OR(J1641="",K1641=""),"",J1641*K1641)</f>
        <v/>
      </c>
      <c r="M1641" s="19" t="n"/>
      <c r="N1641" s="20" t="n"/>
      <c r="O1641" s="20" t="n"/>
    </row>
    <row r="1642">
      <c r="A1642" s="16" t="n">
        <v>1639</v>
      </c>
      <c r="B1642" s="16" t="inlineStr">
        <is>
          <t>2.6.2.7.1</t>
        </is>
      </c>
      <c r="C1642" s="18" t="inlineStr">
        <is>
          <t>Part 2 – Technical Systems</t>
        </is>
      </c>
      <c r="D1642" s="18" t="inlineStr">
        <is>
          <t>2.6 IP TELEPHONY (VoIP)</t>
        </is>
      </c>
      <c r="E1642" s="18" t="inlineStr">
        <is>
          <t>2.6.2 SYSTEM FEATURES</t>
        </is>
      </c>
      <c r="F1642" s="18" t="inlineStr">
        <is>
          <t>The operator shall be able to transfer a call as follows: a. To a specific operator b. To a queue c. To an external PABX extension number</t>
        </is>
      </c>
      <c r="G1642" s="19" t="n"/>
      <c r="H1642" s="20" t="n"/>
      <c r="I1642" s="20" t="n"/>
      <c r="J1642" s="19" t="n"/>
      <c r="K1642" s="21" t="n"/>
      <c r="L1642" s="22">
        <f>IF(OR(J1642="",K1642=""),"",J1642*K1642)</f>
        <v/>
      </c>
      <c r="M1642" s="19" t="n"/>
      <c r="N1642" s="20" t="n"/>
      <c r="O1642" s="20" t="n"/>
    </row>
    <row r="1643">
      <c r="A1643" s="23" t="n">
        <v>1640</v>
      </c>
      <c r="B1643" s="23" t="inlineStr">
        <is>
          <t>2.6.2.7.2</t>
        </is>
      </c>
      <c r="C1643" s="25" t="inlineStr">
        <is>
          <t>Part 2 – Technical Systems</t>
        </is>
      </c>
      <c r="D1643" s="25" t="inlineStr">
        <is>
          <t>2.6 IP TELEPHONY (VoIP)</t>
        </is>
      </c>
      <c r="E1643" s="25" t="inlineStr">
        <is>
          <t>2.6.2 SYSTEM FEATURES</t>
        </is>
      </c>
      <c r="F1643" s="25" t="inlineStr">
        <is>
          <t>Where the operator transfers the call to a specific operator, that call shall be presented to the operator in a separate queue for transferred calls.</t>
        </is>
      </c>
      <c r="G1643" s="19" t="n"/>
      <c r="H1643" s="20" t="n"/>
      <c r="I1643" s="20" t="n"/>
      <c r="J1643" s="19" t="n"/>
      <c r="K1643" s="21" t="n"/>
      <c r="L1643" s="22">
        <f>IF(OR(J1643="",K1643=""),"",J1643*K1643)</f>
        <v/>
      </c>
      <c r="M1643" s="19" t="n"/>
      <c r="N1643" s="20" t="n"/>
      <c r="O1643" s="20" t="n"/>
    </row>
    <row r="1644">
      <c r="A1644" s="16" t="n">
        <v>1641</v>
      </c>
      <c r="B1644" s="16" t="inlineStr">
        <is>
          <t>2.6.2.7.3</t>
        </is>
      </c>
      <c r="C1644" s="18" t="inlineStr">
        <is>
          <t>Part 2 – Technical Systems</t>
        </is>
      </c>
      <c r="D1644" s="18" t="inlineStr">
        <is>
          <t>2.6 IP TELEPHONY (VoIP)</t>
        </is>
      </c>
      <c r="E1644" s="18" t="inlineStr">
        <is>
          <t>2.6.2 SYSTEM FEATURES</t>
        </is>
      </c>
      <c r="F1644" s="18" t="inlineStr">
        <is>
          <t>The operator shall be able to perform a blind transfer where they are able to release the call before the called operator answers.</t>
        </is>
      </c>
      <c r="G1644" s="19" t="n"/>
      <c r="H1644" s="20" t="n"/>
      <c r="I1644" s="20" t="n"/>
      <c r="J1644" s="19" t="n"/>
      <c r="K1644" s="21" t="n"/>
      <c r="L1644" s="22">
        <f>IF(OR(J1644="",K1644=""),"",J1644*K1644)</f>
        <v/>
      </c>
      <c r="M1644" s="19" t="n"/>
      <c r="N1644" s="20" t="n"/>
      <c r="O1644" s="20" t="n"/>
    </row>
    <row r="1645">
      <c r="A1645" s="23" t="n">
        <v>1642</v>
      </c>
      <c r="B1645" s="23" t="inlineStr">
        <is>
          <t>2.6.2.7.4</t>
        </is>
      </c>
      <c r="C1645" s="25" t="inlineStr">
        <is>
          <t>Part 2 – Technical Systems</t>
        </is>
      </c>
      <c r="D1645" s="25" t="inlineStr">
        <is>
          <t>2.6 IP TELEPHONY (VoIP)</t>
        </is>
      </c>
      <c r="E1645" s="25" t="inlineStr">
        <is>
          <t>2.6.2 SYSTEM FEATURES</t>
        </is>
      </c>
      <c r="F1645" s="25" t="inlineStr">
        <is>
          <t>The operator shall also be able to perform an assisted transfer where the called operator answers the call allowing the calling operator to speak to the called operator with the caller excluded from the conversation.</t>
        </is>
      </c>
      <c r="G1645" s="19" t="n"/>
      <c r="H1645" s="20" t="n"/>
      <c r="I1645" s="20" t="n"/>
      <c r="J1645" s="19" t="n"/>
      <c r="K1645" s="21" t="n"/>
      <c r="L1645" s="22">
        <f>IF(OR(J1645="",K1645=""),"",J1645*K1645)</f>
        <v/>
      </c>
      <c r="M1645" s="19" t="n"/>
      <c r="N1645" s="20" t="n"/>
      <c r="O1645" s="20" t="n"/>
    </row>
    <row r="1646">
      <c r="A1646" s="16" t="n">
        <v>1643</v>
      </c>
      <c r="B1646" s="16" t="inlineStr">
        <is>
          <t>2.6.2.7.5</t>
        </is>
      </c>
      <c r="C1646" s="18" t="inlineStr">
        <is>
          <t>Part 2 – Technical Systems</t>
        </is>
      </c>
      <c r="D1646" s="18" t="inlineStr">
        <is>
          <t>2.6 IP TELEPHONY (VoIP)</t>
        </is>
      </c>
      <c r="E1646" s="18" t="inlineStr">
        <is>
          <t>2.6.2 SYSTEM FEATURES</t>
        </is>
      </c>
      <c r="F1646" s="18" t="inlineStr">
        <is>
          <t>During an assisted transfer, after consulting with the called operator the calling operator shall be able to: a.Connect the caller to the called operator b.Release the called operator and reconnect to the caller</t>
        </is>
      </c>
      <c r="G1646" s="19" t="n"/>
      <c r="H1646" s="20" t="n"/>
      <c r="I1646" s="20" t="n"/>
      <c r="J1646" s="19" t="n"/>
      <c r="K1646" s="21" t="n"/>
      <c r="L1646" s="22">
        <f>IF(OR(J1646="",K1646=""),"",J1646*K1646)</f>
        <v/>
      </c>
      <c r="M1646" s="19" t="n"/>
      <c r="N1646" s="20" t="n"/>
      <c r="O1646" s="20" t="n"/>
    </row>
    <row r="1647">
      <c r="A1647" s="23" t="n">
        <v>1644</v>
      </c>
      <c r="B1647" s="23" t="inlineStr">
        <is>
          <t>2.6.2.7.6</t>
        </is>
      </c>
      <c r="C1647" s="25" t="inlineStr">
        <is>
          <t>Part 2 – Technical Systems</t>
        </is>
      </c>
      <c r="D1647" s="25" t="inlineStr">
        <is>
          <t>2.6 IP TELEPHONY (VoIP)</t>
        </is>
      </c>
      <c r="E1647" s="25" t="inlineStr">
        <is>
          <t>2.6.2 SYSTEM FEATURES</t>
        </is>
      </c>
      <c r="F1647" s="25" t="inlineStr">
        <is>
          <t>The operator shall be able to transfer a call via a direct exchange line or a PABX extension. The operator shall be able to monitor this call until either party clears and if necessary, re- connect to the call.</t>
        </is>
      </c>
      <c r="G1647" s="19" t="n"/>
      <c r="H1647" s="20" t="n"/>
      <c r="I1647" s="20" t="n"/>
      <c r="J1647" s="19" t="n"/>
      <c r="K1647" s="21" t="n"/>
      <c r="L1647" s="22">
        <f>IF(OR(J1647="",K1647=""),"",J1647*K1647)</f>
        <v/>
      </c>
      <c r="M1647" s="19" t="n"/>
      <c r="N1647" s="20" t="n"/>
      <c r="O1647" s="20" t="n"/>
    </row>
    <row r="1648">
      <c r="A1648" s="16" t="n">
        <v>1645</v>
      </c>
      <c r="B1648" s="16" t="inlineStr">
        <is>
          <t>2.6.2.7.7</t>
        </is>
      </c>
      <c r="C1648" s="18" t="inlineStr">
        <is>
          <t>Part 2 – Technical Systems</t>
        </is>
      </c>
      <c r="D1648" s="18" t="inlineStr">
        <is>
          <t>2.6 IP TELEPHONY (VoIP)</t>
        </is>
      </c>
      <c r="E1648" s="18" t="inlineStr">
        <is>
          <t>2.6.2 SYSTEM FEATURES</t>
        </is>
      </c>
      <c r="F1648" s="18" t="inlineStr">
        <is>
          <t>In the event that any blind transferred call is unanswered within a configurable time period, that call shall be re-queued into the queue for its call group.</t>
        </is>
      </c>
      <c r="G1648" s="19" t="n"/>
      <c r="H1648" s="20" t="n"/>
      <c r="I1648" s="20" t="n"/>
      <c r="J1648" s="19" t="n"/>
      <c r="K1648" s="21" t="n"/>
      <c r="L1648" s="22">
        <f>IF(OR(J1648="",K1648=""),"",J1648*K1648)</f>
        <v/>
      </c>
      <c r="M1648" s="19" t="n"/>
      <c r="N1648" s="20" t="n"/>
      <c r="O1648" s="20" t="n"/>
    </row>
    <row r="1649">
      <c r="A1649" s="23" t="n">
        <v>1646</v>
      </c>
      <c r="B1649" s="23" t="inlineStr">
        <is>
          <t>2.6.2.7.8</t>
        </is>
      </c>
      <c r="C1649" s="25" t="inlineStr">
        <is>
          <t>Part 2 – Technical Systems</t>
        </is>
      </c>
      <c r="D1649" s="25" t="inlineStr">
        <is>
          <t>2.6 IP TELEPHONY (VoIP)</t>
        </is>
      </c>
      <c r="E1649" s="25" t="inlineStr">
        <is>
          <t>2.6.2 SYSTEM FEATURES</t>
        </is>
      </c>
      <c r="F1649" s="25" t="inlineStr">
        <is>
          <t>It shall be possible to customize by authorized OSS911 personnel, the number of unanswered rings before a call gets transferred.</t>
        </is>
      </c>
      <c r="G1649" s="19" t="n"/>
      <c r="H1649" s="20" t="n"/>
      <c r="I1649" s="20" t="n"/>
      <c r="J1649" s="19" t="n"/>
      <c r="K1649" s="21" t="n"/>
      <c r="L1649" s="22">
        <f>IF(OR(J1649="",K1649=""),"",J1649*K1649)</f>
        <v/>
      </c>
      <c r="M1649" s="19" t="n"/>
      <c r="N1649" s="20" t="n"/>
      <c r="O1649" s="20" t="n"/>
    </row>
    <row r="1650">
      <c r="A1650" s="16" t="n">
        <v>1647</v>
      </c>
      <c r="B1650" s="17" t="inlineStr">
        <is>
          <t>2.6.2.8</t>
        </is>
      </c>
      <c r="C1650" s="18" t="inlineStr">
        <is>
          <t>Part 2 – Technical Systems</t>
        </is>
      </c>
      <c r="D1650" s="18" t="inlineStr">
        <is>
          <t>2.6 IP TELEPHONY (VoIP)</t>
        </is>
      </c>
      <c r="E1650" s="18" t="inlineStr">
        <is>
          <t>2.6.2 SYSTEM FEATURES</t>
        </is>
      </c>
      <c r="F1650" s="18" t="inlineStr">
        <is>
          <t>( اﻟﻣراﻗﺑﺔMONITORING)</t>
        </is>
      </c>
      <c r="G1650" s="19" t="n"/>
      <c r="H1650" s="20" t="n"/>
      <c r="I1650" s="20" t="n"/>
      <c r="J1650" s="19" t="n"/>
      <c r="K1650" s="21" t="n"/>
      <c r="L1650" s="22">
        <f>IF(OR(J1650="",K1650=""),"",J1650*K1650)</f>
        <v/>
      </c>
      <c r="M1650" s="19" t="n"/>
      <c r="N1650" s="20" t="n"/>
      <c r="O1650" s="20" t="n"/>
    </row>
    <row r="1651">
      <c r="A1651" s="23" t="n">
        <v>1648</v>
      </c>
      <c r="B1651" s="23" t="inlineStr">
        <is>
          <t>2.6.2.8.1</t>
        </is>
      </c>
      <c r="C1651" s="25" t="inlineStr">
        <is>
          <t>Part 2 – Technical Systems</t>
        </is>
      </c>
      <c r="D1651" s="25" t="inlineStr">
        <is>
          <t>2.6 IP TELEPHONY (VoIP)</t>
        </is>
      </c>
      <c r="E1651" s="25" t="inlineStr">
        <is>
          <t>2.6.2 SYSTEM FEATURES</t>
        </is>
      </c>
      <c r="F1651" s="25" t="inlineStr">
        <is>
          <t>The operator or supervisor shall be able to monitor the call of another operator. This facility shall be non-intrusive and the microphone of the monitoring operator(s) shall be muted.</t>
        </is>
      </c>
      <c r="G1651" s="19" t="n"/>
      <c r="H1651" s="20" t="n"/>
      <c r="I1651" s="20" t="n"/>
      <c r="J1651" s="19" t="n"/>
      <c r="K1651" s="21" t="n"/>
      <c r="L1651" s="22">
        <f>IF(OR(J1651="",K1651=""),"",J1651*K1651)</f>
        <v/>
      </c>
      <c r="M1651" s="19" t="n"/>
      <c r="N1651" s="20" t="n"/>
      <c r="O1651" s="20" t="n"/>
    </row>
    <row r="1652">
      <c r="A1652" s="16" t="n">
        <v>1649</v>
      </c>
      <c r="B1652" s="16" t="inlineStr">
        <is>
          <t>2.6.2.8.2</t>
        </is>
      </c>
      <c r="C1652" s="18" t="inlineStr">
        <is>
          <t>Part 2 – Technical Systems</t>
        </is>
      </c>
      <c r="D1652" s="18" t="inlineStr">
        <is>
          <t>2.6 IP TELEPHONY (VoIP)</t>
        </is>
      </c>
      <c r="E1652" s="18" t="inlineStr">
        <is>
          <t>2.6.2 SYSTEM FEATURES</t>
        </is>
      </c>
      <c r="F1652" s="18" t="inlineStr">
        <is>
          <t>Monitored audio shall not be played through the operator’s loudspeaker but only routed to a headset (if connected).</t>
        </is>
      </c>
      <c r="G1652" s="19" t="n"/>
      <c r="H1652" s="20" t="n"/>
      <c r="I1652" s="20" t="n"/>
      <c r="J1652" s="19" t="n"/>
      <c r="K1652" s="21" t="n"/>
      <c r="L1652" s="22">
        <f>IF(OR(J1652="",K1652=""),"",J1652*K1652)</f>
        <v/>
      </c>
      <c r="M1652" s="19" t="n"/>
      <c r="N1652" s="20" t="n"/>
      <c r="O1652" s="20" t="n"/>
    </row>
    <row r="1653">
      <c r="A1653" s="23" t="n">
        <v>1650</v>
      </c>
      <c r="B1653" s="23" t="inlineStr">
        <is>
          <t>2.6.2.8.3</t>
        </is>
      </c>
      <c r="C1653" s="25" t="inlineStr">
        <is>
          <t>Part 2 – Technical Systems</t>
        </is>
      </c>
      <c r="D1653" s="25" t="inlineStr">
        <is>
          <t>2.6 IP TELEPHONY (VoIP)</t>
        </is>
      </c>
      <c r="E1653" s="25" t="inlineStr">
        <is>
          <t>2.6.2 SYSTEM FEATURES</t>
        </is>
      </c>
      <c r="F1653" s="25" t="inlineStr">
        <is>
          <t>An indication shall be given to the operator being monitored that monitoring is taking place.</t>
        </is>
      </c>
      <c r="G1653" s="19" t="n"/>
      <c r="H1653" s="20" t="n"/>
      <c r="I1653" s="20" t="n"/>
      <c r="J1653" s="19" t="n"/>
      <c r="K1653" s="21" t="n"/>
      <c r="L1653" s="22">
        <f>IF(OR(J1653="",K1653=""),"",J1653*K1653)</f>
        <v/>
      </c>
      <c r="M1653" s="19" t="n"/>
      <c r="N1653" s="20" t="n"/>
      <c r="O1653" s="20" t="n"/>
    </row>
    <row r="1654">
      <c r="A1654" s="16" t="n">
        <v>1651</v>
      </c>
      <c r="B1654" s="17" t="inlineStr">
        <is>
          <t>2.6.2.9</t>
        </is>
      </c>
      <c r="C1654" s="18" t="inlineStr">
        <is>
          <t>Part 2 – Technical Systems</t>
        </is>
      </c>
      <c r="D1654" s="18" t="inlineStr">
        <is>
          <t>2.6 IP TELEPHONY (VoIP)</t>
        </is>
      </c>
      <c r="E1654" s="18" t="inlineStr">
        <is>
          <t>2.6.2 SYSTEM FEATURES</t>
        </is>
      </c>
      <c r="F1654" s="18" t="inlineStr">
        <is>
          <t>( ﻛﺗم ﺻوت اﻟﻣﯾﻛروﻓونMICROPHONE MUTING)</t>
        </is>
      </c>
      <c r="G1654" s="19" t="n"/>
      <c r="H1654" s="20" t="n"/>
      <c r="I1654" s="20" t="n"/>
      <c r="J1654" s="19" t="n"/>
      <c r="K1654" s="21" t="n"/>
      <c r="L1654" s="22">
        <f>IF(OR(J1654="",K1654=""),"",J1654*K1654)</f>
        <v/>
      </c>
      <c r="M1654" s="19" t="n"/>
      <c r="N1654" s="20" t="n"/>
      <c r="O1654" s="20" t="n"/>
    </row>
    <row r="1655">
      <c r="A1655" s="23" t="n">
        <v>1652</v>
      </c>
      <c r="B1655" s="23" t="inlineStr">
        <is>
          <t>2.6.2.9.1</t>
        </is>
      </c>
      <c r="C1655" s="25" t="inlineStr">
        <is>
          <t>Part 2 – Technical Systems</t>
        </is>
      </c>
      <c r="D1655" s="25" t="inlineStr">
        <is>
          <t>2.6 IP TELEPHONY (VoIP)</t>
        </is>
      </c>
      <c r="E1655" s="25" t="inlineStr">
        <is>
          <t>2.6.2 SYSTEM FEATURES</t>
        </is>
      </c>
      <c r="F1655" s="25" t="inlineStr">
        <is>
          <t>The operator shall be able to mute their microphone at any time so that the other party/parties cannot hear them.</t>
        </is>
      </c>
      <c r="G1655" s="19" t="n"/>
      <c r="H1655" s="20" t="n"/>
      <c r="I1655" s="20" t="n"/>
      <c r="J1655" s="19" t="n"/>
      <c r="K1655" s="21" t="n"/>
      <c r="L1655" s="22">
        <f>IF(OR(J1655="",K1655=""),"",J1655*K1655)</f>
        <v/>
      </c>
      <c r="M1655" s="19" t="n"/>
      <c r="N1655" s="20" t="n"/>
      <c r="O1655" s="20" t="n"/>
    </row>
    <row r="1656">
      <c r="A1656" s="16" t="n">
        <v>1653</v>
      </c>
      <c r="B1656" s="17" t="inlineStr">
        <is>
          <t>2.6.2.10</t>
        </is>
      </c>
      <c r="C1656" s="18" t="inlineStr">
        <is>
          <t>Part 2 – Technical Systems</t>
        </is>
      </c>
      <c r="D1656" s="18" t="inlineStr">
        <is>
          <t>2.6 IP TELEPHONY (VoIP)</t>
        </is>
      </c>
      <c r="E1656" s="18" t="inlineStr">
        <is>
          <t>2.6.2 SYSTEM FEATURES</t>
        </is>
      </c>
      <c r="F1656" s="18" t="inlineStr">
        <is>
          <t>( اﻟﺗﻌﺎﻣل ﻣﻊ اﻟﻣﻛﺎﻟﻣﺎت ﻗﯾد اﻻﻧﺘﻈﺎرON HOLD TREATMENT)</t>
        </is>
      </c>
      <c r="G1656" s="19" t="n"/>
      <c r="H1656" s="20" t="n"/>
      <c r="I1656" s="20" t="n"/>
      <c r="J1656" s="19" t="n"/>
      <c r="K1656" s="21" t="n"/>
      <c r="L1656" s="22">
        <f>IF(OR(J1656="",K1656=""),"",J1656*K1656)</f>
        <v/>
      </c>
      <c r="M1656" s="19" t="n"/>
      <c r="N1656" s="20" t="n"/>
      <c r="O1656" s="20" t="n"/>
    </row>
    <row r="1657">
      <c r="A1657" s="23" t="n">
        <v>1654</v>
      </c>
      <c r="B1657" s="23" t="inlineStr">
        <is>
          <t>2.6.2.10.1</t>
        </is>
      </c>
      <c r="C1657" s="25" t="inlineStr">
        <is>
          <t>Part 2 – Technical Systems</t>
        </is>
      </c>
      <c r="D1657" s="25" t="inlineStr">
        <is>
          <t>2.6 IP TELEPHONY (VoIP)</t>
        </is>
      </c>
      <c r="E1657" s="25" t="inlineStr">
        <is>
          <t>2.6.2 SYSTEM FEATURES</t>
        </is>
      </c>
      <c r="F1657" s="25" t="inlineStr">
        <is>
          <t>The system shall provide a treatment for calls on hold.</t>
        </is>
      </c>
      <c r="G1657" s="19" t="n"/>
      <c r="H1657" s="20" t="n"/>
      <c r="I1657" s="20" t="n"/>
      <c r="J1657" s="19" t="n"/>
      <c r="K1657" s="21" t="n"/>
      <c r="L1657" s="22">
        <f>IF(OR(J1657="",K1657=""),"",J1657*K1657)</f>
        <v/>
      </c>
      <c r="M1657" s="19" t="n"/>
      <c r="N1657" s="20" t="n"/>
      <c r="O1657" s="20" t="n"/>
    </row>
    <row r="1658">
      <c r="A1658" s="16" t="n">
        <v>1655</v>
      </c>
      <c r="B1658" s="16" t="inlineStr">
        <is>
          <t>2.6.2.10.2</t>
        </is>
      </c>
      <c r="C1658" s="18" t="inlineStr">
        <is>
          <t>Part 2 – Technical Systems</t>
        </is>
      </c>
      <c r="D1658" s="18" t="inlineStr">
        <is>
          <t>2.6 IP TELEPHONY (VoIP)</t>
        </is>
      </c>
      <c r="E1658" s="18" t="inlineStr">
        <is>
          <t>2.6.2 SYSTEM FEATURES</t>
        </is>
      </c>
      <c r="F1658" s="18" t="inlineStr">
        <is>
          <t>The treatment shall be configurable for each call group.</t>
        </is>
      </c>
      <c r="G1658" s="19" t="n"/>
      <c r="H1658" s="20" t="n"/>
      <c r="I1658" s="20" t="n"/>
      <c r="J1658" s="19" t="n"/>
      <c r="K1658" s="21" t="n"/>
      <c r="L1658" s="22">
        <f>IF(OR(J1658="",K1658=""),"",J1658*K1658)</f>
        <v/>
      </c>
      <c r="M1658" s="19" t="n"/>
      <c r="N1658" s="20" t="n"/>
      <c r="O1658" s="20" t="n"/>
    </row>
    <row r="1659">
      <c r="A1659" s="23" t="n">
        <v>1656</v>
      </c>
      <c r="B1659" s="23" t="inlineStr">
        <is>
          <t>2.6.2.10.3</t>
        </is>
      </c>
      <c r="C1659" s="25" t="inlineStr">
        <is>
          <t>Part 2 – Technical Systems</t>
        </is>
      </c>
      <c r="D1659" s="25" t="inlineStr">
        <is>
          <t>2.6 IP TELEPHONY (VoIP)</t>
        </is>
      </c>
      <c r="E1659" s="25" t="inlineStr">
        <is>
          <t>2.6.2 SYSTEM FEATURES</t>
        </is>
      </c>
      <c r="F1659" s="25" t="inlineStr">
        <is>
          <t>On hold treatment shall consist of one of the following: a. Silence b. Comfort tone c. Music on hold d. Announcement</t>
        </is>
      </c>
      <c r="G1659" s="19" t="n"/>
      <c r="H1659" s="20" t="n"/>
      <c r="I1659" s="20" t="n"/>
      <c r="J1659" s="19" t="n"/>
      <c r="K1659" s="21" t="n"/>
      <c r="L1659" s="22">
        <f>IF(OR(J1659="",K1659=""),"",J1659*K1659)</f>
        <v/>
      </c>
      <c r="M1659" s="19" t="n"/>
      <c r="N1659" s="20" t="n"/>
      <c r="O1659" s="20" t="n"/>
    </row>
    <row r="1660">
      <c r="A1660" s="16" t="n">
        <v>1657</v>
      </c>
      <c r="B1660" s="17" t="inlineStr">
        <is>
          <t>2.6.2.11</t>
        </is>
      </c>
      <c r="C1660" s="18" t="inlineStr">
        <is>
          <t>Part 2 – Technical Systems</t>
        </is>
      </c>
      <c r="D1660" s="18" t="inlineStr">
        <is>
          <t>2.6 IP TELEPHONY (VoIP)</t>
        </is>
      </c>
      <c r="E1660" s="18" t="inlineStr">
        <is>
          <t>2.6.2 SYSTEM FEATURES</t>
        </is>
      </c>
      <c r="F1660" s="18" t="inlineStr">
        <is>
          <t>( واﺟﮭﺔ ﺻوت اﻟﻣﺷﻐلOPERATOR AUDIO INTERFACE)</t>
        </is>
      </c>
      <c r="G1660" s="19" t="n"/>
      <c r="H1660" s="20" t="n"/>
      <c r="I1660" s="20" t="n"/>
      <c r="J1660" s="19" t="n"/>
      <c r="K1660" s="21" t="n"/>
      <c r="L1660" s="22">
        <f>IF(OR(J1660="",K1660=""),"",J1660*K1660)</f>
        <v/>
      </c>
      <c r="M1660" s="19" t="n"/>
      <c r="N1660" s="20" t="n"/>
      <c r="O1660" s="20" t="n"/>
    </row>
    <row r="1661">
      <c r="A1661" s="23" t="n">
        <v>1658</v>
      </c>
      <c r="B1661" s="23" t="inlineStr">
        <is>
          <t>2.6.2.11.1</t>
        </is>
      </c>
      <c r="C1661" s="25" t="inlineStr">
        <is>
          <t>Part 2 – Technical Systems</t>
        </is>
      </c>
      <c r="D1661" s="25" t="inlineStr">
        <is>
          <t>2.6 IP TELEPHONY (VoIP)</t>
        </is>
      </c>
      <c r="E1661" s="25" t="inlineStr">
        <is>
          <t>2.6.2 SYSTEM FEATURES</t>
        </is>
      </c>
      <c r="F1661" s="25" t="inlineStr">
        <is>
          <t>Each operator shall be provided with a capability to allow the connection of two headsets so as to allow an operator and supervisor or operator and facilitator to work together.</t>
        </is>
      </c>
      <c r="G1661" s="19" t="n"/>
      <c r="H1661" s="20" t="n"/>
      <c r="I1661" s="20" t="n"/>
      <c r="J1661" s="19" t="n"/>
      <c r="K1661" s="21" t="n"/>
      <c r="L1661" s="22">
        <f>IF(OR(J1661="",K1661=""),"",J1661*K1661)</f>
        <v/>
      </c>
      <c r="M1661" s="19" t="n"/>
      <c r="N1661" s="20" t="n"/>
      <c r="O1661" s="20" t="n"/>
    </row>
    <row r="1662">
      <c r="A1662" s="16" t="n">
        <v>1659</v>
      </c>
      <c r="B1662" s="16" t="inlineStr">
        <is>
          <t>2.6.2.11.2</t>
        </is>
      </c>
      <c r="C1662" s="18" t="inlineStr">
        <is>
          <t>Part 2 – Technical Systems</t>
        </is>
      </c>
      <c r="D1662" s="18" t="inlineStr">
        <is>
          <t>2.6 IP TELEPHONY (VoIP)</t>
        </is>
      </c>
      <c r="E1662" s="18" t="inlineStr">
        <is>
          <t>2.6.2 SYSTEM FEATURES</t>
        </is>
      </c>
      <c r="F1662" s="18" t="inlineStr">
        <is>
          <t>Each operator shall be provided with a sound arbitration box that shall be connected to the PC, the IP phone and to the headset to arbitrate the sound source to the headset irrespective of where the sound source.</t>
        </is>
      </c>
      <c r="G1662" s="19" t="n"/>
      <c r="H1662" s="20" t="n"/>
      <c r="I1662" s="20" t="n"/>
      <c r="J1662" s="19" t="n"/>
      <c r="K1662" s="21" t="n"/>
      <c r="L1662" s="22">
        <f>IF(OR(J1662="",K1662=""),"",J1662*K1662)</f>
        <v/>
      </c>
      <c r="M1662" s="19" t="n"/>
      <c r="N1662" s="20" t="n"/>
      <c r="O1662" s="20" t="n"/>
    </row>
    <row r="1663">
      <c r="A1663" s="23" t="n">
        <v>1660</v>
      </c>
      <c r="B1663" s="23" t="inlineStr">
        <is>
          <t>2.6.2.11.3</t>
        </is>
      </c>
      <c r="C1663" s="25" t="inlineStr">
        <is>
          <t>Part 2 – Technical Systems</t>
        </is>
      </c>
      <c r="D1663" s="25" t="inlineStr">
        <is>
          <t>2.6 IP TELEPHONY (VoIP)</t>
        </is>
      </c>
      <c r="E1663" s="25" t="inlineStr">
        <is>
          <t>2.6.2 SYSTEM FEATURES</t>
        </is>
      </c>
      <c r="F1663" s="25" t="inlineStr">
        <is>
          <t>The arbitration box and the headset shall be mounted in such a way that they are easily accessible and conveniently located for use by the operator.</t>
        </is>
      </c>
      <c r="G1663" s="19" t="n"/>
      <c r="H1663" s="20" t="n"/>
      <c r="I1663" s="20" t="n"/>
      <c r="J1663" s="19" t="n"/>
      <c r="K1663" s="21" t="n"/>
      <c r="L1663" s="22">
        <f>IF(OR(J1663="",K1663=""),"",J1663*K1663)</f>
        <v/>
      </c>
      <c r="M1663" s="19" t="n"/>
      <c r="N1663" s="20" t="n"/>
      <c r="O1663" s="20" t="n"/>
    </row>
    <row r="1664">
      <c r="A1664" s="16" t="n">
        <v>1661</v>
      </c>
      <c r="B1664" s="16" t="inlineStr">
        <is>
          <t>2.6.2.11.4</t>
        </is>
      </c>
      <c r="C1664" s="18" t="inlineStr">
        <is>
          <t>Part 2 – Technical Systems</t>
        </is>
      </c>
      <c r="D1664" s="18" t="inlineStr">
        <is>
          <t>2.6 IP TELEPHONY (VoIP)</t>
        </is>
      </c>
      <c r="E1664" s="18" t="inlineStr">
        <is>
          <t>2.6.2 SYSTEM FEATURES</t>
        </is>
      </c>
      <c r="F1664" s="18" t="inlineStr">
        <is>
          <t>The arbitration box and the headset shall be mounted in such a way that they are not susceptible to damage from chair movements or other accidents that could occur during normal use.</t>
        </is>
      </c>
      <c r="G1664" s="19" t="n"/>
      <c r="H1664" s="20" t="n"/>
      <c r="I1664" s="20" t="n"/>
      <c r="J1664" s="19" t="n"/>
      <c r="K1664" s="21" t="n"/>
      <c r="L1664" s="22">
        <f>IF(OR(J1664="",K1664=""),"",J1664*K1664)</f>
        <v/>
      </c>
      <c r="M1664" s="19" t="n"/>
      <c r="N1664" s="20" t="n"/>
      <c r="O1664" s="20" t="n"/>
    </row>
    <row r="1665">
      <c r="A1665" s="23" t="n">
        <v>1662</v>
      </c>
      <c r="B1665" s="23" t="inlineStr">
        <is>
          <t>2.6.2.11.5</t>
        </is>
      </c>
      <c r="C1665" s="25" t="inlineStr">
        <is>
          <t>Part 2 – Technical Systems</t>
        </is>
      </c>
      <c r="D1665" s="25" t="inlineStr">
        <is>
          <t>2.6 IP TELEPHONY (VoIP)</t>
        </is>
      </c>
      <c r="E1665" s="25" t="inlineStr">
        <is>
          <t>2.6.2 SYSTEM FEATURES</t>
        </is>
      </c>
      <c r="F1665" s="25" t="inlineStr">
        <is>
          <t>The arbitration box and the headset shall be robust and designed for high frequency insertion and removal.</t>
        </is>
      </c>
      <c r="G1665" s="19" t="n"/>
      <c r="H1665" s="20" t="n"/>
      <c r="I1665" s="20" t="n"/>
      <c r="J1665" s="19" t="n"/>
      <c r="K1665" s="21" t="n"/>
      <c r="L1665" s="22">
        <f>IF(OR(J1665="",K1665=""),"",J1665*K1665)</f>
        <v/>
      </c>
      <c r="M1665" s="19" t="n"/>
      <c r="N1665" s="20" t="n"/>
      <c r="O1665" s="20" t="n"/>
    </row>
    <row r="1666">
      <c r="A1666" s="16" t="n">
        <v>1663</v>
      </c>
      <c r="B1666" s="16" t="inlineStr">
        <is>
          <t>2.6.2.11.6</t>
        </is>
      </c>
      <c r="C1666" s="18" t="inlineStr">
        <is>
          <t>Part 2 – Technical Systems</t>
        </is>
      </c>
      <c r="D1666" s="18" t="inlineStr">
        <is>
          <t>2.6 IP TELEPHONY (VoIP)</t>
        </is>
      </c>
      <c r="E1666" s="18" t="inlineStr">
        <is>
          <t>2.6.2 SYSTEM FEATURES</t>
        </is>
      </c>
      <c r="F1666" s="18" t="inlineStr">
        <is>
          <t>The arbitration box shall have digital controls that allow the configuration and adjustment of the audio controls for microphone and speakers of the headset per each arbitration box and headset.</t>
        </is>
      </c>
      <c r="G1666" s="19" t="n"/>
      <c r="H1666" s="20" t="n"/>
      <c r="I1666" s="20" t="n"/>
      <c r="J1666" s="19" t="n"/>
      <c r="K1666" s="21" t="n"/>
      <c r="L1666" s="22">
        <f>IF(OR(J1666="",K1666=""),"",J1666*K1666)</f>
        <v/>
      </c>
      <c r="M1666" s="19" t="n"/>
      <c r="N1666" s="20" t="n"/>
      <c r="O1666" s="20" t="n"/>
    </row>
    <row r="1667">
      <c r="A1667" s="23" t="n">
        <v>1664</v>
      </c>
      <c r="B1667" s="23" t="inlineStr">
        <is>
          <t>2.6.2.11.7</t>
        </is>
      </c>
      <c r="C1667" s="25" t="inlineStr">
        <is>
          <t>Part 2 – Technical Systems</t>
        </is>
      </c>
      <c r="D1667" s="25" t="inlineStr">
        <is>
          <t>2.6 IP TELEPHONY (VoIP)</t>
        </is>
      </c>
      <c r="E1667" s="25" t="inlineStr">
        <is>
          <t>2.6.2 SYSTEM FEATURES</t>
        </is>
      </c>
      <c r="F1667" s="25" t="inlineStr">
        <is>
          <t>The headsets shall consist of a microphone and earpiece(s) / speakers.</t>
        </is>
      </c>
      <c r="G1667" s="19" t="n"/>
      <c r="H1667" s="20" t="n"/>
      <c r="I1667" s="20" t="n"/>
      <c r="J1667" s="19" t="n"/>
      <c r="K1667" s="21" t="n"/>
      <c r="L1667" s="22">
        <f>IF(OR(J1667="",K1667=""),"",J1667*K1667)</f>
        <v/>
      </c>
      <c r="M1667" s="19" t="n"/>
      <c r="N1667" s="20" t="n"/>
      <c r="O1667" s="20" t="n"/>
    </row>
    <row r="1668">
      <c r="A1668" s="16" t="n">
        <v>1665</v>
      </c>
      <c r="B1668" s="16" t="inlineStr">
        <is>
          <t>2.6.2.11.8</t>
        </is>
      </c>
      <c r="C1668" s="18" t="inlineStr">
        <is>
          <t>Part 2 – Technical Systems</t>
        </is>
      </c>
      <c r="D1668" s="18" t="inlineStr">
        <is>
          <t>2.6 IP TELEPHONY (VoIP)</t>
        </is>
      </c>
      <c r="E1668" s="18" t="inlineStr">
        <is>
          <t>2.6.2 SYSTEM FEATURES</t>
        </is>
      </c>
      <c r="F1668" s="18" t="inlineStr">
        <is>
          <t>The headsets model that the BIDDER proposes shall be based on global PSSA command and control room best practices and shall support 911 Public Safety Communications and Dispatch Applications. Within their proposal, the BIDDER shall identify and propose headsets which are most appropriate for use by the different types of operators.</t>
        </is>
      </c>
      <c r="G1668" s="19" t="n"/>
      <c r="H1668" s="20" t="n"/>
      <c r="I1668" s="20" t="n"/>
      <c r="J1668" s="19" t="n"/>
      <c r="K1668" s="21" t="n"/>
      <c r="L1668" s="22">
        <f>IF(OR(J1668="",K1668=""),"",J1668*K1668)</f>
        <v/>
      </c>
      <c r="M1668" s="19" t="n"/>
      <c r="N1668" s="20" t="n"/>
      <c r="O1668" s="20" t="n"/>
    </row>
    <row r="1669">
      <c r="A1669" s="23" t="n">
        <v>1666</v>
      </c>
      <c r="B1669" s="23" t="inlineStr">
        <is>
          <t>2.6.2.11.9</t>
        </is>
      </c>
      <c r="C1669" s="25" t="inlineStr">
        <is>
          <t>Part 2 – Technical Systems</t>
        </is>
      </c>
      <c r="D1669" s="25" t="inlineStr">
        <is>
          <t>2.6 IP TELEPHONY (VoIP)</t>
        </is>
      </c>
      <c r="E1669" s="25" t="inlineStr">
        <is>
          <t>2.6.2 SYSTEM FEATURES</t>
        </is>
      </c>
      <c r="F1669" s="25" t="inlineStr">
        <is>
          <t>The cable between the headset and arbitration box shall allow free movement without having to remove the headset or unplug it.</t>
        </is>
      </c>
      <c r="G1669" s="19" t="n"/>
      <c r="H1669" s="20" t="n"/>
      <c r="I1669" s="20" t="n"/>
      <c r="J1669" s="19" t="n"/>
      <c r="K1669" s="21" t="n"/>
      <c r="L1669" s="22">
        <f>IF(OR(J1669="",K1669=""),"",J1669*K1669)</f>
        <v/>
      </c>
      <c r="M1669" s="19" t="n"/>
      <c r="N1669" s="20" t="n"/>
      <c r="O1669" s="20" t="n"/>
    </row>
    <row r="1670">
      <c r="A1670" s="16" t="n">
        <v>1667</v>
      </c>
      <c r="B1670" s="16" t="inlineStr">
        <is>
          <t>2.6.2.11.10</t>
        </is>
      </c>
      <c r="C1670" s="18" t="inlineStr">
        <is>
          <t>Part 2 – Technical Systems</t>
        </is>
      </c>
      <c r="D1670" s="18" t="inlineStr">
        <is>
          <t>2.6 IP TELEPHONY (VoIP)</t>
        </is>
      </c>
      <c r="E1670" s="18" t="inlineStr">
        <is>
          <t>2.6.2 SYSTEM FEATURES</t>
        </is>
      </c>
      <c r="F1670" s="18" t="inlineStr">
        <is>
          <t>Unplugging the headset from the arbitration box socket shall have no impact on call handling.</t>
        </is>
      </c>
      <c r="G1670" s="19" t="n"/>
      <c r="H1670" s="20" t="n"/>
      <c r="I1670" s="20" t="n"/>
      <c r="J1670" s="19" t="n"/>
      <c r="K1670" s="21" t="n"/>
      <c r="L1670" s="22">
        <f>IF(OR(J1670="",K1670=""),"",J1670*K1670)</f>
        <v/>
      </c>
      <c r="M1670" s="19" t="n"/>
      <c r="N1670" s="20" t="n"/>
      <c r="O1670" s="20" t="n"/>
    </row>
    <row r="1671">
      <c r="A1671" s="23" t="n">
        <v>1668</v>
      </c>
      <c r="B1671" s="23" t="inlineStr">
        <is>
          <t>2.6.2.11.11</t>
        </is>
      </c>
      <c r="C1671" s="25" t="inlineStr">
        <is>
          <t>Part 2 – Technical Systems</t>
        </is>
      </c>
      <c r="D1671" s="25" t="inlineStr">
        <is>
          <t>2.6 IP TELEPHONY (VoIP)</t>
        </is>
      </c>
      <c r="E1671" s="25" t="inlineStr">
        <is>
          <t>2.6.2 SYSTEM FEATURES</t>
        </is>
      </c>
      <c r="F1671" s="25" t="inlineStr">
        <is>
          <t>Headsets shall have noise cancellation built-in.</t>
        </is>
      </c>
      <c r="G1671" s="19" t="n"/>
      <c r="H1671" s="20" t="n"/>
      <c r="I1671" s="20" t="n"/>
      <c r="J1671" s="19" t="n"/>
      <c r="K1671" s="21" t="n"/>
      <c r="L1671" s="22">
        <f>IF(OR(J1671="",K1671=""),"",J1671*K1671)</f>
        <v/>
      </c>
      <c r="M1671" s="19" t="n"/>
      <c r="N1671" s="20" t="n"/>
      <c r="O1671" s="20" t="n"/>
    </row>
    <row r="1672">
      <c r="A1672" s="16" t="n">
        <v>1669</v>
      </c>
      <c r="B1672" s="16" t="inlineStr">
        <is>
          <t>2.6.2.11.12</t>
        </is>
      </c>
      <c r="C1672" s="18" t="inlineStr">
        <is>
          <t>Part 2 – Technical Systems</t>
        </is>
      </c>
      <c r="D1672" s="18" t="inlineStr">
        <is>
          <t>2.6 IP TELEPHONY (VoIP)</t>
        </is>
      </c>
      <c r="E1672" s="18" t="inlineStr">
        <is>
          <t>2.6.2 SYSTEM FEATURES</t>
        </is>
      </c>
      <c r="F1672" s="18" t="inlineStr">
        <is>
          <t>Audio levels at the headset shall be limited and incorporate acoustic shock protection so that they cannot exceed safe working levels.</t>
        </is>
      </c>
      <c r="G1672" s="19" t="n"/>
      <c r="H1672" s="20" t="n"/>
      <c r="I1672" s="20" t="n"/>
      <c r="J1672" s="19" t="n"/>
      <c r="K1672" s="21" t="n"/>
      <c r="L1672" s="22">
        <f>IF(OR(J1672="",K1672=""),"",J1672*K1672)</f>
        <v/>
      </c>
      <c r="M1672" s="19" t="n"/>
      <c r="N1672" s="20" t="n"/>
      <c r="O1672" s="20" t="n"/>
    </row>
    <row r="1673">
      <c r="A1673" s="23" t="n">
        <v>1670</v>
      </c>
      <c r="B1673" s="23" t="inlineStr">
        <is>
          <t>2.6.2.11.13</t>
        </is>
      </c>
      <c r="C1673" s="25" t="inlineStr">
        <is>
          <t>Part 2 – Technical Systems</t>
        </is>
      </c>
      <c r="D1673" s="25" t="inlineStr">
        <is>
          <t>2.6 IP TELEPHONY (VoIP)</t>
        </is>
      </c>
      <c r="E1673" s="25" t="inlineStr">
        <is>
          <t>2.6.2 SYSTEM FEATURES</t>
        </is>
      </c>
      <c r="F1673" s="25" t="inlineStr">
        <is>
          <t>The telephony solution shall be able to receive and relay audio from third party systems enabling an operator to operate audio feeds associated with them.</t>
        </is>
      </c>
      <c r="G1673" s="19" t="n"/>
      <c r="H1673" s="20" t="n"/>
      <c r="I1673" s="20" t="n"/>
      <c r="J1673" s="19" t="n"/>
      <c r="K1673" s="21" t="n"/>
      <c r="L1673" s="22">
        <f>IF(OR(J1673="",K1673=""),"",J1673*K1673)</f>
        <v/>
      </c>
      <c r="M1673" s="19" t="n"/>
      <c r="N1673" s="20" t="n"/>
      <c r="O1673" s="20" t="n"/>
    </row>
    <row r="1674">
      <c r="A1674" s="16" t="n">
        <v>1671</v>
      </c>
      <c r="B1674" s="17" t="inlineStr">
        <is>
          <t>2.6.2.12</t>
        </is>
      </c>
      <c r="C1674" s="18" t="inlineStr">
        <is>
          <t>Part 2 – Technical Systems</t>
        </is>
      </c>
      <c r="D1674" s="18" t="inlineStr">
        <is>
          <t>2.6 IP TELEPHONY (VoIP)</t>
        </is>
      </c>
      <c r="E1674" s="18" t="inlineStr">
        <is>
          <t>2.6.2 SYSTEM FEATURES</t>
        </is>
      </c>
      <c r="F1674" s="18" t="inlineStr">
        <is>
          <t>واﻟدﻟﯾل اﻵﻟﻲ اﻻﺗﺻﺎل (AUTOMATIC DIALING AND DIRECTORIES)</t>
        </is>
      </c>
      <c r="G1674" s="19" t="n"/>
      <c r="H1674" s="20" t="n"/>
      <c r="I1674" s="20" t="n"/>
      <c r="J1674" s="19" t="n"/>
      <c r="K1674" s="21" t="n"/>
      <c r="L1674" s="22">
        <f>IF(OR(J1674="",K1674=""),"",J1674*K1674)</f>
        <v/>
      </c>
      <c r="M1674" s="19" t="n"/>
      <c r="N1674" s="20" t="n"/>
      <c r="O1674" s="20" t="n"/>
    </row>
    <row r="1675">
      <c r="A1675" s="23" t="n">
        <v>1672</v>
      </c>
      <c r="B1675" s="23" t="inlineStr">
        <is>
          <t>2.6.2.12.1</t>
        </is>
      </c>
      <c r="C1675" s="25" t="inlineStr">
        <is>
          <t>Part 2 – Technical Systems</t>
        </is>
      </c>
      <c r="D1675" s="25" t="inlineStr">
        <is>
          <t>2.6 IP TELEPHONY (VoIP)</t>
        </is>
      </c>
      <c r="E1675" s="25" t="inlineStr">
        <is>
          <t>2.6.2 SYSTEM FEATURES</t>
        </is>
      </c>
      <c r="F1675" s="25" t="inlineStr">
        <is>
          <t>The system shall provide a system wide directory of telephone numbers. These shall be capable of being administered by a supervisor or system administrator. This system directory shall include information on all systems.</t>
        </is>
      </c>
      <c r="G1675" s="19" t="n"/>
      <c r="H1675" s="20" t="n"/>
      <c r="I1675" s="20" t="n"/>
      <c r="J1675" s="19" t="n"/>
      <c r="K1675" s="21" t="n"/>
      <c r="L1675" s="22">
        <f>IF(OR(J1675="",K1675=""),"",J1675*K1675)</f>
        <v/>
      </c>
      <c r="M1675" s="19" t="n"/>
      <c r="N1675" s="20" t="n"/>
      <c r="O1675" s="20" t="n"/>
    </row>
    <row r="1676">
      <c r="A1676" s="16" t="n">
        <v>1673</v>
      </c>
      <c r="B1676" s="16" t="inlineStr">
        <is>
          <t>2.6.2.12.2</t>
        </is>
      </c>
      <c r="C1676" s="18" t="inlineStr">
        <is>
          <t>Part 2 – Technical Systems</t>
        </is>
      </c>
      <c r="D1676" s="18" t="inlineStr">
        <is>
          <t>2.6 IP TELEPHONY (VoIP)</t>
        </is>
      </c>
      <c r="E1676" s="18" t="inlineStr">
        <is>
          <t>2.6.2 SYSTEM FEATURES</t>
        </is>
      </c>
      <c r="F1676" s="18" t="inlineStr">
        <is>
          <t>The system shall provide a user defined directory for telephony numbers. The user directory shall be associated with the user ID or profile. It shall be available to that operator irrespective of which position they use to log on.</t>
        </is>
      </c>
      <c r="G1676" s="19" t="n"/>
      <c r="H1676" s="20" t="n"/>
      <c r="I1676" s="20" t="n"/>
      <c r="J1676" s="19" t="n"/>
      <c r="K1676" s="21" t="n"/>
      <c r="L1676" s="22">
        <f>IF(OR(J1676="",K1676=""),"",J1676*K1676)</f>
        <v/>
      </c>
      <c r="M1676" s="19" t="n"/>
      <c r="N1676" s="20" t="n"/>
      <c r="O1676" s="20" t="n"/>
    </row>
    <row r="1677">
      <c r="A1677" s="23" t="n">
        <v>1674</v>
      </c>
      <c r="B1677" s="23" t="inlineStr">
        <is>
          <t>2.6.2.12.3</t>
        </is>
      </c>
      <c r="C1677" s="25" t="inlineStr">
        <is>
          <t>Part 2 – Technical Systems</t>
        </is>
      </c>
      <c r="D1677" s="25" t="inlineStr">
        <is>
          <t>2.6 IP TELEPHONY (VoIP)</t>
        </is>
      </c>
      <c r="E1677" s="25" t="inlineStr">
        <is>
          <t>2.6.2 SYSTEM FEATURES</t>
        </is>
      </c>
      <c r="F1677" s="25" t="inlineStr">
        <is>
          <t>A minimum of two levels shall be available in the directory to allow numbers to be grouped into sub-directories.</t>
        </is>
      </c>
      <c r="G1677" s="19" t="n"/>
      <c r="H1677" s="20" t="n"/>
      <c r="I1677" s="20" t="n"/>
      <c r="J1677" s="19" t="n"/>
      <c r="K1677" s="21" t="n"/>
      <c r="L1677" s="22">
        <f>IF(OR(J1677="",K1677=""),"",J1677*K1677)</f>
        <v/>
      </c>
      <c r="M1677" s="19" t="n"/>
      <c r="N1677" s="20" t="n"/>
      <c r="O1677" s="20" t="n"/>
    </row>
    <row r="1678">
      <c r="A1678" s="16" t="n">
        <v>1675</v>
      </c>
      <c r="B1678" s="16" t="inlineStr">
        <is>
          <t>2.6.2.12.4</t>
        </is>
      </c>
      <c r="C1678" s="18" t="inlineStr">
        <is>
          <t>Part 2 – Technical Systems</t>
        </is>
      </c>
      <c r="D1678" s="18" t="inlineStr">
        <is>
          <t>2.6 IP TELEPHONY (VoIP)</t>
        </is>
      </c>
      <c r="E1678" s="18" t="inlineStr">
        <is>
          <t>2.6.2 SYSTEM FEATURES</t>
        </is>
      </c>
      <c r="F1678" s="18" t="inlineStr">
        <is>
          <t>The operator shall be able to search the directory by means of an on-screen search page.</t>
        </is>
      </c>
      <c r="G1678" s="19" t="n"/>
      <c r="H1678" s="20" t="n"/>
      <c r="I1678" s="20" t="n"/>
      <c r="J1678" s="19" t="n"/>
      <c r="K1678" s="21" t="n"/>
      <c r="L1678" s="22">
        <f>IF(OR(J1678="",K1678=""),"",J1678*K1678)</f>
        <v/>
      </c>
      <c r="M1678" s="19" t="n"/>
      <c r="N1678" s="20" t="n"/>
      <c r="O1678" s="20" t="n"/>
    </row>
    <row r="1679">
      <c r="A1679" s="23" t="n">
        <v>1676</v>
      </c>
      <c r="B1679" s="23" t="inlineStr">
        <is>
          <t>2.6.2.12.5</t>
        </is>
      </c>
      <c r="C1679" s="25" t="inlineStr">
        <is>
          <t>Part 2 – Technical Systems</t>
        </is>
      </c>
      <c r="D1679" s="25" t="inlineStr">
        <is>
          <t>2.6 IP TELEPHONY (VoIP)</t>
        </is>
      </c>
      <c r="E1679" s="25" t="inlineStr">
        <is>
          <t>2.6.2 SYSTEM FEATURES</t>
        </is>
      </c>
      <c r="F1679" s="25" t="inlineStr">
        <is>
          <t>The operator shall be able to select an entry in the phone book and then initiate dialing with one further key press.</t>
        </is>
      </c>
      <c r="G1679" s="19" t="n"/>
      <c r="H1679" s="20" t="n"/>
      <c r="I1679" s="20" t="n"/>
      <c r="J1679" s="19" t="n"/>
      <c r="K1679" s="21" t="n"/>
      <c r="L1679" s="22">
        <f>IF(OR(J1679="",K1679=""),"",J1679*K1679)</f>
        <v/>
      </c>
      <c r="M1679" s="19" t="n"/>
      <c r="N1679" s="20" t="n"/>
      <c r="O1679" s="20" t="n"/>
    </row>
    <row r="1680">
      <c r="A1680" s="16" t="n">
        <v>1677</v>
      </c>
      <c r="B1680" s="16" t="inlineStr">
        <is>
          <t>2.6.2.12.6</t>
        </is>
      </c>
      <c r="C1680" s="18" t="inlineStr">
        <is>
          <t>Part 2 – Technical Systems</t>
        </is>
      </c>
      <c r="D1680" s="18" t="inlineStr">
        <is>
          <t>2.6 IP TELEPHONY (VoIP)</t>
        </is>
      </c>
      <c r="E1680" s="18" t="inlineStr">
        <is>
          <t>2.6.2 SYSTEM FEATURES</t>
        </is>
      </c>
      <c r="F1680" s="18" t="inlineStr">
        <is>
          <t>An authorized supervisor shall be able to control and pre- determine which groups and telephone lines are available to which roles and user accounts.</t>
        </is>
      </c>
      <c r="G1680" s="19" t="n"/>
      <c r="H1680" s="20" t="n"/>
      <c r="I1680" s="20" t="n"/>
      <c r="J1680" s="19" t="n"/>
      <c r="K1680" s="21" t="n"/>
      <c r="L1680" s="22">
        <f>IF(OR(J1680="",K1680=""),"",J1680*K1680)</f>
        <v/>
      </c>
      <c r="M1680" s="19" t="n"/>
      <c r="N1680" s="20" t="n"/>
      <c r="O1680" s="20" t="n"/>
    </row>
    <row r="1681">
      <c r="A1681" s="23" t="n">
        <v>1678</v>
      </c>
      <c r="B1681" s="24" t="inlineStr">
        <is>
          <t>2.6.2.13</t>
        </is>
      </c>
      <c r="C1681" s="25" t="inlineStr">
        <is>
          <t>Part 2 – Technical Systems</t>
        </is>
      </c>
      <c r="D1681" s="25" t="inlineStr">
        <is>
          <t>2.6 IP TELEPHONY (VoIP)</t>
        </is>
      </c>
      <c r="E1681" s="25" t="inlineStr">
        <is>
          <t>2.6.2 SYSTEM FEATURES</t>
        </is>
      </c>
      <c r="F1681" s="25" t="inlineStr">
        <is>
          <t>( اﻻﺗﺻﺎل اﻟداﺧﻠﻲINTERNAL INTERCOM)</t>
        </is>
      </c>
      <c r="G1681" s="19" t="n"/>
      <c r="H1681" s="20" t="n"/>
      <c r="I1681" s="20" t="n"/>
      <c r="J1681" s="19" t="n"/>
      <c r="K1681" s="21" t="n"/>
      <c r="L1681" s="22">
        <f>IF(OR(J1681="",K1681=""),"",J1681*K1681)</f>
        <v/>
      </c>
      <c r="M1681" s="19" t="n"/>
      <c r="N1681" s="20" t="n"/>
      <c r="O1681" s="20" t="n"/>
    </row>
    <row r="1682">
      <c r="A1682" s="16" t="n">
        <v>1679</v>
      </c>
      <c r="B1682" s="16" t="inlineStr">
        <is>
          <t>2.6.2.13.1</t>
        </is>
      </c>
      <c r="C1682" s="18" t="inlineStr">
        <is>
          <t>Part 2 – Technical Systems</t>
        </is>
      </c>
      <c r="D1682" s="18" t="inlineStr">
        <is>
          <t>2.6 IP TELEPHONY (VoIP)</t>
        </is>
      </c>
      <c r="E1682" s="18" t="inlineStr">
        <is>
          <t>2.6.2 SYSTEM FEATURES</t>
        </is>
      </c>
      <c r="F1682" s="18" t="inlineStr">
        <is>
          <t>An internal intercom facility shall be provided between the operator positions.</t>
        </is>
      </c>
      <c r="G1682" s="19" t="n"/>
      <c r="H1682" s="20" t="n"/>
      <c r="I1682" s="20" t="n"/>
      <c r="J1682" s="19" t="n"/>
      <c r="K1682" s="21" t="n"/>
      <c r="L1682" s="22">
        <f>IF(OR(J1682="",K1682=""),"",J1682*K1682)</f>
        <v/>
      </c>
      <c r="M1682" s="19" t="n"/>
      <c r="N1682" s="20" t="n"/>
      <c r="O1682" s="20" t="n"/>
    </row>
    <row r="1683">
      <c r="A1683" s="23" t="n">
        <v>1680</v>
      </c>
      <c r="B1683" s="23" t="inlineStr">
        <is>
          <t>2.6.2.13.2</t>
        </is>
      </c>
      <c r="C1683" s="25" t="inlineStr">
        <is>
          <t>Part 2 – Technical Systems</t>
        </is>
      </c>
      <c r="D1683" s="25" t="inlineStr">
        <is>
          <t>2.6 IP TELEPHONY (VoIP)</t>
        </is>
      </c>
      <c r="E1683" s="25" t="inlineStr">
        <is>
          <t>2.6.2 SYSTEM FEATURES</t>
        </is>
      </c>
      <c r="F1683" s="25" t="inlineStr">
        <is>
          <t>If an operator attempts to use the intercom to contact another operator, and that operator is busy, they shall receive an engage notification.</t>
        </is>
      </c>
      <c r="G1683" s="19" t="n"/>
      <c r="H1683" s="20" t="n"/>
      <c r="I1683" s="20" t="n"/>
      <c r="J1683" s="19" t="n"/>
      <c r="K1683" s="21" t="n"/>
      <c r="L1683" s="22">
        <f>IF(OR(J1683="",K1683=""),"",J1683*K1683)</f>
        <v/>
      </c>
      <c r="M1683" s="19" t="n"/>
      <c r="N1683" s="20" t="n"/>
      <c r="O1683" s="20" t="n"/>
    </row>
    <row r="1684">
      <c r="A1684" s="16" t="n">
        <v>1681</v>
      </c>
      <c r="B1684" s="17" t="inlineStr">
        <is>
          <t>2.6.2.14</t>
        </is>
      </c>
      <c r="C1684" s="18" t="inlineStr">
        <is>
          <t>Part 2 – Technical Systems</t>
        </is>
      </c>
      <c r="D1684" s="18" t="inlineStr">
        <is>
          <t>2.6 IP TELEPHONY (VoIP)</t>
        </is>
      </c>
      <c r="E1684" s="18" t="inlineStr">
        <is>
          <t>2.6.2 SYSTEM FEATURES</t>
        </is>
      </c>
      <c r="F1684" s="18" t="inlineStr">
        <is>
          <t>( ﺳﺎﻋﺔ اﻟﻧظﺎمSYSTEM CLOCK)</t>
        </is>
      </c>
      <c r="G1684" s="19" t="n"/>
      <c r="H1684" s="20" t="n"/>
      <c r="I1684" s="20" t="n"/>
      <c r="J1684" s="19" t="n"/>
      <c r="K1684" s="21" t="n"/>
      <c r="L1684" s="22">
        <f>IF(OR(J1684="",K1684=""),"",J1684*K1684)</f>
        <v/>
      </c>
      <c r="M1684" s="19" t="n"/>
      <c r="N1684" s="20" t="n"/>
      <c r="O1684" s="20" t="n"/>
    </row>
    <row r="1685">
      <c r="A1685" s="23" t="n">
        <v>1682</v>
      </c>
      <c r="B1685" s="23" t="inlineStr">
        <is>
          <t>2.6.2.14.1</t>
        </is>
      </c>
      <c r="C1685" s="25" t="inlineStr">
        <is>
          <t>Part 2 – Technical Systems</t>
        </is>
      </c>
      <c r="D1685" s="25" t="inlineStr">
        <is>
          <t>2.6 IP TELEPHONY (VoIP)</t>
        </is>
      </c>
      <c r="E1685" s="25" t="inlineStr">
        <is>
          <t>2.6.2 SYSTEM FEATURES</t>
        </is>
      </c>
      <c r="F1685" s="25" t="inlineStr">
        <is>
          <t>The system shall provide a clock showing time, date and year, displayed at all operator positions.</t>
        </is>
      </c>
      <c r="G1685" s="19" t="n"/>
      <c r="H1685" s="20" t="n"/>
      <c r="I1685" s="20" t="n"/>
      <c r="J1685" s="19" t="n"/>
      <c r="K1685" s="21" t="n"/>
      <c r="L1685" s="22">
        <f>IF(OR(J1685="",K1685=""),"",J1685*K1685)</f>
        <v/>
      </c>
      <c r="M1685" s="19" t="n"/>
      <c r="N1685" s="20" t="n"/>
      <c r="O1685" s="20" t="n"/>
    </row>
    <row r="1686">
      <c r="A1686" s="16" t="n">
        <v>1683</v>
      </c>
      <c r="B1686" s="16" t="inlineStr">
        <is>
          <t>2.6.2.14.2</t>
        </is>
      </c>
      <c r="C1686" s="18" t="inlineStr">
        <is>
          <t>Part 2 – Technical Systems</t>
        </is>
      </c>
      <c r="D1686" s="18" t="inlineStr">
        <is>
          <t>2.6 IP TELEPHONY (VoIP)</t>
        </is>
      </c>
      <c r="E1686" s="18" t="inlineStr">
        <is>
          <t>2.6.2 SYSTEM FEATURES</t>
        </is>
      </c>
      <c r="F1686" s="18" t="inlineStr">
        <is>
          <t>The clock shall be synchronized to the NTP timing sources identified by MOI.</t>
        </is>
      </c>
      <c r="G1686" s="19" t="n"/>
      <c r="H1686" s="20" t="n"/>
      <c r="I1686" s="20" t="n"/>
      <c r="J1686" s="19" t="n"/>
      <c r="K1686" s="21" t="n"/>
      <c r="L1686" s="22">
        <f>IF(OR(J1686="",K1686=""),"",J1686*K1686)</f>
        <v/>
      </c>
      <c r="M1686" s="19" t="n"/>
      <c r="N1686" s="20" t="n"/>
      <c r="O1686" s="20" t="n"/>
    </row>
    <row r="1687">
      <c r="A1687" s="23" t="n">
        <v>1684</v>
      </c>
      <c r="B1687" s="24" t="inlineStr">
        <is>
          <t>2.6.2.15</t>
        </is>
      </c>
      <c r="C1687" s="25" t="inlineStr">
        <is>
          <t>Part 2 – Technical Systems</t>
        </is>
      </c>
      <c r="D1687" s="25" t="inlineStr">
        <is>
          <t>2.6 IP TELEPHONY (VoIP)</t>
        </is>
      </c>
      <c r="E1687" s="25" t="inlineStr">
        <is>
          <t>2.6.2 SYSTEM FEATURES</t>
        </is>
      </c>
      <c r="F1687" s="25" t="inlineStr">
        <is>
          <t>( اﻟﺗﺳﺟﯾل اﻟﺻوﺗﻲ اﻟﻣﺳﺗﻣرCONTINUOUS VOICE RECORDING)</t>
        </is>
      </c>
      <c r="G1687" s="19" t="n"/>
      <c r="H1687" s="20" t="n"/>
      <c r="I1687" s="20" t="n"/>
      <c r="J1687" s="19" t="n"/>
      <c r="K1687" s="21" t="n"/>
      <c r="L1687" s="22">
        <f>IF(OR(J1687="",K1687=""),"",J1687*K1687)</f>
        <v/>
      </c>
      <c r="M1687" s="19" t="n"/>
      <c r="N1687" s="20" t="n"/>
      <c r="O1687" s="20" t="n"/>
    </row>
    <row r="1688">
      <c r="A1688" s="16" t="n">
        <v>1685</v>
      </c>
      <c r="B1688" s="16" t="inlineStr">
        <is>
          <t>2.6.2.15.1</t>
        </is>
      </c>
      <c r="C1688" s="18" t="inlineStr">
        <is>
          <t>Part 2 – Technical Systems</t>
        </is>
      </c>
      <c r="D1688" s="18" t="inlineStr">
        <is>
          <t>2.6 IP TELEPHONY (VoIP)</t>
        </is>
      </c>
      <c r="E1688" s="18" t="inlineStr">
        <is>
          <t>2.6.2 SYSTEM FEATURES</t>
        </is>
      </c>
      <c r="F1688" s="18" t="inlineStr">
        <is>
          <t>The recording solution shall be able to continuously record all voice conversations securely with AI capabilities.</t>
        </is>
      </c>
      <c r="G1688" s="19" t="n"/>
      <c r="H1688" s="20" t="n"/>
      <c r="I1688" s="20" t="n"/>
      <c r="J1688" s="19" t="n"/>
      <c r="K1688" s="21" t="n"/>
      <c r="L1688" s="22">
        <f>IF(OR(J1688="",K1688=""),"",J1688*K1688)</f>
        <v/>
      </c>
      <c r="M1688" s="19" t="n"/>
      <c r="N1688" s="20" t="n"/>
      <c r="O1688" s="20" t="n"/>
    </row>
    <row r="1689">
      <c r="A1689" s="23" t="n">
        <v>1686</v>
      </c>
      <c r="B1689" s="23" t="inlineStr">
        <is>
          <t>2.6.2.15.2</t>
        </is>
      </c>
      <c r="C1689" s="25" t="inlineStr">
        <is>
          <t>Part 2 – Technical Systems</t>
        </is>
      </c>
      <c r="D1689" s="25" t="inlineStr">
        <is>
          <t>2.6 IP TELEPHONY (VoIP)</t>
        </is>
      </c>
      <c r="E1689" s="25" t="inlineStr">
        <is>
          <t>2.6.2 SYSTEM FEATURES</t>
        </is>
      </c>
      <c r="F1689" s="25" t="inlineStr">
        <is>
          <t>Both sides of all the voice conversations shall be recorded.</t>
        </is>
      </c>
      <c r="G1689" s="19" t="n"/>
      <c r="H1689" s="20" t="n"/>
      <c r="I1689" s="20" t="n"/>
      <c r="J1689" s="19" t="n"/>
      <c r="K1689" s="21" t="n"/>
      <c r="L1689" s="22">
        <f>IF(OR(J1689="",K1689=""),"",J1689*K1689)</f>
        <v/>
      </c>
      <c r="M1689" s="19" t="n"/>
      <c r="N1689" s="20" t="n"/>
      <c r="O1689" s="20" t="n"/>
    </row>
    <row r="1690">
      <c r="A1690" s="16" t="n">
        <v>1687</v>
      </c>
      <c r="B1690" s="16" t="inlineStr">
        <is>
          <t>2.6.2.15.3</t>
        </is>
      </c>
      <c r="C1690" s="18" t="inlineStr">
        <is>
          <t>Part 2 – Technical Systems</t>
        </is>
      </c>
      <c r="D1690" s="18" t="inlineStr">
        <is>
          <t>2.6 IP TELEPHONY (VoIP)</t>
        </is>
      </c>
      <c r="E1690" s="18" t="inlineStr">
        <is>
          <t>2.6.2 SYSTEM FEATURES</t>
        </is>
      </c>
      <c r="F1690" s="18" t="inlineStr">
        <is>
          <t>Details of the call-in progress, e.g., operator positions, operator id, talk-group, calling line identity of the telephone call, shall be able to be recorded against each call.</t>
        </is>
      </c>
      <c r="G1690" s="19" t="n"/>
      <c r="H1690" s="20" t="n"/>
      <c r="I1690" s="20" t="n"/>
      <c r="J1690" s="19" t="n"/>
      <c r="K1690" s="21" t="n"/>
      <c r="L1690" s="22">
        <f>IF(OR(J1690="",K1690=""),"",J1690*K1690)</f>
        <v/>
      </c>
      <c r="M1690" s="19" t="n"/>
      <c r="N1690" s="20" t="n"/>
      <c r="O1690" s="20" t="n"/>
    </row>
    <row r="1691">
      <c r="A1691" s="23" t="n">
        <v>1688</v>
      </c>
      <c r="B1691" s="23" t="inlineStr">
        <is>
          <t>2.6.2.15.4</t>
        </is>
      </c>
      <c r="C1691" s="25" t="inlineStr">
        <is>
          <t>Part 2 – Technical Systems</t>
        </is>
      </c>
      <c r="D1691" s="25" t="inlineStr">
        <is>
          <t>2.6 IP TELEPHONY (VoIP)</t>
        </is>
      </c>
      <c r="E1691" s="25" t="inlineStr">
        <is>
          <t>2.6.2 SYSTEM FEATURES</t>
        </is>
      </c>
      <c r="F1691" s="25" t="inlineStr">
        <is>
          <t>The recording solution shall support the retrieval of recordings based on any or a combination of the following parameters: a. Incident ID b. Operator position (console ID) c. Operator ID d. Radio Talkgroup e. Radio ID f. Calling line identity g. Date and time</t>
        </is>
      </c>
      <c r="G1691" s="19" t="n"/>
      <c r="H1691" s="20" t="n"/>
      <c r="I1691" s="20" t="n"/>
      <c r="J1691" s="19" t="n"/>
      <c r="K1691" s="21" t="n"/>
      <c r="L1691" s="22">
        <f>IF(OR(J1691="",K1691=""),"",J1691*K1691)</f>
        <v/>
      </c>
      <c r="M1691" s="19" t="n"/>
      <c r="N1691" s="20" t="n"/>
      <c r="O1691" s="20" t="n"/>
    </row>
    <row r="1692">
      <c r="A1692" s="16" t="n">
        <v>1689</v>
      </c>
      <c r="B1692" s="16" t="inlineStr">
        <is>
          <t>2.6.2.15.5</t>
        </is>
      </c>
      <c r="C1692" s="18" t="inlineStr">
        <is>
          <t>Part 2 – Technical Systems</t>
        </is>
      </c>
      <c r="D1692" s="18" t="inlineStr">
        <is>
          <t>2.6 IP TELEPHONY (VoIP)</t>
        </is>
      </c>
      <c r="E1692" s="18" t="inlineStr">
        <is>
          <t>2.6.2 SYSTEM FEATURES</t>
        </is>
      </c>
      <c r="F1692" s="18" t="inlineStr">
        <is>
          <t>The CONTRACTOR shall provide secure server storage to allow voice recordings to be kept on-line for a period of not less than twelve (12) months, followed by an off-line storage for five years.</t>
        </is>
      </c>
      <c r="G1692" s="19" t="n"/>
      <c r="H1692" s="20" t="n"/>
      <c r="I1692" s="20" t="n"/>
      <c r="J1692" s="19" t="n"/>
      <c r="K1692" s="21" t="n"/>
      <c r="L1692" s="22">
        <f>IF(OR(J1692="",K1692=""),"",J1692*K1692)</f>
        <v/>
      </c>
      <c r="M1692" s="19" t="n"/>
      <c r="N1692" s="20" t="n"/>
      <c r="O1692" s="20" t="n"/>
    </row>
    <row r="1693">
      <c r="A1693" s="23" t="n">
        <v>1690</v>
      </c>
      <c r="B1693" s="23" t="inlineStr">
        <is>
          <t>2.6.2.15.6</t>
        </is>
      </c>
      <c r="C1693" s="25" t="inlineStr">
        <is>
          <t>Part 2 – Technical Systems</t>
        </is>
      </c>
      <c r="D1693" s="25" t="inlineStr">
        <is>
          <t>2.6 IP TELEPHONY (VoIP)</t>
        </is>
      </c>
      <c r="E1693" s="25" t="inlineStr">
        <is>
          <t>2.6.2 SYSTEM FEATURES</t>
        </is>
      </c>
      <c r="F1693" s="25" t="inlineStr">
        <is>
          <t>It shall be possible for a suitably authorized operator to randomly select recorded calls for quality assurance purposes.</t>
        </is>
      </c>
      <c r="G1693" s="19" t="n"/>
      <c r="H1693" s="20" t="n"/>
      <c r="I1693" s="20" t="n"/>
      <c r="J1693" s="19" t="n"/>
      <c r="K1693" s="21" t="n"/>
      <c r="L1693" s="22">
        <f>IF(OR(J1693="",K1693=""),"",J1693*K1693)</f>
        <v/>
      </c>
      <c r="M1693" s="19" t="n"/>
      <c r="N1693" s="20" t="n"/>
      <c r="O1693" s="20" t="n"/>
    </row>
    <row r="1694">
      <c r="A1694" s="16" t="n">
        <v>1691</v>
      </c>
      <c r="B1694" s="16" t="inlineStr">
        <is>
          <t>2.6.2.15.7</t>
        </is>
      </c>
      <c r="C1694" s="18" t="inlineStr">
        <is>
          <t>Part 2 – Technical Systems</t>
        </is>
      </c>
      <c r="D1694" s="18" t="inlineStr">
        <is>
          <t>2.6 IP TELEPHONY (VoIP)</t>
        </is>
      </c>
      <c r="E1694" s="18" t="inlineStr">
        <is>
          <t>2.6.2 SYSTEM FEATURES</t>
        </is>
      </c>
      <c r="F1694" s="18" t="inlineStr">
        <is>
          <t>The solution shall have the capability to archive onto removable media any recording older than a certain date.</t>
        </is>
      </c>
      <c r="G1694" s="19" t="n"/>
      <c r="H1694" s="20" t="n"/>
      <c r="I1694" s="20" t="n"/>
      <c r="J1694" s="19" t="n"/>
      <c r="K1694" s="21" t="n"/>
      <c r="L1694" s="22">
        <f>IF(OR(J1694="",K1694=""),"",J1694*K1694)</f>
        <v/>
      </c>
      <c r="M1694" s="19" t="n"/>
      <c r="N1694" s="20" t="n"/>
      <c r="O1694" s="20" t="n"/>
    </row>
    <row r="1695">
      <c r="A1695" s="23" t="n">
        <v>1692</v>
      </c>
      <c r="B1695" s="23" t="inlineStr">
        <is>
          <t>2.6.2.15.8</t>
        </is>
      </c>
      <c r="C1695" s="25" t="inlineStr">
        <is>
          <t>Part 2 – Technical Systems</t>
        </is>
      </c>
      <c r="D1695" s="25" t="inlineStr">
        <is>
          <t>2.6 IP TELEPHONY (VoIP)</t>
        </is>
      </c>
      <c r="E1695" s="25" t="inlineStr">
        <is>
          <t>2.6.2 SYSTEM FEATURES</t>
        </is>
      </c>
      <c r="F1695" s="25" t="inlineStr">
        <is>
          <t>The process of archiving recordings shall not impact on the current recording.</t>
        </is>
      </c>
      <c r="G1695" s="19" t="n"/>
      <c r="H1695" s="20" t="n"/>
      <c r="I1695" s="20" t="n"/>
      <c r="J1695" s="19" t="n"/>
      <c r="K1695" s="21" t="n"/>
      <c r="L1695" s="22">
        <f>IF(OR(J1695="",K1695=""),"",J1695*K1695)</f>
        <v/>
      </c>
      <c r="M1695" s="19" t="n"/>
      <c r="N1695" s="20" t="n"/>
      <c r="O1695" s="20" t="n"/>
    </row>
    <row r="1696">
      <c r="A1696" s="16" t="n">
        <v>1693</v>
      </c>
      <c r="B1696" s="16" t="inlineStr">
        <is>
          <t>2.6.2.15.9</t>
        </is>
      </c>
      <c r="C1696" s="18" t="inlineStr">
        <is>
          <t>Part 2 – Technical Systems</t>
        </is>
      </c>
      <c r="D1696" s="18" t="inlineStr">
        <is>
          <t>2.6 IP TELEPHONY (VoIP)</t>
        </is>
      </c>
      <c r="E1696" s="18" t="inlineStr">
        <is>
          <t>2.6.2 SYSTEM FEATURES</t>
        </is>
      </c>
      <c r="F1696" s="18" t="inlineStr">
        <is>
          <t>The CONTRACTOR shall integrate the recording solution with the business intelligence and reporting solution through the enterprise service bus.</t>
        </is>
      </c>
      <c r="G1696" s="19" t="n"/>
      <c r="H1696" s="20" t="n"/>
      <c r="I1696" s="20" t="n"/>
      <c r="J1696" s="19" t="n"/>
      <c r="K1696" s="21" t="n"/>
      <c r="L1696" s="22">
        <f>IF(OR(J1696="",K1696=""),"",J1696*K1696)</f>
        <v/>
      </c>
      <c r="M1696" s="19" t="n"/>
      <c r="N1696" s="20" t="n"/>
      <c r="O1696" s="20" t="n"/>
    </row>
    <row r="1697">
      <c r="A1697" s="23" t="n">
        <v>1694</v>
      </c>
      <c r="B1697" s="23" t="inlineStr">
        <is>
          <t>2.6.2.15.10</t>
        </is>
      </c>
      <c r="C1697" s="25" t="inlineStr">
        <is>
          <t>Part 2 – Technical Systems</t>
        </is>
      </c>
      <c r="D1697" s="25" t="inlineStr">
        <is>
          <t>2.6 IP TELEPHONY (VoIP)</t>
        </is>
      </c>
      <c r="E1697" s="25" t="inlineStr">
        <is>
          <t>2.6.2 SYSTEM FEATURES</t>
        </is>
      </c>
      <c r="F1697" s="25" t="inlineStr">
        <is>
          <t>The CONTRACTOR recording solution shall have the APIs available to be integrated with other solutions including but not limited to other data analysis solution, AI-solutions, etc.</t>
        </is>
      </c>
      <c r="G1697" s="19" t="n"/>
      <c r="H1697" s="20" t="n"/>
      <c r="I1697" s="20" t="n"/>
      <c r="J1697" s="19" t="n"/>
      <c r="K1697" s="21" t="n"/>
      <c r="L1697" s="22">
        <f>IF(OR(J1697="",K1697=""),"",J1697*K1697)</f>
        <v/>
      </c>
      <c r="M1697" s="19" t="n"/>
      <c r="N1697" s="20" t="n"/>
      <c r="O1697" s="20" t="n"/>
    </row>
    <row r="1698">
      <c r="A1698" s="16" t="n">
        <v>1695</v>
      </c>
      <c r="B1698" s="17" t="inlineStr">
        <is>
          <t>2.6.2.16</t>
        </is>
      </c>
      <c r="C1698" s="18" t="inlineStr">
        <is>
          <t>Part 2 – Technical Systems</t>
        </is>
      </c>
      <c r="D1698" s="18" t="inlineStr">
        <is>
          <t>2.6 IP TELEPHONY (VoIP)</t>
        </is>
      </c>
      <c r="E1698" s="18" t="inlineStr">
        <is>
          <t>2.6.2 SYSTEM FEATURES</t>
        </is>
      </c>
      <c r="F1698" s="18" t="inlineStr">
        <is>
          <t>( إﻣﻛﺎﻧﯾﺔ اﻟﺗﺷﻐﯾل اﻟﻔوريINSTANT PLAYBACK FACILITY)</t>
        </is>
      </c>
      <c r="G1698" s="19" t="n"/>
      <c r="H1698" s="20" t="n"/>
      <c r="I1698" s="20" t="n"/>
      <c r="J1698" s="19" t="n"/>
      <c r="K1698" s="21" t="n"/>
      <c r="L1698" s="22">
        <f>IF(OR(J1698="",K1698=""),"",J1698*K1698)</f>
        <v/>
      </c>
      <c r="M1698" s="19" t="n"/>
      <c r="N1698" s="20" t="n"/>
      <c r="O1698" s="20" t="n"/>
    </row>
    <row r="1699">
      <c r="A1699" s="23" t="n">
        <v>1696</v>
      </c>
      <c r="B1699" s="23" t="inlineStr">
        <is>
          <t>2.6.2.16.1</t>
        </is>
      </c>
      <c r="C1699" s="25" t="inlineStr">
        <is>
          <t>Part 2 – Technical Systems</t>
        </is>
      </c>
      <c r="D1699" s="25" t="inlineStr">
        <is>
          <t>2.6 IP TELEPHONY (VoIP)</t>
        </is>
      </c>
      <c r="E1699" s="25" t="inlineStr">
        <is>
          <t>2.6.2 SYSTEM FEATURES</t>
        </is>
      </c>
      <c r="F1699" s="25" t="inlineStr">
        <is>
          <t>The system shall provide an instant playback facility for each console the facility shall be fully integrated into the console and use digital technology.</t>
        </is>
      </c>
      <c r="G1699" s="19" t="n"/>
      <c r="H1699" s="20" t="n"/>
      <c r="I1699" s="20" t="n"/>
      <c r="J1699" s="19" t="n"/>
      <c r="K1699" s="21" t="n"/>
      <c r="L1699" s="22">
        <f>IF(OR(J1699="",K1699=""),"",J1699*K1699)</f>
        <v/>
      </c>
      <c r="M1699" s="19" t="n"/>
      <c r="N1699" s="20" t="n"/>
      <c r="O1699" s="20" t="n"/>
    </row>
    <row r="1700">
      <c r="A1700" s="16" t="n">
        <v>1697</v>
      </c>
      <c r="B1700" s="16" t="inlineStr">
        <is>
          <t>2.6.2.16.2</t>
        </is>
      </c>
      <c r="C1700" s="18" t="inlineStr">
        <is>
          <t>Part 2 – Technical Systems</t>
        </is>
      </c>
      <c r="D1700" s="18" t="inlineStr">
        <is>
          <t>2.6 IP TELEPHONY (VoIP)</t>
        </is>
      </c>
      <c r="E1700" s="18" t="inlineStr">
        <is>
          <t>2.6.2 SYSTEM FEATURES</t>
        </is>
      </c>
      <c r="F1700" s="18" t="inlineStr">
        <is>
          <t>Recording shall begin on the initiation or reception of a telephone call</t>
        </is>
      </c>
      <c r="G1700" s="19" t="n"/>
      <c r="H1700" s="20" t="n"/>
      <c r="I1700" s="20" t="n"/>
      <c r="J1700" s="19" t="n"/>
      <c r="K1700" s="21" t="n"/>
      <c r="L1700" s="22">
        <f>IF(OR(J1700="",K1700=""),"",J1700*K1700)</f>
        <v/>
      </c>
      <c r="M1700" s="19" t="n"/>
      <c r="N1700" s="20" t="n"/>
      <c r="O1700" s="20" t="n"/>
    </row>
    <row r="1701">
      <c r="A1701" s="23" t="n">
        <v>1698</v>
      </c>
      <c r="B1701" s="23" t="inlineStr">
        <is>
          <t>2.6.2.16.3</t>
        </is>
      </c>
      <c r="C1701" s="25" t="inlineStr">
        <is>
          <t>Part 2 – Technical Systems</t>
        </is>
      </c>
      <c r="D1701" s="25" t="inlineStr">
        <is>
          <t>2.6 IP TELEPHONY (VoIP)</t>
        </is>
      </c>
      <c r="E1701" s="25" t="inlineStr">
        <is>
          <t>2.6.2 SYSTEM FEATURES</t>
        </is>
      </c>
      <c r="F1701" s="25" t="inlineStr">
        <is>
          <t>Recording shall cease when the telephone conversations have ceased.</t>
        </is>
      </c>
      <c r="G1701" s="19" t="n"/>
      <c r="H1701" s="20" t="n"/>
      <c r="I1701" s="20" t="n"/>
      <c r="J1701" s="19" t="n"/>
      <c r="K1701" s="21" t="n"/>
      <c r="L1701" s="22">
        <f>IF(OR(J1701="",K1701=""),"",J1701*K1701)</f>
        <v/>
      </c>
      <c r="M1701" s="19" t="n"/>
      <c r="N1701" s="20" t="n"/>
      <c r="O1701" s="20" t="n"/>
    </row>
    <row r="1702">
      <c r="A1702" s="16" t="n">
        <v>1699</v>
      </c>
      <c r="B1702" s="16" t="inlineStr">
        <is>
          <t>2.6.2.16.4</t>
        </is>
      </c>
      <c r="C1702" s="18" t="inlineStr">
        <is>
          <t>Part 2 – Technical Systems</t>
        </is>
      </c>
      <c r="D1702" s="18" t="inlineStr">
        <is>
          <t>2.6 IP TELEPHONY (VoIP)</t>
        </is>
      </c>
      <c r="E1702" s="18" t="inlineStr">
        <is>
          <t>2.6.2 SYSTEM FEATURES</t>
        </is>
      </c>
      <c r="F1702" s="18" t="inlineStr">
        <is>
          <t>Each recorder shall be able to store at least the most recent 30 minutes’ worth of voice activity at the operator’s position.</t>
        </is>
      </c>
      <c r="G1702" s="19" t="n"/>
      <c r="H1702" s="20" t="n"/>
      <c r="I1702" s="20" t="n"/>
      <c r="J1702" s="19" t="n"/>
      <c r="K1702" s="21" t="n"/>
      <c r="L1702" s="22">
        <f>IF(OR(J1702="",K1702=""),"",J1702*K1702)</f>
        <v/>
      </c>
      <c r="M1702" s="19" t="n"/>
      <c r="N1702" s="20" t="n"/>
      <c r="O1702" s="20" t="n"/>
    </row>
    <row r="1703">
      <c r="A1703" s="23" t="n">
        <v>1700</v>
      </c>
      <c r="B1703" s="23" t="inlineStr">
        <is>
          <t>2.6.2.16.5</t>
        </is>
      </c>
      <c r="C1703" s="25" t="inlineStr">
        <is>
          <t>Part 2 – Technical Systems</t>
        </is>
      </c>
      <c r="D1703" s="25" t="inlineStr">
        <is>
          <t>2.6 IP TELEPHONY (VoIP)</t>
        </is>
      </c>
      <c r="E1703" s="25" t="inlineStr">
        <is>
          <t>2.6.2 SYSTEM FEATURES</t>
        </is>
      </c>
      <c r="F1703" s="25" t="inlineStr">
        <is>
          <t>The system shall have the ability to export the voice recording to a file that is playable on PC without the installation of additional CODECS.</t>
        </is>
      </c>
      <c r="G1703" s="19" t="n"/>
      <c r="H1703" s="20" t="n"/>
      <c r="I1703" s="20" t="n"/>
      <c r="J1703" s="19" t="n"/>
      <c r="K1703" s="21" t="n"/>
      <c r="L1703" s="22">
        <f>IF(OR(J1703="",K1703=""),"",J1703*K1703)</f>
        <v/>
      </c>
      <c r="M1703" s="19" t="n"/>
      <c r="N1703" s="20" t="n"/>
      <c r="O1703" s="20" t="n"/>
    </row>
    <row r="1704">
      <c r="A1704" s="16" t="n">
        <v>1701</v>
      </c>
      <c r="B1704" s="16" t="inlineStr">
        <is>
          <t>2.6.2.16.6</t>
        </is>
      </c>
      <c r="C1704" s="18" t="inlineStr">
        <is>
          <t>Part 2 – Technical Systems</t>
        </is>
      </c>
      <c r="D1704" s="18" t="inlineStr">
        <is>
          <t>2.6 IP TELEPHONY (VoIP)</t>
        </is>
      </c>
      <c r="E1704" s="18" t="inlineStr">
        <is>
          <t>2.6.2 SYSTEM FEATURES</t>
        </is>
      </c>
      <c r="F1704" s="18" t="inlineStr">
        <is>
          <t>The recording system shall be capable of continued recording whilst simultaneously playing back a recorded conversation.</t>
        </is>
      </c>
      <c r="G1704" s="19" t="n"/>
      <c r="H1704" s="20" t="n"/>
      <c r="I1704" s="20" t="n"/>
      <c r="J1704" s="19" t="n"/>
      <c r="K1704" s="21" t="n"/>
      <c r="L1704" s="22">
        <f>IF(OR(J1704="",K1704=""),"",J1704*K1704)</f>
        <v/>
      </c>
      <c r="M1704" s="19" t="n"/>
      <c r="N1704" s="20" t="n"/>
      <c r="O1704" s="20" t="n"/>
    </row>
    <row r="1705">
      <c r="A1705" s="23" t="n">
        <v>1702</v>
      </c>
      <c r="B1705" s="24" t="inlineStr">
        <is>
          <t>2.6.2.17</t>
        </is>
      </c>
      <c r="C1705" s="25" t="inlineStr">
        <is>
          <t>Part 2 – Technical Systems</t>
        </is>
      </c>
      <c r="D1705" s="25" t="inlineStr">
        <is>
          <t>2.6 IP TELEPHONY (VoIP)</t>
        </is>
      </c>
      <c r="E1705" s="25" t="inlineStr">
        <is>
          <t>2.6.2 SYSTEM FEATURES</t>
        </is>
      </c>
      <c r="F1705" s="25" t="inlineStr">
        <is>
          <t>( وظﺎﺋﻒ اﻟﻣﺷرفSUPERVISOR FUNCTIONS)</t>
        </is>
      </c>
      <c r="G1705" s="19" t="n"/>
      <c r="H1705" s="20" t="n"/>
      <c r="I1705" s="20" t="n"/>
      <c r="J1705" s="19" t="n"/>
      <c r="K1705" s="21" t="n"/>
      <c r="L1705" s="22">
        <f>IF(OR(J1705="",K1705=""),"",J1705*K1705)</f>
        <v/>
      </c>
      <c r="M1705" s="19" t="n"/>
      <c r="N1705" s="20" t="n"/>
      <c r="O1705" s="20" t="n"/>
    </row>
    <row r="1706">
      <c r="A1706" s="16" t="n">
        <v>1703</v>
      </c>
      <c r="B1706" s="16" t="inlineStr">
        <is>
          <t>2.6.2.17.1</t>
        </is>
      </c>
      <c r="C1706" s="18" t="inlineStr">
        <is>
          <t>Part 2 – Technical Systems</t>
        </is>
      </c>
      <c r="D1706" s="18" t="inlineStr">
        <is>
          <t>2.6 IP TELEPHONY (VoIP)</t>
        </is>
      </c>
      <c r="E1706" s="18" t="inlineStr">
        <is>
          <t>2.6.2 SYSTEM FEATURES</t>
        </is>
      </c>
      <c r="F1706" s="18" t="inlineStr">
        <is>
          <t>An operator shall be able to log in as a supervisor for the purpose of monitoring a functional area.</t>
        </is>
      </c>
      <c r="G1706" s="19" t="n"/>
      <c r="H1706" s="20" t="n"/>
      <c r="I1706" s="20" t="n"/>
      <c r="J1706" s="19" t="n"/>
      <c r="K1706" s="21" t="n"/>
      <c r="L1706" s="22">
        <f>IF(OR(J1706="",K1706=""),"",J1706*K1706)</f>
        <v/>
      </c>
      <c r="M1706" s="19" t="n"/>
      <c r="N1706" s="20" t="n"/>
      <c r="O1706" s="20" t="n"/>
    </row>
    <row r="1707">
      <c r="A1707" s="23" t="n">
        <v>1704</v>
      </c>
      <c r="B1707" s="23" t="inlineStr">
        <is>
          <t>2.6.2.17.2</t>
        </is>
      </c>
      <c r="C1707" s="25" t="inlineStr">
        <is>
          <t>Part 2 – Technical Systems</t>
        </is>
      </c>
      <c r="D1707" s="25" t="inlineStr">
        <is>
          <t>2.6 IP TELEPHONY (VoIP)</t>
        </is>
      </c>
      <c r="E1707" s="25" t="inlineStr">
        <is>
          <t>2.6.2 SYSTEM FEATURES</t>
        </is>
      </c>
      <c r="F1707" s="25" t="inlineStr">
        <is>
          <t>A supervisor shall be able to monitor more than one functional area at the same time.</t>
        </is>
      </c>
      <c r="G1707" s="19" t="n"/>
      <c r="H1707" s="20" t="n"/>
      <c r="I1707" s="20" t="n"/>
      <c r="J1707" s="19" t="n"/>
      <c r="K1707" s="21" t="n"/>
      <c r="L1707" s="22">
        <f>IF(OR(J1707="",K1707=""),"",J1707*K1707)</f>
        <v/>
      </c>
      <c r="M1707" s="19" t="n"/>
      <c r="N1707" s="20" t="n"/>
      <c r="O1707" s="20" t="n"/>
    </row>
    <row r="1708">
      <c r="A1708" s="16" t="n">
        <v>1705</v>
      </c>
      <c r="B1708" s="16" t="inlineStr">
        <is>
          <t>2.6.2.17.3</t>
        </is>
      </c>
      <c r="C1708" s="18" t="inlineStr">
        <is>
          <t>Part 2 – Technical Systems</t>
        </is>
      </c>
      <c r="D1708" s="18" t="inlineStr">
        <is>
          <t>2.6 IP TELEPHONY (VoIP)</t>
        </is>
      </c>
      <c r="E1708" s="18" t="inlineStr">
        <is>
          <t>2.6.2 SYSTEM FEATURES</t>
        </is>
      </c>
      <c r="F1708" s="18" t="inlineStr">
        <is>
          <t>A supervisor shall be able to configure all the users that are assigned to the functional area that they have authority for.</t>
        </is>
      </c>
      <c r="G1708" s="19" t="n"/>
      <c r="H1708" s="20" t="n"/>
      <c r="I1708" s="20" t="n"/>
      <c r="J1708" s="19" t="n"/>
      <c r="K1708" s="21" t="n"/>
      <c r="L1708" s="22">
        <f>IF(OR(J1708="",K1708=""),"",J1708*K1708)</f>
        <v/>
      </c>
      <c r="M1708" s="19" t="n"/>
      <c r="N1708" s="20" t="n"/>
      <c r="O1708" s="20" t="n"/>
    </row>
    <row r="1709">
      <c r="A1709" s="23" t="n">
        <v>1706</v>
      </c>
      <c r="B1709" s="23" t="inlineStr">
        <is>
          <t>2.6.2.17.4</t>
        </is>
      </c>
      <c r="C1709" s="25" t="inlineStr">
        <is>
          <t>Part 2 – Technical Systems</t>
        </is>
      </c>
      <c r="D1709" s="25" t="inlineStr">
        <is>
          <t>2.6 IP TELEPHONY (VoIP)</t>
        </is>
      </c>
      <c r="E1709" s="25" t="inlineStr">
        <is>
          <t>2.6.2 SYSTEM FEATURES</t>
        </is>
      </c>
      <c r="F1709" s="25" t="inlineStr">
        <is>
          <t>Supervisors shall be able to access all the features available to the operators.</t>
        </is>
      </c>
      <c r="G1709" s="19" t="n"/>
      <c r="H1709" s="20" t="n"/>
      <c r="I1709" s="20" t="n"/>
      <c r="J1709" s="19" t="n"/>
      <c r="K1709" s="21" t="n"/>
      <c r="L1709" s="22">
        <f>IF(OR(J1709="",K1709=""),"",J1709*K1709)</f>
        <v/>
      </c>
      <c r="M1709" s="19" t="n"/>
      <c r="N1709" s="20" t="n"/>
      <c r="O1709" s="20" t="n"/>
    </row>
    <row r="1710">
      <c r="A1710" s="16" t="n">
        <v>1707</v>
      </c>
      <c r="B1710" s="16" t="inlineStr">
        <is>
          <t>2.6.2.17.5</t>
        </is>
      </c>
      <c r="C1710" s="18" t="inlineStr">
        <is>
          <t>Part 2 – Technical Systems</t>
        </is>
      </c>
      <c r="D1710" s="18" t="inlineStr">
        <is>
          <t>2.6 IP TELEPHONY (VoIP)</t>
        </is>
      </c>
      <c r="E1710" s="18" t="inlineStr">
        <is>
          <t>2.6.2 SYSTEM FEATURES</t>
        </is>
      </c>
      <c r="F1710" s="18" t="inlineStr">
        <is>
          <t>A supervisor shall be able to monitor the status and configuration of all operator positions (consoles) within their functional area(s).</t>
        </is>
      </c>
      <c r="G1710" s="19" t="n"/>
      <c r="H1710" s="20" t="n"/>
      <c r="I1710" s="20" t="n"/>
      <c r="J1710" s="19" t="n"/>
      <c r="K1710" s="21" t="n"/>
      <c r="L1710" s="22">
        <f>IF(OR(J1710="",K1710=""),"",J1710*K1710)</f>
        <v/>
      </c>
      <c r="M1710" s="19" t="n"/>
      <c r="N1710" s="20" t="n"/>
      <c r="O1710" s="20" t="n"/>
    </row>
    <row r="1711">
      <c r="A1711" s="23" t="n">
        <v>1708</v>
      </c>
      <c r="B1711" s="23" t="inlineStr">
        <is>
          <t>2.6.2.17.6</t>
        </is>
      </c>
      <c r="C1711" s="25" t="inlineStr">
        <is>
          <t>Part 2 – Technical Systems</t>
        </is>
      </c>
      <c r="D1711" s="25" t="inlineStr">
        <is>
          <t>2.6 IP TELEPHONY (VoIP)</t>
        </is>
      </c>
      <c r="E1711" s="25" t="inlineStr">
        <is>
          <t>2.6.2 SYSTEM FEATURES</t>
        </is>
      </c>
      <c r="F1711" s="25" t="inlineStr">
        <is>
          <t>A supervisor shall be able to monitor the console display for any console position in their functional area.</t>
        </is>
      </c>
      <c r="G1711" s="19" t="n"/>
      <c r="H1711" s="20" t="n"/>
      <c r="I1711" s="20" t="n"/>
      <c r="J1711" s="19" t="n"/>
      <c r="K1711" s="21" t="n"/>
      <c r="L1711" s="22">
        <f>IF(OR(J1711="",K1711=""),"",J1711*K1711)</f>
        <v/>
      </c>
      <c r="M1711" s="19" t="n"/>
      <c r="N1711" s="20" t="n"/>
      <c r="O1711" s="20" t="n"/>
    </row>
    <row r="1712">
      <c r="A1712" s="16" t="n">
        <v>1709</v>
      </c>
      <c r="B1712" s="16" t="inlineStr">
        <is>
          <t>2.6.2.17.7</t>
        </is>
      </c>
      <c r="C1712" s="18" t="inlineStr">
        <is>
          <t>Part 2 – Technical Systems</t>
        </is>
      </c>
      <c r="D1712" s="18" t="inlineStr">
        <is>
          <t>2.6 IP TELEPHONY (VoIP)</t>
        </is>
      </c>
      <c r="E1712" s="18" t="inlineStr">
        <is>
          <t>2.6.2 SYSTEM FEATURES</t>
        </is>
      </c>
      <c r="F1712" s="18" t="inlineStr">
        <is>
          <t>The supervisor shall be able to communicate with an operator in their functional area in such a way that the communication is inaudible to the telephone caller.</t>
        </is>
      </c>
      <c r="G1712" s="19" t="n"/>
      <c r="H1712" s="20" t="n"/>
      <c r="I1712" s="20" t="n"/>
      <c r="J1712" s="19" t="n"/>
      <c r="K1712" s="21" t="n"/>
      <c r="L1712" s="22">
        <f>IF(OR(J1712="",K1712=""),"",J1712*K1712)</f>
        <v/>
      </c>
      <c r="M1712" s="19" t="n"/>
      <c r="N1712" s="20" t="n"/>
      <c r="O1712" s="20" t="n"/>
    </row>
    <row r="1713">
      <c r="A1713" s="23" t="n">
        <v>1710</v>
      </c>
      <c r="B1713" s="23" t="inlineStr">
        <is>
          <t>2.6.2.17.8</t>
        </is>
      </c>
      <c r="C1713" s="25" t="inlineStr">
        <is>
          <t>Part 2 – Technical Systems</t>
        </is>
      </c>
      <c r="D1713" s="25" t="inlineStr">
        <is>
          <t>2.6 IP TELEPHONY (VoIP)</t>
        </is>
      </c>
      <c r="E1713" s="25" t="inlineStr">
        <is>
          <t>2.6.2 SYSTEM FEATURES</t>
        </is>
      </c>
      <c r="F1713" s="25" t="inlineStr">
        <is>
          <t>A supervisor shall be able to override any operator’s position. This shall include seizing control of any telephone line to which the operator is connected, and exclude the operator.</t>
        </is>
      </c>
      <c r="G1713" s="19" t="n"/>
      <c r="H1713" s="20" t="n"/>
      <c r="I1713" s="20" t="n"/>
      <c r="J1713" s="19" t="n"/>
      <c r="K1713" s="21" t="n"/>
      <c r="L1713" s="22">
        <f>IF(OR(J1713="",K1713=""),"",J1713*K1713)</f>
        <v/>
      </c>
      <c r="M1713" s="19" t="n"/>
      <c r="N1713" s="20" t="n"/>
      <c r="O1713" s="20" t="n"/>
    </row>
    <row r="1714">
      <c r="A1714" s="16" t="n">
        <v>1711</v>
      </c>
      <c r="B1714" s="16" t="inlineStr">
        <is>
          <t>2.6.2.17.9</t>
        </is>
      </c>
      <c r="C1714" s="18" t="inlineStr">
        <is>
          <t>Part 2 – Technical Systems</t>
        </is>
      </c>
      <c r="D1714" s="18" t="inlineStr">
        <is>
          <t>2.6 IP TELEPHONY (VoIP)</t>
        </is>
      </c>
      <c r="E1714" s="18" t="inlineStr">
        <is>
          <t>2.6.2 SYSTEM FEATURES</t>
        </is>
      </c>
      <c r="F1714" s="18" t="inlineStr">
        <is>
          <t>Where a supervisor takes control of a telephone call from an operator, the operator shall be given a clear visible notification.</t>
        </is>
      </c>
      <c r="G1714" s="19" t="n"/>
      <c r="H1714" s="20" t="n"/>
      <c r="I1714" s="20" t="n"/>
      <c r="J1714" s="19" t="n"/>
      <c r="K1714" s="21" t="n"/>
      <c r="L1714" s="22">
        <f>IF(OR(J1714="",K1714=""),"",J1714*K1714)</f>
        <v/>
      </c>
      <c r="M1714" s="19" t="n"/>
      <c r="N1714" s="20" t="n"/>
      <c r="O1714" s="20" t="n"/>
    </row>
    <row r="1715">
      <c r="A1715" s="23" t="n">
        <v>1712</v>
      </c>
      <c r="B1715" s="24" t="inlineStr">
        <is>
          <t>2.6.2.18</t>
        </is>
      </c>
      <c r="C1715" s="25" t="inlineStr">
        <is>
          <t>Part 2 – Technical Systems</t>
        </is>
      </c>
      <c r="D1715" s="25" t="inlineStr">
        <is>
          <t>2.6 IP TELEPHONY (VoIP)</t>
        </is>
      </c>
      <c r="E1715" s="25" t="inlineStr">
        <is>
          <t>2.6.2 SYSTEM FEATURES</t>
        </is>
      </c>
      <c r="F1715" s="25" t="inlineStr">
        <is>
          <t>( إدارة اﻟﻧظﺎمSYSTEM MANAGEMENT)</t>
        </is>
      </c>
      <c r="G1715" s="19" t="n"/>
      <c r="H1715" s="20" t="n"/>
      <c r="I1715" s="20" t="n"/>
      <c r="J1715" s="19" t="n"/>
      <c r="K1715" s="21" t="n"/>
      <c r="L1715" s="22">
        <f>IF(OR(J1715="",K1715=""),"",J1715*K1715)</f>
        <v/>
      </c>
      <c r="M1715" s="19" t="n"/>
      <c r="N1715" s="20" t="n"/>
      <c r="O1715" s="20" t="n"/>
    </row>
    <row r="1716">
      <c r="A1716" s="16" t="n">
        <v>1713</v>
      </c>
      <c r="B1716" s="16" t="inlineStr">
        <is>
          <t>2.6.2.18.1</t>
        </is>
      </c>
      <c r="C1716" s="18" t="inlineStr">
        <is>
          <t>Part 2 – Technical Systems</t>
        </is>
      </c>
      <c r="D1716" s="18" t="inlineStr">
        <is>
          <t>2.6 IP TELEPHONY (VoIP)</t>
        </is>
      </c>
      <c r="E1716" s="18" t="inlineStr">
        <is>
          <t>2.6.2 SYSTEM FEATURES</t>
        </is>
      </c>
      <c r="F1716" s="18" t="inlineStr">
        <is>
          <t>The telephony and recording solution shall be provided with a web-based management and monitoring system.</t>
        </is>
      </c>
      <c r="G1716" s="19" t="n"/>
      <c r="H1716" s="20" t="n"/>
      <c r="I1716" s="20" t="n"/>
      <c r="J1716" s="19" t="n"/>
      <c r="K1716" s="21" t="n"/>
      <c r="L1716" s="22">
        <f>IF(OR(J1716="",K1716=""),"",J1716*K1716)</f>
        <v/>
      </c>
      <c r="M1716" s="19" t="n"/>
      <c r="N1716" s="20" t="n"/>
      <c r="O1716" s="20" t="n"/>
    </row>
    <row r="1717">
      <c r="A1717" s="23" t="n">
        <v>1714</v>
      </c>
      <c r="B1717" s="23" t="inlineStr">
        <is>
          <t>2.6.2.18.2</t>
        </is>
      </c>
      <c r="C1717" s="25" t="inlineStr">
        <is>
          <t>Part 2 – Technical Systems</t>
        </is>
      </c>
      <c r="D1717" s="25" t="inlineStr">
        <is>
          <t>2.6 IP TELEPHONY (VoIP)</t>
        </is>
      </c>
      <c r="E1717" s="25" t="inlineStr">
        <is>
          <t>2.6.2 SYSTEM FEATURES</t>
        </is>
      </c>
      <c r="F1717" s="25" t="inlineStr">
        <is>
          <t>The telephony and recording solution shall provide real time alarms notification for the different faults within the solution.</t>
        </is>
      </c>
      <c r="G1717" s="19" t="n"/>
      <c r="H1717" s="20" t="n"/>
      <c r="I1717" s="20" t="n"/>
      <c r="J1717" s="19" t="n"/>
      <c r="K1717" s="21" t="n"/>
      <c r="L1717" s="22">
        <f>IF(OR(J1717="",K1717=""),"",J1717*K1717)</f>
        <v/>
      </c>
      <c r="M1717" s="19" t="n"/>
      <c r="N1717" s="20" t="n"/>
      <c r="O1717" s="20" t="n"/>
    </row>
    <row r="1718">
      <c r="A1718" s="16" t="n">
        <v>1715</v>
      </c>
      <c r="B1718" s="16" t="inlineStr">
        <is>
          <t>2.6.2.18.3</t>
        </is>
      </c>
      <c r="C1718" s="18" t="inlineStr">
        <is>
          <t>Part 2 – Technical Systems</t>
        </is>
      </c>
      <c r="D1718" s="18" t="inlineStr">
        <is>
          <t>2.6 IP TELEPHONY (VoIP)</t>
        </is>
      </c>
      <c r="E1718" s="18" t="inlineStr">
        <is>
          <t>2.6.2 SYSTEM FEATURES</t>
        </is>
      </c>
      <c r="F1718" s="18" t="inlineStr">
        <is>
          <t>The telephony and recording solution management and monitoring system shall be integrated with the CONTRACTOR solutions for OSS911 management and monitoring.</t>
        </is>
      </c>
      <c r="G1718" s="19" t="n"/>
      <c r="H1718" s="20" t="n"/>
      <c r="I1718" s="20" t="n"/>
      <c r="J1718" s="19" t="n"/>
      <c r="K1718" s="21" t="n"/>
      <c r="L1718" s="22">
        <f>IF(OR(J1718="",K1718=""),"",J1718*K1718)</f>
        <v/>
      </c>
      <c r="M1718" s="19" t="n"/>
      <c r="N1718" s="20" t="n"/>
      <c r="O1718" s="20" t="n"/>
    </row>
    <row r="1719">
      <c r="A1719" s="23" t="n">
        <v>1716</v>
      </c>
      <c r="B1719" s="23" t="inlineStr">
        <is>
          <t>2.6.2.18.4</t>
        </is>
      </c>
      <c r="C1719" s="25" t="inlineStr">
        <is>
          <t>Part 2 – Technical Systems</t>
        </is>
      </c>
      <c r="D1719" s="25" t="inlineStr">
        <is>
          <t>2.6 IP TELEPHONY (VoIP)</t>
        </is>
      </c>
      <c r="E1719" s="25" t="inlineStr">
        <is>
          <t>2.6.2 SYSTEM FEATURES</t>
        </is>
      </c>
      <c r="F1719" s="25" t="inlineStr">
        <is>
          <t>The telephony and recording solution shall be configured to provide an audible and visual alert for alarms to authorized personnel.</t>
        </is>
      </c>
      <c r="G1719" s="19" t="n"/>
      <c r="H1719" s="20" t="n"/>
      <c r="I1719" s="20" t="n"/>
      <c r="J1719" s="19" t="n"/>
      <c r="K1719" s="21" t="n"/>
      <c r="L1719" s="22">
        <f>IF(OR(J1719="",K1719=""),"",J1719*K1719)</f>
        <v/>
      </c>
      <c r="M1719" s="19" t="n"/>
      <c r="N1719" s="20" t="n"/>
      <c r="O1719" s="20" t="n"/>
    </row>
    <row r="1720">
      <c r="A1720" s="16" t="n">
        <v>1717</v>
      </c>
      <c r="B1720" s="16" t="inlineStr">
        <is>
          <t>2.6.2.18.5</t>
        </is>
      </c>
      <c r="C1720" s="18" t="inlineStr">
        <is>
          <t>Part 2 – Technical Systems</t>
        </is>
      </c>
      <c r="D1720" s="18" t="inlineStr">
        <is>
          <t>2.6 IP TELEPHONY (VoIP)</t>
        </is>
      </c>
      <c r="E1720" s="18" t="inlineStr">
        <is>
          <t>2.6.2 SYSTEM FEATURES</t>
        </is>
      </c>
      <c r="F1720" s="18" t="inlineStr">
        <is>
          <t>The telephony and recording solution shall support configurable variable messaging displays that can display information such as number of calls queuing, calls answered, longest waiting time and a free text message facility.</t>
        </is>
      </c>
      <c r="G1720" s="19" t="n"/>
      <c r="H1720" s="20" t="n"/>
      <c r="I1720" s="20" t="n"/>
      <c r="J1720" s="19" t="n"/>
      <c r="K1720" s="21" t="n"/>
      <c r="L1720" s="22">
        <f>IF(OR(J1720="",K1720=""),"",J1720*K1720)</f>
        <v/>
      </c>
      <c r="M1720" s="19" t="n"/>
      <c r="N1720" s="20" t="n"/>
      <c r="O1720" s="20" t="n"/>
    </row>
    <row r="1721">
      <c r="A1721" s="23" t="n">
        <v>1718</v>
      </c>
      <c r="B1721" s="23" t="inlineStr">
        <is>
          <t>2.6.2.18.6</t>
        </is>
      </c>
      <c r="C1721" s="25" t="inlineStr">
        <is>
          <t>Part 2 – Technical Systems</t>
        </is>
      </c>
      <c r="D1721" s="25" t="inlineStr">
        <is>
          <t>2.6 IP TELEPHONY (VoIP)</t>
        </is>
      </c>
      <c r="E1721" s="25" t="inlineStr">
        <is>
          <t>2.6.2 SYSTEM FEATURES</t>
        </is>
      </c>
      <c r="F1721" s="25" t="inlineStr">
        <is>
          <t>The telephony and recording solution shall be supplied with a graphical user interface-based tool for updating the phonebook. This tool and the phonebook shall be integrated with the OSS911 solutions and LDAP so that there is one phone directory across all solutions.</t>
        </is>
      </c>
      <c r="G1721" s="19" t="n"/>
      <c r="H1721" s="20" t="n"/>
      <c r="I1721" s="20" t="n"/>
      <c r="J1721" s="19" t="n"/>
      <c r="K1721" s="21" t="n"/>
      <c r="L1721" s="22">
        <f>IF(OR(J1721="",K1721=""),"",J1721*K1721)</f>
        <v/>
      </c>
      <c r="M1721" s="19" t="n"/>
      <c r="N1721" s="20" t="n"/>
      <c r="O1721" s="20" t="n"/>
    </row>
    <row r="1722">
      <c r="A1722" s="16" t="n">
        <v>1719</v>
      </c>
      <c r="B1722" s="16" t="inlineStr">
        <is>
          <t>2.6.2.18.7</t>
        </is>
      </c>
      <c r="C1722" s="18" t="inlineStr">
        <is>
          <t>Part 2 – Technical Systems</t>
        </is>
      </c>
      <c r="D1722" s="18" t="inlineStr">
        <is>
          <t>2.6 IP TELEPHONY (VoIP)</t>
        </is>
      </c>
      <c r="E1722" s="18" t="inlineStr">
        <is>
          <t>2.6.2 SYSTEM FEATURES</t>
        </is>
      </c>
      <c r="F1722" s="18" t="inlineStr">
        <is>
          <t>The telephony and recording solution shall support multiple variable message displays that can be configured independently according to functional or physical area.</t>
        </is>
      </c>
      <c r="G1722" s="19" t="n"/>
      <c r="H1722" s="20" t="n"/>
      <c r="I1722" s="20" t="n"/>
      <c r="J1722" s="19" t="n"/>
      <c r="K1722" s="21" t="n"/>
      <c r="L1722" s="22">
        <f>IF(OR(J1722="",K1722=""),"",J1722*K1722)</f>
        <v/>
      </c>
      <c r="M1722" s="19" t="n"/>
      <c r="N1722" s="20" t="n"/>
      <c r="O1722" s="20" t="n"/>
    </row>
    <row r="1723">
      <c r="A1723" s="23" t="n">
        <v>1720</v>
      </c>
      <c r="B1723" s="24" t="inlineStr">
        <is>
          <t>2.6.2.19</t>
        </is>
      </c>
      <c r="C1723" s="25" t="inlineStr">
        <is>
          <t>Part 2 – Technical Systems</t>
        </is>
      </c>
      <c r="D1723" s="25" t="inlineStr">
        <is>
          <t>2.6 IP TELEPHONY (VoIP)</t>
        </is>
      </c>
      <c r="E1723" s="25" t="inlineStr">
        <is>
          <t>2.6.2 SYSTEM FEATURES</t>
        </is>
      </c>
      <c r="F1723" s="25" t="inlineStr">
        <is>
          <t>( ﺗﺳﺟﯾل اﻟﻣﻛﺎﻟﻣﺎتCALL AND TRAFFIC LOGGING)</t>
        </is>
      </c>
      <c r="G1723" s="19" t="n"/>
      <c r="H1723" s="20" t="n"/>
      <c r="I1723" s="20" t="n"/>
      <c r="J1723" s="19" t="n"/>
      <c r="K1723" s="21" t="n"/>
      <c r="L1723" s="22">
        <f>IF(OR(J1723="",K1723=""),"",J1723*K1723)</f>
        <v/>
      </c>
      <c r="M1723" s="19" t="n"/>
      <c r="N1723" s="20" t="n"/>
      <c r="O1723" s="20" t="n"/>
    </row>
    <row r="1724">
      <c r="A1724" s="16" t="n">
        <v>1721</v>
      </c>
      <c r="B1724" s="16" t="inlineStr">
        <is>
          <t>2.6.2.19.1</t>
        </is>
      </c>
      <c r="C1724" s="18" t="inlineStr">
        <is>
          <t>Part 2 – Technical Systems</t>
        </is>
      </c>
      <c r="D1724" s="18" t="inlineStr">
        <is>
          <t>2.6 IP TELEPHONY (VoIP)</t>
        </is>
      </c>
      <c r="E1724" s="18" t="inlineStr">
        <is>
          <t>2.6.2 SYSTEM FEATURES</t>
        </is>
      </c>
      <c r="F1724" s="18" t="inlineStr">
        <is>
          <t>The CONTRACTOR shall provide a call and traffic logging solution that shall record the details of all calls into, out of and within the telephony solution.</t>
        </is>
      </c>
      <c r="G1724" s="19" t="n"/>
      <c r="H1724" s="20" t="n"/>
      <c r="I1724" s="20" t="n"/>
      <c r="J1724" s="19" t="n"/>
      <c r="K1724" s="21" t="n"/>
      <c r="L1724" s="22">
        <f>IF(OR(J1724="",K1724=""),"",J1724*K1724)</f>
        <v/>
      </c>
      <c r="M1724" s="19" t="n"/>
      <c r="N1724" s="20" t="n"/>
      <c r="O1724" s="20" t="n"/>
    </row>
    <row r="1725">
      <c r="A1725" s="23" t="n">
        <v>1722</v>
      </c>
      <c r="B1725" s="23" t="inlineStr">
        <is>
          <t>2.6.2.19.2</t>
        </is>
      </c>
      <c r="C1725" s="25" t="inlineStr">
        <is>
          <t>Part 2 – Technical Systems</t>
        </is>
      </c>
      <c r="D1725" s="25" t="inlineStr">
        <is>
          <t>2.6 IP TELEPHONY (VoIP)</t>
        </is>
      </c>
      <c r="E1725" s="25" t="inlineStr">
        <is>
          <t>2.6.2 SYSTEM FEATURES</t>
        </is>
      </c>
      <c r="F1725" s="25" t="inlineStr">
        <is>
          <t>Details of all telephony calls shall be able to be recorded in the solution including but not limited to: a. CLI or extension number of the Calling Party b. Dialed number c. Start time of the call d. End time of the call e. Reason for call clearing</t>
        </is>
      </c>
      <c r="G1725" s="19" t="n"/>
      <c r="H1725" s="20" t="n"/>
      <c r="I1725" s="20" t="n"/>
      <c r="J1725" s="19" t="n"/>
      <c r="K1725" s="21" t="n"/>
      <c r="L1725" s="22">
        <f>IF(OR(J1725="",K1725=""),"",J1725*K1725)</f>
        <v/>
      </c>
      <c r="M1725" s="19" t="n"/>
      <c r="N1725" s="20" t="n"/>
      <c r="O1725" s="20" t="n"/>
    </row>
    <row r="1726">
      <c r="A1726" s="16" t="n">
        <v>1723</v>
      </c>
      <c r="B1726" s="16" t="inlineStr">
        <is>
          <t>2.6.2.19.3</t>
        </is>
      </c>
      <c r="C1726" s="18" t="inlineStr">
        <is>
          <t>Part 2 – Technical Systems</t>
        </is>
      </c>
      <c r="D1726" s="18" t="inlineStr">
        <is>
          <t>2.6 IP TELEPHONY (VoIP)</t>
        </is>
      </c>
      <c r="E1726" s="18" t="inlineStr">
        <is>
          <t>2.6.2 SYSTEM FEATURES</t>
        </is>
      </c>
      <c r="F1726" s="18" t="inlineStr">
        <is>
          <t>The CONTRACTOR shall provide a telephony and recording solution that includes a reporting package that allows standard and custom reports to be designed and run, and shall implement the required APIs to integrate the solution with the OSS911 business intelligence and reporting solution delivered by the CONTRACTOR.</t>
        </is>
      </c>
      <c r="G1726" s="19" t="n"/>
      <c r="H1726" s="20" t="n"/>
      <c r="I1726" s="20" t="n"/>
      <c r="J1726" s="19" t="n"/>
      <c r="K1726" s="21" t="n"/>
      <c r="L1726" s="22">
        <f>IF(OR(J1726="",K1726=""),"",J1726*K1726)</f>
        <v/>
      </c>
      <c r="M1726" s="19" t="n"/>
      <c r="N1726" s="20" t="n"/>
      <c r="O1726" s="20" t="n"/>
    </row>
    <row r="1727">
      <c r="A1727" s="23" t="n">
        <v>1724</v>
      </c>
      <c r="B1727" s="23" t="inlineStr">
        <is>
          <t>2.6.2.19.4</t>
        </is>
      </c>
      <c r="C1727" s="25" t="inlineStr">
        <is>
          <t>Part 2 – Technical Systems</t>
        </is>
      </c>
      <c r="D1727" s="25" t="inlineStr">
        <is>
          <t>2.6 IP TELEPHONY (VoIP)</t>
        </is>
      </c>
      <c r="E1727" s="25" t="inlineStr">
        <is>
          <t>2.6.2 SYSTEM FEATURES</t>
        </is>
      </c>
      <c r="F1727" s="25" t="inlineStr">
        <is>
          <t>The CONTRACTOR shall configure the telephony and recording solution to schedule reports to be produced on a periodic or ad-hoc basis.</t>
        </is>
      </c>
      <c r="G1727" s="19" t="n"/>
      <c r="H1727" s="20" t="n"/>
      <c r="I1727" s="20" t="n"/>
      <c r="J1727" s="19" t="n"/>
      <c r="K1727" s="21" t="n"/>
      <c r="L1727" s="22">
        <f>IF(OR(J1727="",K1727=""),"",J1727*K1727)</f>
        <v/>
      </c>
      <c r="M1727" s="19" t="n"/>
      <c r="N1727" s="20" t="n"/>
      <c r="O1727" s="20" t="n"/>
    </row>
    <row r="1728">
      <c r="A1728" s="16" t="n">
        <v>1725</v>
      </c>
      <c r="B1728" s="16" t="inlineStr">
        <is>
          <t>2.6.2.19.5</t>
        </is>
      </c>
      <c r="C1728" s="18" t="inlineStr">
        <is>
          <t>Part 2 – Technical Systems</t>
        </is>
      </c>
      <c r="D1728" s="18" t="inlineStr">
        <is>
          <t>2.6 IP TELEPHONY (VoIP)</t>
        </is>
      </c>
      <c r="E1728" s="18" t="inlineStr">
        <is>
          <t>2.6.2 SYSTEM FEATURES</t>
        </is>
      </c>
      <c r="F1728" s="18" t="inlineStr">
        <is>
          <t>The CONTRACTOR shall configure the telephony and recording solution to log and monitor all the groups that a functional area is responsible for monitoring.</t>
        </is>
      </c>
      <c r="G1728" s="19" t="n"/>
      <c r="H1728" s="20" t="n"/>
      <c r="I1728" s="20" t="n"/>
      <c r="J1728" s="19" t="n"/>
      <c r="K1728" s="21" t="n"/>
      <c r="L1728" s="22">
        <f>IF(OR(J1728="",K1728=""),"",J1728*K1728)</f>
        <v/>
      </c>
      <c r="M1728" s="19" t="n"/>
      <c r="N1728" s="20" t="n"/>
      <c r="O1728" s="20" t="n"/>
    </row>
    <row r="1729">
      <c r="A1729" s="23" t="n">
        <v>1726</v>
      </c>
      <c r="B1729" s="23" t="inlineStr">
        <is>
          <t>2.6.2.19.6</t>
        </is>
      </c>
      <c r="C1729" s="25" t="inlineStr">
        <is>
          <t>Part 2 – Technical Systems</t>
        </is>
      </c>
      <c r="D1729" s="25" t="inlineStr">
        <is>
          <t>2.6 IP TELEPHONY (VoIP)</t>
        </is>
      </c>
      <c r="E1729" s="25" t="inlineStr">
        <is>
          <t>2.6.2 SYSTEM FEATURES</t>
        </is>
      </c>
      <c r="F1729" s="25" t="inlineStr">
        <is>
          <t>The CONTRACTOR shall deliver an alarms page on the supervisor display that displays all active alarms on the system relevant to the supervisor’s functional area.</t>
        </is>
      </c>
      <c r="G1729" s="19" t="n"/>
      <c r="H1729" s="20" t="n"/>
      <c r="I1729" s="20" t="n"/>
      <c r="J1729" s="19" t="n"/>
      <c r="K1729" s="21" t="n"/>
      <c r="L1729" s="22">
        <f>IF(OR(J1729="",K1729=""),"",J1729*K1729)</f>
        <v/>
      </c>
      <c r="M1729" s="19" t="n"/>
      <c r="N1729" s="20" t="n"/>
      <c r="O1729" s="20" t="n"/>
    </row>
    <row r="1730">
      <c r="A1730" s="16" t="n">
        <v>1727</v>
      </c>
      <c r="B1730" s="16" t="inlineStr">
        <is>
          <t>2.6.2.19.7</t>
        </is>
      </c>
      <c r="C1730" s="18" t="inlineStr">
        <is>
          <t>Part 2 – Technical Systems</t>
        </is>
      </c>
      <c r="D1730" s="18" t="inlineStr">
        <is>
          <t>2.6 IP TELEPHONY (VoIP)</t>
        </is>
      </c>
      <c r="E1730" s="18" t="inlineStr">
        <is>
          <t>2.6.2 SYSTEM FEATURES</t>
        </is>
      </c>
      <c r="F1730" s="18" t="inlineStr">
        <is>
          <t>The recording solution shall be configured for retaining call records in accordance with the retention guidelines in the section on ‘Technical Infrastructure’.</t>
        </is>
      </c>
      <c r="G1730" s="19" t="n"/>
      <c r="H1730" s="20" t="n"/>
      <c r="I1730" s="20" t="n"/>
      <c r="J1730" s="19" t="n"/>
      <c r="K1730" s="21" t="n"/>
      <c r="L1730" s="22">
        <f>IF(OR(J1730="",K1730=""),"",J1730*K1730)</f>
        <v/>
      </c>
      <c r="M1730" s="19" t="n"/>
      <c r="N1730" s="20" t="n"/>
      <c r="O1730" s="20" t="n"/>
    </row>
    <row r="1731">
      <c r="A1731" s="23" t="n">
        <v>1728</v>
      </c>
      <c r="B1731" s="24" t="inlineStr">
        <is>
          <t>2.6.2.20</t>
        </is>
      </c>
      <c r="C1731" s="25" t="inlineStr">
        <is>
          <t>Part 2 – Technical Systems</t>
        </is>
      </c>
      <c r="D1731" s="25" t="inlineStr">
        <is>
          <t>2.6 IP TELEPHONY (VoIP)</t>
        </is>
      </c>
      <c r="E1731" s="25" t="inlineStr">
        <is>
          <t>2.6.2 SYSTEM FEATURES</t>
        </is>
      </c>
      <c r="F1731" s="25" t="inlineStr">
        <is>
          <t>The CONTRACTOR shall deliver a telephony system that includes the following features as a minimum:</t>
        </is>
      </c>
      <c r="G1731" s="19" t="n"/>
      <c r="H1731" s="20" t="n"/>
      <c r="I1731" s="20" t="n"/>
      <c r="J1731" s="19" t="n"/>
      <c r="K1731" s="21" t="n"/>
      <c r="L1731" s="22">
        <f>IF(OR(J1731="",K1731=""),"",J1731*K1731)</f>
        <v/>
      </c>
      <c r="M1731" s="19" t="n"/>
      <c r="N1731" s="20" t="n"/>
      <c r="O1731" s="20" t="n"/>
    </row>
    <row r="1732">
      <c r="A1732" s="16" t="n">
        <v>1729</v>
      </c>
      <c r="B1732" s="16" t="inlineStr">
        <is>
          <t>2.6.2.20.1</t>
        </is>
      </c>
      <c r="C1732" s="18" t="inlineStr">
        <is>
          <t>Part 2 – Technical Systems</t>
        </is>
      </c>
      <c r="D1732" s="18" t="inlineStr">
        <is>
          <t>2.6 IP TELEPHONY (VoIP)</t>
        </is>
      </c>
      <c r="E1732" s="18" t="inlineStr">
        <is>
          <t>2.6.2 SYSTEM FEATURES</t>
        </is>
      </c>
      <c r="F1732" s="18" t="inlineStr">
        <is>
          <t>Autodial: Allows users to dial a number by pressing a single key.</t>
        </is>
      </c>
      <c r="G1732" s="19" t="n"/>
      <c r="H1732" s="20" t="n"/>
      <c r="I1732" s="20" t="n"/>
      <c r="J1732" s="19" t="n"/>
      <c r="K1732" s="21" t="n"/>
      <c r="L1732" s="22">
        <f>IF(OR(J1732="",K1732=""),"",J1732*K1732)</f>
        <v/>
      </c>
      <c r="M1732" s="19" t="n"/>
      <c r="N1732" s="20" t="n"/>
      <c r="O1732" s="20" t="n"/>
    </row>
    <row r="1733">
      <c r="A1733" s="23" t="n">
        <v>1730</v>
      </c>
      <c r="B1733" s="23" t="inlineStr">
        <is>
          <t>2.6.2.20.2</t>
        </is>
      </c>
      <c r="C1733" s="25" t="inlineStr">
        <is>
          <t>Part 2 – Technical Systems</t>
        </is>
      </c>
      <c r="D1733" s="25" t="inlineStr">
        <is>
          <t>2.6 IP TELEPHONY (VoIP)</t>
        </is>
      </c>
      <c r="E1733" s="25" t="inlineStr">
        <is>
          <t>2.6.2 SYSTEM FEATURES</t>
        </is>
      </c>
      <c r="F1733" s="25" t="inlineStr">
        <is>
          <t>Automatic Answerback: Allows an incoming call to be answered automatically via the hands-free option on the telephone.</t>
        </is>
      </c>
      <c r="G1733" s="19" t="n"/>
      <c r="H1733" s="20" t="n"/>
      <c r="I1733" s="20" t="n"/>
      <c r="J1733" s="19" t="n"/>
      <c r="K1733" s="21" t="n"/>
      <c r="L1733" s="22">
        <f>IF(OR(J1733="",K1733=""),"",J1733*K1733)</f>
        <v/>
      </c>
      <c r="M1733" s="19" t="n"/>
      <c r="N1733" s="20" t="n"/>
      <c r="O1733" s="20" t="n"/>
    </row>
    <row r="1734">
      <c r="A1734" s="16" t="n">
        <v>1731</v>
      </c>
      <c r="B1734" s="16" t="inlineStr">
        <is>
          <t>2.6.2.20.3</t>
        </is>
      </c>
      <c r="C1734" s="18" t="inlineStr">
        <is>
          <t>Part 2 – Technical Systems</t>
        </is>
      </c>
      <c r="D1734" s="18" t="inlineStr">
        <is>
          <t>2.6 IP TELEPHONY (VoIP)</t>
        </is>
      </c>
      <c r="E1734" s="18" t="inlineStr">
        <is>
          <t>2.6.2 SYSTEM FEATURES</t>
        </is>
      </c>
      <c r="F1734" s="18" t="inlineStr">
        <is>
          <t>Automatic Line Selection: Allows the user to automatically answer a predetermined line by lifting the handset.</t>
        </is>
      </c>
      <c r="G1734" s="19" t="n"/>
      <c r="H1734" s="20" t="n"/>
      <c r="I1734" s="20" t="n"/>
      <c r="J1734" s="19" t="n"/>
      <c r="K1734" s="21" t="n"/>
      <c r="L1734" s="22">
        <f>IF(OR(J1734="",K1734=""),"",J1734*K1734)</f>
        <v/>
      </c>
      <c r="M1734" s="19" t="n"/>
      <c r="N1734" s="20" t="n"/>
      <c r="O1734" s="20" t="n"/>
    </row>
    <row r="1735">
      <c r="A1735" s="23" t="n">
        <v>1732</v>
      </c>
      <c r="B1735" s="23" t="inlineStr">
        <is>
          <t>2.6.2.20.4</t>
        </is>
      </c>
      <c r="C1735" s="25" t="inlineStr">
        <is>
          <t>Part 2 – Technical Systems</t>
        </is>
      </c>
      <c r="D1735" s="25" t="inlineStr">
        <is>
          <t>2.6 IP TELEPHONY (VoIP)</t>
        </is>
      </c>
      <c r="E1735" s="25" t="inlineStr">
        <is>
          <t>2.6.2 SYSTEM FEATURES</t>
        </is>
      </c>
      <c r="F1735" s="25" t="inlineStr">
        <is>
          <t>Authorization Code: Allows selected users to temporarily override the access restrictions assigned to any station or trunk by dialing an authorization code.</t>
        </is>
      </c>
      <c r="G1735" s="19" t="n"/>
      <c r="H1735" s="20" t="n"/>
      <c r="I1735" s="20" t="n"/>
      <c r="J1735" s="19" t="n"/>
      <c r="K1735" s="21" t="n"/>
      <c r="L1735" s="22">
        <f>IF(OR(J1735="",K1735=""),"",J1735*K1735)</f>
        <v/>
      </c>
      <c r="M1735" s="19" t="n"/>
      <c r="N1735" s="20" t="n"/>
      <c r="O1735" s="20" t="n"/>
    </row>
    <row r="1736">
      <c r="A1736" s="16" t="n">
        <v>1733</v>
      </c>
      <c r="B1736" s="16" t="inlineStr">
        <is>
          <t>2.6.2.20.5</t>
        </is>
      </c>
      <c r="C1736" s="18" t="inlineStr">
        <is>
          <t>Part 2 – Technical Systems</t>
        </is>
      </c>
      <c r="D1736" s="18" t="inlineStr">
        <is>
          <t>2.6 IP TELEPHONY (VoIP)</t>
        </is>
      </c>
      <c r="E1736" s="18" t="inlineStr">
        <is>
          <t>2.6.2 SYSTEM FEATURES</t>
        </is>
      </c>
      <c r="F1736" s="18" t="inlineStr">
        <is>
          <t>Automatic Route Selection: Allows an outgoing call to be automatically completed by the least expensive route available.</t>
        </is>
      </c>
      <c r="G1736" s="19" t="n"/>
      <c r="H1736" s="20" t="n"/>
      <c r="I1736" s="20" t="n"/>
      <c r="J1736" s="19" t="n"/>
      <c r="K1736" s="21" t="n"/>
      <c r="L1736" s="22">
        <f>IF(OR(J1736="",K1736=""),"",J1736*K1736)</f>
        <v/>
      </c>
      <c r="M1736" s="19" t="n"/>
      <c r="N1736" s="20" t="n"/>
      <c r="O1736" s="20" t="n"/>
    </row>
    <row r="1737">
      <c r="A1737" s="23" t="n">
        <v>1734</v>
      </c>
      <c r="B1737" s="23" t="inlineStr">
        <is>
          <t>2.6.2.20.6</t>
        </is>
      </c>
      <c r="C1737" s="25" t="inlineStr">
        <is>
          <t>Part 2 – Technical Systems</t>
        </is>
      </c>
      <c r="D1737" s="25" t="inlineStr">
        <is>
          <t>2.6 IP TELEPHONY (VoIP)</t>
        </is>
      </c>
      <c r="E1737" s="25" t="inlineStr">
        <is>
          <t>2.6.2 SYSTEM FEATURES</t>
        </is>
      </c>
      <c r="F1737" s="25" t="inlineStr">
        <is>
          <t>Automatic Call Distribution: Distributes incoming calls among a designated group of telephone sets on a “most available station” basis.</t>
        </is>
      </c>
      <c r="G1737" s="19" t="n"/>
      <c r="H1737" s="20" t="n"/>
      <c r="I1737" s="20" t="n"/>
      <c r="J1737" s="19" t="n"/>
      <c r="K1737" s="21" t="n"/>
      <c r="L1737" s="22">
        <f>IF(OR(J1737="",K1737=""),"",J1737*K1737)</f>
        <v/>
      </c>
      <c r="M1737" s="19" t="n"/>
      <c r="N1737" s="20" t="n"/>
      <c r="O1737" s="20" t="n"/>
    </row>
    <row r="1738">
      <c r="A1738" s="16" t="n">
        <v>1735</v>
      </c>
      <c r="B1738" s="16" t="inlineStr">
        <is>
          <t>2.6.2.20.7</t>
        </is>
      </c>
      <c r="C1738" s="18" t="inlineStr">
        <is>
          <t>Part 2 – Technical Systems</t>
        </is>
      </c>
      <c r="D1738" s="18" t="inlineStr">
        <is>
          <t>2.6 IP TELEPHONY (VoIP)</t>
        </is>
      </c>
      <c r="E1738" s="18" t="inlineStr">
        <is>
          <t>2.6.2 SYSTEM FEATURES</t>
        </is>
      </c>
      <c r="F1738" s="18" t="inlineStr">
        <is>
          <t>Call Detail Recording: System must provide the ability to report CDR information and/or be exported to a CDR reporting package.</t>
        </is>
      </c>
      <c r="G1738" s="19" t="n"/>
      <c r="H1738" s="20" t="n"/>
      <c r="I1738" s="20" t="n"/>
      <c r="J1738" s="19" t="n"/>
      <c r="K1738" s="21" t="n"/>
      <c r="L1738" s="22">
        <f>IF(OR(J1738="",K1738=""),"",J1738*K1738)</f>
        <v/>
      </c>
      <c r="M1738" s="19" t="n"/>
      <c r="N1738" s="20" t="n"/>
      <c r="O1738" s="20" t="n"/>
    </row>
    <row r="1739">
      <c r="A1739" s="23" t="n">
        <v>1736</v>
      </c>
      <c r="B1739" s="23" t="inlineStr">
        <is>
          <t>2.6.2.20.8</t>
        </is>
      </c>
      <c r="C1739" s="25" t="inlineStr">
        <is>
          <t>Part 2 – Technical Systems</t>
        </is>
      </c>
      <c r="D1739" s="25" t="inlineStr">
        <is>
          <t>2.6 IP TELEPHONY (VoIP)</t>
        </is>
      </c>
      <c r="E1739" s="25" t="inlineStr">
        <is>
          <t>2.6.2 SYSTEM FEATURES</t>
        </is>
      </c>
      <c r="F1739" s="25" t="inlineStr">
        <is>
          <t>Call Forward All Calls/No Answer: Allows a station’s incoming calls to be automatically forwarded to a pre-selected destination.</t>
        </is>
      </c>
      <c r="G1739" s="19" t="n"/>
      <c r="H1739" s="20" t="n"/>
      <c r="I1739" s="20" t="n"/>
      <c r="J1739" s="19" t="n"/>
      <c r="K1739" s="21" t="n"/>
      <c r="L1739" s="22">
        <f>IF(OR(J1739="",K1739=""),"",J1739*K1739)</f>
        <v/>
      </c>
      <c r="M1739" s="19" t="n"/>
      <c r="N1739" s="20" t="n"/>
      <c r="O1739" s="20" t="n"/>
    </row>
    <row r="1740">
      <c r="A1740" s="16" t="n">
        <v>1737</v>
      </c>
      <c r="B1740" s="16" t="inlineStr">
        <is>
          <t>2.6.2.20.9</t>
        </is>
      </c>
      <c r="C1740" s="18" t="inlineStr">
        <is>
          <t>Part 2 – Technical Systems</t>
        </is>
      </c>
      <c r="D1740" s="18" t="inlineStr">
        <is>
          <t>2.6 IP TELEPHONY (VoIP)</t>
        </is>
      </c>
      <c r="E1740" s="18" t="inlineStr">
        <is>
          <t>2.6.2 SYSTEM FEATURES</t>
        </is>
      </c>
      <c r="F1740" s="18" t="inlineStr">
        <is>
          <t>Call Forward Reminder Tone: Provides IP telephone users a visual reminder to remind the user that their station is in the call forward mode.</t>
        </is>
      </c>
      <c r="G1740" s="19" t="n"/>
      <c r="H1740" s="20" t="n"/>
      <c r="I1740" s="20" t="n"/>
      <c r="J1740" s="19" t="n"/>
      <c r="K1740" s="21" t="n"/>
      <c r="L1740" s="22">
        <f>IF(OR(J1740="",K1740=""),"",J1740*K1740)</f>
        <v/>
      </c>
      <c r="M1740" s="19" t="n"/>
      <c r="N1740" s="20" t="n"/>
      <c r="O1740" s="20" t="n"/>
    </row>
    <row r="1741">
      <c r="A1741" s="23" t="n">
        <v>1738</v>
      </c>
      <c r="B1741" s="23" t="inlineStr">
        <is>
          <t>2.6.2.20.10</t>
        </is>
      </c>
      <c r="C1741" s="25" t="inlineStr">
        <is>
          <t>Part 2 – Technical Systems</t>
        </is>
      </c>
      <c r="D1741" s="25" t="inlineStr">
        <is>
          <t>2.6 IP TELEPHONY (VoIP)</t>
        </is>
      </c>
      <c r="E1741" s="25" t="inlineStr">
        <is>
          <t>2.6.2 SYSTEM FEATURES</t>
        </is>
      </c>
      <c r="F1741" s="25" t="inlineStr">
        <is>
          <t>Call ID: System allows a reference number or tag associated with each call during its entire lifetime on the system (not to be confused with Caller ID).</t>
        </is>
      </c>
      <c r="G1741" s="19" t="n"/>
      <c r="H1741" s="20" t="n"/>
      <c r="I1741" s="20" t="n"/>
      <c r="J1741" s="19" t="n"/>
      <c r="K1741" s="21" t="n"/>
      <c r="L1741" s="22">
        <f>IF(OR(J1741="",K1741=""),"",J1741*K1741)</f>
        <v/>
      </c>
      <c r="M1741" s="19" t="n"/>
      <c r="N1741" s="20" t="n"/>
      <c r="O1741" s="20" t="n"/>
    </row>
    <row r="1742">
      <c r="A1742" s="16" t="n">
        <v>1739</v>
      </c>
      <c r="B1742" s="16" t="inlineStr">
        <is>
          <t>2.6.2.20.11</t>
        </is>
      </c>
      <c r="C1742" s="18" t="inlineStr">
        <is>
          <t>Part 2 – Technical Systems</t>
        </is>
      </c>
      <c r="D1742" s="18" t="inlineStr">
        <is>
          <t>2.6 IP TELEPHONY (VoIP)</t>
        </is>
      </c>
      <c r="E1742" s="18" t="inlineStr">
        <is>
          <t>2.6.2 SYSTEM FEATURES</t>
        </is>
      </c>
      <c r="F1742" s="18" t="inlineStr">
        <is>
          <t>Call Join: Allows calls already existing on separate lines on a telephone to be conferenced together.</t>
        </is>
      </c>
      <c r="G1742" s="19" t="n"/>
      <c r="H1742" s="20" t="n"/>
      <c r="I1742" s="20" t="n"/>
      <c r="J1742" s="19" t="n"/>
      <c r="K1742" s="21" t="n"/>
      <c r="L1742" s="22">
        <f>IF(OR(J1742="",K1742=""),"",J1742*K1742)</f>
        <v/>
      </c>
      <c r="M1742" s="19" t="n"/>
      <c r="N1742" s="20" t="n"/>
      <c r="O1742" s="20" t="n"/>
    </row>
    <row r="1743">
      <c r="A1743" s="23" t="n">
        <v>1740</v>
      </c>
      <c r="B1743" s="23" t="inlineStr">
        <is>
          <t>2.6.2.20.12</t>
        </is>
      </c>
      <c r="C1743" s="25" t="inlineStr">
        <is>
          <t>Part 2 – Technical Systems</t>
        </is>
      </c>
      <c r="D1743" s="25" t="inlineStr">
        <is>
          <t>2.6 IP TELEPHONY (VoIP)</t>
        </is>
      </c>
      <c r="E1743" s="25" t="inlineStr">
        <is>
          <t>2.6.2 SYSTEM FEATURES</t>
        </is>
      </c>
      <c r="F1743" s="25" t="inlineStr">
        <is>
          <t>Call Party Name Display: Identifies the calling or called party by name.</t>
        </is>
      </c>
      <c r="G1743" s="19" t="n"/>
      <c r="H1743" s="20" t="n"/>
      <c r="I1743" s="20" t="n"/>
      <c r="J1743" s="19" t="n"/>
      <c r="K1743" s="21" t="n"/>
      <c r="L1743" s="22">
        <f>IF(OR(J1743="",K1743=""),"",J1743*K1743)</f>
        <v/>
      </c>
      <c r="M1743" s="19" t="n"/>
      <c r="N1743" s="20" t="n"/>
      <c r="O1743" s="20" t="n"/>
    </row>
    <row r="1744">
      <c r="A1744" s="16" t="n">
        <v>1741</v>
      </c>
      <c r="B1744" s="16" t="inlineStr">
        <is>
          <t>2.6.2.20.13</t>
        </is>
      </c>
      <c r="C1744" s="18" t="inlineStr">
        <is>
          <t>Part 2 – Technical Systems</t>
        </is>
      </c>
      <c r="D1744" s="18" t="inlineStr">
        <is>
          <t>2.6 IP TELEPHONY (VoIP)</t>
        </is>
      </c>
      <c r="E1744" s="18" t="inlineStr">
        <is>
          <t>2.6.2 SYSTEM FEATURES</t>
        </is>
      </c>
      <c r="F1744" s="18" t="inlineStr">
        <is>
          <t>Call Park: Places a call in a parked state, similar to hold, where it can be retrieved by any attendant console or by another telephone.</t>
        </is>
      </c>
      <c r="G1744" s="19" t="n"/>
      <c r="H1744" s="20" t="n"/>
      <c r="I1744" s="20" t="n"/>
      <c r="J1744" s="19" t="n"/>
      <c r="K1744" s="21" t="n"/>
      <c r="L1744" s="22">
        <f>IF(OR(J1744="",K1744=""),"",J1744*K1744)</f>
        <v/>
      </c>
      <c r="M1744" s="19" t="n"/>
      <c r="N1744" s="20" t="n"/>
      <c r="O1744" s="20" t="n"/>
    </row>
    <row r="1745">
      <c r="A1745" s="23" t="n">
        <v>1742</v>
      </c>
      <c r="B1745" s="23" t="inlineStr">
        <is>
          <t>2.6.2.20.14</t>
        </is>
      </c>
      <c r="C1745" s="25" t="inlineStr">
        <is>
          <t>Part 2 – Technical Systems</t>
        </is>
      </c>
      <c r="D1745" s="25" t="inlineStr">
        <is>
          <t>2.6 IP TELEPHONY (VoIP)</t>
        </is>
      </c>
      <c r="E1745" s="25" t="inlineStr">
        <is>
          <t>2.6.2 SYSTEM FEATURES</t>
        </is>
      </c>
      <c r="F1745" s="25" t="inlineStr">
        <is>
          <t>Call Pickup: Allows a group of telephones to answer a ringing station in its group through the use of either an access code or a programmed pickup button.</t>
        </is>
      </c>
      <c r="G1745" s="19" t="n"/>
      <c r="H1745" s="20" t="n"/>
      <c r="I1745" s="20" t="n"/>
      <c r="J1745" s="19" t="n"/>
      <c r="K1745" s="21" t="n"/>
      <c r="L1745" s="22">
        <f>IF(OR(J1745="",K1745=""),"",J1745*K1745)</f>
        <v/>
      </c>
      <c r="M1745" s="19" t="n"/>
      <c r="N1745" s="20" t="n"/>
      <c r="O1745" s="20" t="n"/>
    </row>
    <row r="1746">
      <c r="A1746" s="16" t="n">
        <v>1743</v>
      </c>
      <c r="B1746" s="16" t="inlineStr">
        <is>
          <t>2.6.2.20.15</t>
        </is>
      </c>
      <c r="C1746" s="18" t="inlineStr">
        <is>
          <t>Part 2 – Technical Systems</t>
        </is>
      </c>
      <c r="D1746" s="18" t="inlineStr">
        <is>
          <t>2.6 IP TELEPHONY (VoIP)</t>
        </is>
      </c>
      <c r="E1746" s="18" t="inlineStr">
        <is>
          <t>2.6.2 SYSTEM FEATURES</t>
        </is>
      </c>
      <c r="F1746" s="18" t="inlineStr">
        <is>
          <t>Call Back: Upon receiving a busy signal from another station, allow callers to be notified that the line is now available.</t>
        </is>
      </c>
      <c r="G1746" s="19" t="n"/>
      <c r="H1746" s="20" t="n"/>
      <c r="I1746" s="20" t="n"/>
      <c r="J1746" s="19" t="n"/>
      <c r="K1746" s="21" t="n"/>
      <c r="L1746" s="22">
        <f>IF(OR(J1746="",K1746=""),"",J1746*K1746)</f>
        <v/>
      </c>
      <c r="M1746" s="19" t="n"/>
      <c r="N1746" s="20" t="n"/>
      <c r="O1746" s="20" t="n"/>
    </row>
    <row r="1747">
      <c r="A1747" s="23" t="n">
        <v>1744</v>
      </c>
      <c r="B1747" s="23" t="inlineStr">
        <is>
          <t>2.6.2.20.16</t>
        </is>
      </c>
      <c r="C1747" s="25" t="inlineStr">
        <is>
          <t>Part 2 – Technical Systems</t>
        </is>
      </c>
      <c r="D1747" s="25" t="inlineStr">
        <is>
          <t>2.6 IP TELEPHONY (VoIP)</t>
        </is>
      </c>
      <c r="E1747" s="25" t="inlineStr">
        <is>
          <t>2.6.2 SYSTEM FEATURES</t>
        </is>
      </c>
      <c r="F1747" s="25" t="inlineStr">
        <is>
          <t>Conference: Allows users to add additional parties to an established call. State maximum allowed conference parties.</t>
        </is>
      </c>
      <c r="G1747" s="19" t="n"/>
      <c r="H1747" s="20" t="n"/>
      <c r="I1747" s="20" t="n"/>
      <c r="J1747" s="19" t="n"/>
      <c r="K1747" s="21" t="n"/>
      <c r="L1747" s="22">
        <f>IF(OR(J1747="",K1747=""),"",J1747*K1747)</f>
        <v/>
      </c>
      <c r="M1747" s="19" t="n"/>
      <c r="N1747" s="20" t="n"/>
      <c r="O1747" s="20" t="n"/>
    </row>
    <row r="1748">
      <c r="A1748" s="16" t="n">
        <v>1745</v>
      </c>
      <c r="B1748" s="16" t="inlineStr">
        <is>
          <t>2.6.2.20.17</t>
        </is>
      </c>
      <c r="C1748" s="18" t="inlineStr">
        <is>
          <t>Part 2 – Technical Systems</t>
        </is>
      </c>
      <c r="D1748" s="18" t="inlineStr">
        <is>
          <t>2.6 IP TELEPHONY (VoIP)</t>
        </is>
      </c>
      <c r="E1748" s="18" t="inlineStr">
        <is>
          <t>2.6.2 SYSTEM FEATURES</t>
        </is>
      </c>
      <c r="F1748" s="18" t="inlineStr">
        <is>
          <t>Distinctive Ringing: Provides a difference in the cadence of the set ringing to distinguish internal calls from outside trunk calls.</t>
        </is>
      </c>
      <c r="G1748" s="19" t="n"/>
      <c r="H1748" s="20" t="n"/>
      <c r="I1748" s="20" t="n"/>
      <c r="J1748" s="19" t="n"/>
      <c r="K1748" s="21" t="n"/>
      <c r="L1748" s="22">
        <f>IF(OR(J1748="",K1748=""),"",J1748*K1748)</f>
        <v/>
      </c>
      <c r="M1748" s="19" t="n"/>
      <c r="N1748" s="20" t="n"/>
      <c r="O1748" s="20" t="n"/>
    </row>
    <row r="1749">
      <c r="A1749" s="23" t="n">
        <v>1746</v>
      </c>
      <c r="B1749" s="23" t="inlineStr">
        <is>
          <t>2.6.2.20.18</t>
        </is>
      </c>
      <c r="C1749" s="25" t="inlineStr">
        <is>
          <t>Part 2 – Technical Systems</t>
        </is>
      </c>
      <c r="D1749" s="25" t="inlineStr">
        <is>
          <t>2.6 IP TELEPHONY (VoIP)</t>
        </is>
      </c>
      <c r="E1749" s="25" t="inlineStr">
        <is>
          <t>2.6.2 SYSTEM FEATURES</t>
        </is>
      </c>
      <c r="F1749" s="25" t="inlineStr">
        <is>
          <t>Do Not Disturb: Allows the station user to place their station in a “Do Not Disturb” mode as defined in a typical analogue telephone system (calls go straight to voice mail, etc.)</t>
        </is>
      </c>
      <c r="G1749" s="19" t="n"/>
      <c r="H1749" s="20" t="n"/>
      <c r="I1749" s="20" t="n"/>
      <c r="J1749" s="19" t="n"/>
      <c r="K1749" s="21" t="n"/>
      <c r="L1749" s="22">
        <f>IF(OR(J1749="",K1749=""),"",J1749*K1749)</f>
        <v/>
      </c>
      <c r="M1749" s="19" t="n"/>
      <c r="N1749" s="20" t="n"/>
      <c r="O1749" s="20" t="n"/>
    </row>
    <row r="1750">
      <c r="A1750" s="16" t="n">
        <v>1747</v>
      </c>
      <c r="B1750" s="16" t="inlineStr">
        <is>
          <t>2.6.2.20.19</t>
        </is>
      </c>
      <c r="C1750" s="18" t="inlineStr">
        <is>
          <t>Part 2 – Technical Systems</t>
        </is>
      </c>
      <c r="D1750" s="18" t="inlineStr">
        <is>
          <t>2.6 IP TELEPHONY (VoIP)</t>
        </is>
      </c>
      <c r="E1750" s="18" t="inlineStr">
        <is>
          <t>2.6.2 SYSTEM FEATURES</t>
        </is>
      </c>
      <c r="F1750" s="18" t="inlineStr">
        <is>
          <t>History File: System must automatically keep a record of maintenance problems it uncovers during its diagnostic process.</t>
        </is>
      </c>
      <c r="G1750" s="19" t="n"/>
      <c r="H1750" s="20" t="n"/>
      <c r="I1750" s="20" t="n"/>
      <c r="J1750" s="19" t="n"/>
      <c r="K1750" s="21" t="n"/>
      <c r="L1750" s="22">
        <f>IF(OR(J1750="",K1750=""),"",J1750*K1750)</f>
        <v/>
      </c>
      <c r="M1750" s="19" t="n"/>
      <c r="N1750" s="20" t="n"/>
      <c r="O1750" s="20" t="n"/>
    </row>
    <row r="1751">
      <c r="A1751" s="23" t="n">
        <v>1748</v>
      </c>
      <c r="B1751" s="23" t="inlineStr">
        <is>
          <t>2.6.2.20.20</t>
        </is>
      </c>
      <c r="C1751" s="25" t="inlineStr">
        <is>
          <t>Part 2 – Technical Systems</t>
        </is>
      </c>
      <c r="D1751" s="25" t="inlineStr">
        <is>
          <t>2.6 IP TELEPHONY (VoIP)</t>
        </is>
      </c>
      <c r="E1751" s="25" t="inlineStr">
        <is>
          <t>2.6.2 SYSTEM FEATURES</t>
        </is>
      </c>
      <c r="F1751" s="25" t="inlineStr">
        <is>
          <t>Hunt: The maximum number of steps available in the system’s hunt sequence. All call information shall stay with the call for the duration of the sequence.</t>
        </is>
      </c>
      <c r="G1751" s="19" t="n"/>
      <c r="H1751" s="20" t="n"/>
      <c r="I1751" s="20" t="n"/>
      <c r="J1751" s="19" t="n"/>
      <c r="K1751" s="21" t="n"/>
      <c r="L1751" s="22">
        <f>IF(OR(J1751="",K1751=""),"",J1751*K1751)</f>
        <v/>
      </c>
      <c r="M1751" s="19" t="n"/>
      <c r="N1751" s="20" t="n"/>
      <c r="O1751" s="20" t="n"/>
    </row>
    <row r="1752">
      <c r="A1752" s="16" t="n">
        <v>1749</v>
      </c>
      <c r="B1752" s="16" t="inlineStr">
        <is>
          <t>2.6.2.20.21</t>
        </is>
      </c>
      <c r="C1752" s="18" t="inlineStr">
        <is>
          <t>Part 2 – Technical Systems</t>
        </is>
      </c>
      <c r="D1752" s="18" t="inlineStr">
        <is>
          <t>2.6 IP TELEPHONY (VoIP)</t>
        </is>
      </c>
      <c r="E1752" s="18" t="inlineStr">
        <is>
          <t>2.6.2 SYSTEM FEATURES</t>
        </is>
      </c>
      <c r="F1752" s="18" t="inlineStr">
        <is>
          <t>Malicious Call Trace: Allows users to activate a call trace while engaged in a conversation by solutions such as tagging / identifying potential malicious calls for possible investigation.</t>
        </is>
      </c>
      <c r="G1752" s="19" t="n"/>
      <c r="H1752" s="20" t="n"/>
      <c r="I1752" s="20" t="n"/>
      <c r="J1752" s="19" t="n"/>
      <c r="K1752" s="21" t="n"/>
      <c r="L1752" s="22">
        <f>IF(OR(J1752="",K1752=""),"",J1752*K1752)</f>
        <v/>
      </c>
      <c r="M1752" s="19" t="n"/>
      <c r="N1752" s="20" t="n"/>
      <c r="O1752" s="20" t="n"/>
    </row>
    <row r="1753">
      <c r="A1753" s="23" t="n">
        <v>1750</v>
      </c>
      <c r="B1753" s="23" t="inlineStr">
        <is>
          <t>2.6.2.20.22</t>
        </is>
      </c>
      <c r="C1753" s="25" t="inlineStr">
        <is>
          <t>Part 2 – Technical Systems</t>
        </is>
      </c>
      <c r="D1753" s="25" t="inlineStr">
        <is>
          <t>2.6 IP TELEPHONY (VoIP)</t>
        </is>
      </c>
      <c r="E1753" s="25" t="inlineStr">
        <is>
          <t>2.6.2 SYSTEM FEATURES</t>
        </is>
      </c>
      <c r="F1753" s="25" t="inlineStr">
        <is>
          <t>Message Waiting Indication: Provides for Message Waiting Indication to be activated within the system for analogue and IP Phones.</t>
        </is>
      </c>
      <c r="G1753" s="19" t="n"/>
      <c r="H1753" s="20" t="n"/>
      <c r="I1753" s="20" t="n"/>
      <c r="J1753" s="19" t="n"/>
      <c r="K1753" s="21" t="n"/>
      <c r="L1753" s="22">
        <f>IF(OR(J1753="",K1753=""),"",J1753*K1753)</f>
        <v/>
      </c>
      <c r="M1753" s="19" t="n"/>
      <c r="N1753" s="20" t="n"/>
      <c r="O1753" s="20" t="n"/>
    </row>
    <row r="1754">
      <c r="A1754" s="16" t="n">
        <v>1751</v>
      </c>
      <c r="B1754" s="16" t="inlineStr">
        <is>
          <t>2.6.2.20.23</t>
        </is>
      </c>
      <c r="C1754" s="18" t="inlineStr">
        <is>
          <t>Part 2 – Technical Systems</t>
        </is>
      </c>
      <c r="D1754" s="18" t="inlineStr">
        <is>
          <t>2.6 IP TELEPHONY (VoIP)</t>
        </is>
      </c>
      <c r="E1754" s="18" t="inlineStr">
        <is>
          <t>2.6.2 SYSTEM FEATURES</t>
        </is>
      </c>
      <c r="F1754" s="18" t="inlineStr">
        <is>
          <t>Multi-Language: Arabic and other multiple languages shall be supported by the system for telephone displays.</t>
        </is>
      </c>
      <c r="G1754" s="19" t="n"/>
      <c r="H1754" s="20" t="n"/>
      <c r="I1754" s="20" t="n"/>
      <c r="J1754" s="19" t="n"/>
      <c r="K1754" s="21" t="n"/>
      <c r="L1754" s="22">
        <f>IF(OR(J1754="",K1754=""),"",J1754*K1754)</f>
        <v/>
      </c>
      <c r="M1754" s="19" t="n"/>
      <c r="N1754" s="20" t="n"/>
      <c r="O1754" s="20" t="n"/>
    </row>
    <row r="1755">
      <c r="A1755" s="23" t="n">
        <v>1752</v>
      </c>
      <c r="B1755" s="23" t="inlineStr">
        <is>
          <t>2.6.2.20.24</t>
        </is>
      </c>
      <c r="C1755" s="25" t="inlineStr">
        <is>
          <t>Part 2 – Technical Systems</t>
        </is>
      </c>
      <c r="D1755" s="25" t="inlineStr">
        <is>
          <t>2.6 IP TELEPHONY (VoIP)</t>
        </is>
      </c>
      <c r="E1755" s="25" t="inlineStr">
        <is>
          <t>2.6.2 SYSTEM FEATURES</t>
        </is>
      </c>
      <c r="F1755" s="25" t="inlineStr">
        <is>
          <t>Music on hold: plays music while a call is placed on hold. The system shall support multiple music sources.</t>
        </is>
      </c>
      <c r="G1755" s="19" t="n"/>
      <c r="H1755" s="20" t="n"/>
      <c r="I1755" s="20" t="n"/>
      <c r="J1755" s="19" t="n"/>
      <c r="K1755" s="21" t="n"/>
      <c r="L1755" s="22">
        <f>IF(OR(J1755="",K1755=""),"",J1755*K1755)</f>
        <v/>
      </c>
      <c r="M1755" s="19" t="n"/>
      <c r="N1755" s="20" t="n"/>
      <c r="O1755" s="20" t="n"/>
    </row>
    <row r="1756">
      <c r="A1756" s="16" t="n">
        <v>1753</v>
      </c>
      <c r="B1756" s="16" t="inlineStr">
        <is>
          <t>2.6.2.20.25</t>
        </is>
      </c>
      <c r="C1756" s="18" t="inlineStr">
        <is>
          <t>Part 2 – Technical Systems</t>
        </is>
      </c>
      <c r="D1756" s="18" t="inlineStr">
        <is>
          <t>2.6 IP TELEPHONY (VoIP)</t>
        </is>
      </c>
      <c r="E1756" s="18" t="inlineStr">
        <is>
          <t>2.6.2 SYSTEM FEATURES</t>
        </is>
      </c>
      <c r="F1756" s="18" t="inlineStr">
        <is>
          <t>Override/Barge: Allows a user to enter into an established “bridged” connection. A warning tone is sent to the established connection.</t>
        </is>
      </c>
      <c r="G1756" s="19" t="n"/>
      <c r="H1756" s="20" t="n"/>
      <c r="I1756" s="20" t="n"/>
      <c r="J1756" s="19" t="n"/>
      <c r="K1756" s="21" t="n"/>
      <c r="L1756" s="22">
        <f>IF(OR(J1756="",K1756=""),"",J1756*K1756)</f>
        <v/>
      </c>
      <c r="M1756" s="19" t="n"/>
      <c r="N1756" s="20" t="n"/>
      <c r="O1756" s="20" t="n"/>
    </row>
    <row r="1757">
      <c r="A1757" s="23" t="n">
        <v>1754</v>
      </c>
      <c r="B1757" s="23" t="inlineStr">
        <is>
          <t>2.6.2.20.26</t>
        </is>
      </c>
      <c r="C1757" s="25" t="inlineStr">
        <is>
          <t>Part 2 – Technical Systems</t>
        </is>
      </c>
      <c r="D1757" s="25" t="inlineStr">
        <is>
          <t>2.6 IP TELEPHONY (VoIP)</t>
        </is>
      </c>
      <c r="E1757" s="25" t="inlineStr">
        <is>
          <t>2.6.2 SYSTEM FEATURES</t>
        </is>
      </c>
      <c r="F1757" s="25" t="inlineStr">
        <is>
          <t>Priority Calling: Allows users on a class of service basis to have priority when placing calls through a busy trunk condition.</t>
        </is>
      </c>
      <c r="G1757" s="19" t="n"/>
      <c r="H1757" s="20" t="n"/>
      <c r="I1757" s="20" t="n"/>
      <c r="J1757" s="19" t="n"/>
      <c r="K1757" s="21" t="n"/>
      <c r="L1757" s="22">
        <f>IF(OR(J1757="",K1757=""),"",J1757*K1757)</f>
        <v/>
      </c>
      <c r="M1757" s="19" t="n"/>
      <c r="N1757" s="20" t="n"/>
      <c r="O1757" s="20" t="n"/>
    </row>
    <row r="1758">
      <c r="A1758" s="16" t="n">
        <v>1755</v>
      </c>
      <c r="B1758" s="16" t="inlineStr">
        <is>
          <t>2.6.2.20.27</t>
        </is>
      </c>
      <c r="C1758" s="18" t="inlineStr">
        <is>
          <t>Part 2 – Technical Systems</t>
        </is>
      </c>
      <c r="D1758" s="18" t="inlineStr">
        <is>
          <t>2.6 IP TELEPHONY (VoIP)</t>
        </is>
      </c>
      <c r="E1758" s="18" t="inlineStr">
        <is>
          <t>2.6.2 SYSTEM FEATURES</t>
        </is>
      </c>
      <c r="F1758" s="18" t="inlineStr">
        <is>
          <t>Ring Again: Provides the station user the opportunity, after encountering a busy station, to have the system monitor the station and notify when it becomes free.</t>
        </is>
      </c>
      <c r="G1758" s="19" t="n"/>
      <c r="H1758" s="20" t="n"/>
      <c r="I1758" s="20" t="n"/>
      <c r="J1758" s="19" t="n"/>
      <c r="K1758" s="21" t="n"/>
      <c r="L1758" s="22">
        <f>IF(OR(J1758="",K1758=""),"",J1758*K1758)</f>
        <v/>
      </c>
      <c r="M1758" s="19" t="n"/>
      <c r="N1758" s="20" t="n"/>
      <c r="O1758" s="20" t="n"/>
    </row>
    <row r="1759">
      <c r="A1759" s="23" t="n">
        <v>1756</v>
      </c>
      <c r="B1759" s="23" t="inlineStr">
        <is>
          <t>2.6.2.20.28</t>
        </is>
      </c>
      <c r="C1759" s="25" t="inlineStr">
        <is>
          <t>Part 2 – Technical Systems</t>
        </is>
      </c>
      <c r="D1759" s="25" t="inlineStr">
        <is>
          <t>2.6 IP TELEPHONY (VoIP)</t>
        </is>
      </c>
      <c r="E1759" s="25" t="inlineStr">
        <is>
          <t>2.6.2 SYSTEM FEATURES</t>
        </is>
      </c>
      <c r="F1759" s="25" t="inlineStr">
        <is>
          <t>Station Camp-On/Call Waiting: Allows the attendant and/or a station user to transfer a call to an active station. Caller must hear ringing while the station to which a call is placed hears an audible tone indicating the call waiting.</t>
        </is>
      </c>
      <c r="G1759" s="19" t="n"/>
      <c r="H1759" s="20" t="n"/>
      <c r="I1759" s="20" t="n"/>
      <c r="J1759" s="19" t="n"/>
      <c r="K1759" s="21" t="n"/>
      <c r="L1759" s="22">
        <f>IF(OR(J1759="",K1759=""),"",J1759*K1759)</f>
        <v/>
      </c>
      <c r="M1759" s="19" t="n"/>
      <c r="N1759" s="20" t="n"/>
      <c r="O1759" s="20" t="n"/>
    </row>
    <row r="1760">
      <c r="A1760" s="16" t="n">
        <v>1757</v>
      </c>
      <c r="B1760" s="16" t="inlineStr">
        <is>
          <t>2.6.2.20.29</t>
        </is>
      </c>
      <c r="C1760" s="18" t="inlineStr">
        <is>
          <t>Part 2 – Technical Systems</t>
        </is>
      </c>
      <c r="D1760" s="18" t="inlineStr">
        <is>
          <t>2.6 IP TELEPHONY (VoIP)</t>
        </is>
      </c>
      <c r="E1760" s="18" t="inlineStr">
        <is>
          <t>2.6.2 SYSTEM FEATURES</t>
        </is>
      </c>
      <c r="F1760" s="18" t="inlineStr">
        <is>
          <t>Station Priority Indication: Allows an attendant to selectively answer internal attendant calls on a priority basis.</t>
        </is>
      </c>
      <c r="G1760" s="19" t="n"/>
      <c r="H1760" s="20" t="n"/>
      <c r="I1760" s="20" t="n"/>
      <c r="J1760" s="19" t="n"/>
      <c r="K1760" s="21" t="n"/>
      <c r="L1760" s="22">
        <f>IF(OR(J1760="",K1760=""),"",J1760*K1760)</f>
        <v/>
      </c>
      <c r="M1760" s="19" t="n"/>
      <c r="N1760" s="20" t="n"/>
      <c r="O1760" s="20" t="n"/>
    </row>
    <row r="1761">
      <c r="A1761" s="23" t="n">
        <v>1758</v>
      </c>
      <c r="B1761" s="23" t="inlineStr">
        <is>
          <t>2.6.2.20.30</t>
        </is>
      </c>
      <c r="C1761" s="25" t="inlineStr">
        <is>
          <t>Part 2 – Technical Systems</t>
        </is>
      </c>
      <c r="D1761" s="25" t="inlineStr">
        <is>
          <t>2.6 IP TELEPHONY (VoIP)</t>
        </is>
      </c>
      <c r="E1761" s="25" t="inlineStr">
        <is>
          <t>2.6.2 SYSTEM FEATURES</t>
        </is>
      </c>
      <c r="F1761" s="25" t="inlineStr">
        <is>
          <t>Stored Number Redial: Allows telephones and attendant consoles to store one previously dialed number for automatic re- dialing.</t>
        </is>
      </c>
      <c r="G1761" s="19" t="n"/>
      <c r="H1761" s="20" t="n"/>
      <c r="I1761" s="20" t="n"/>
      <c r="J1761" s="19" t="n"/>
      <c r="K1761" s="21" t="n"/>
      <c r="L1761" s="22">
        <f>IF(OR(J1761="",K1761=""),"",J1761*K1761)</f>
        <v/>
      </c>
      <c r="M1761" s="19" t="n"/>
      <c r="N1761" s="20" t="n"/>
      <c r="O1761" s="20" t="n"/>
    </row>
    <row r="1762">
      <c r="A1762" s="16" t="n">
        <v>1759</v>
      </c>
      <c r="B1762" s="16" t="inlineStr">
        <is>
          <t>2.6.2.20.31</t>
        </is>
      </c>
      <c r="C1762" s="18" t="inlineStr">
        <is>
          <t>Part 2 – Technical Systems</t>
        </is>
      </c>
      <c r="D1762" s="18" t="inlineStr">
        <is>
          <t>2.6 IP TELEPHONY (VoIP)</t>
        </is>
      </c>
      <c r="E1762" s="18" t="inlineStr">
        <is>
          <t>2.6.2 SYSTEM FEATURES</t>
        </is>
      </c>
      <c r="F1762" s="18" t="inlineStr">
        <is>
          <t>Time and Date: shall be displayed on all display telephones.</t>
        </is>
      </c>
      <c r="G1762" s="19" t="n"/>
      <c r="H1762" s="20" t="n"/>
      <c r="I1762" s="20" t="n"/>
      <c r="J1762" s="19" t="n"/>
      <c r="K1762" s="21" t="n"/>
      <c r="L1762" s="22">
        <f>IF(OR(J1762="",K1762=""),"",J1762*K1762)</f>
        <v/>
      </c>
      <c r="M1762" s="19" t="n"/>
      <c r="N1762" s="20" t="n"/>
      <c r="O1762" s="20" t="n"/>
    </row>
    <row r="1763">
      <c r="A1763" s="23" t="n">
        <v>1760</v>
      </c>
      <c r="B1763" s="23" t="inlineStr">
        <is>
          <t>2.6.2.20.32</t>
        </is>
      </c>
      <c r="C1763" s="25" t="inlineStr">
        <is>
          <t>Part 2 – Technical Systems</t>
        </is>
      </c>
      <c r="D1763" s="25" t="inlineStr">
        <is>
          <t>2.6 IP TELEPHONY (VoIP)</t>
        </is>
      </c>
      <c r="E1763" s="25" t="inlineStr">
        <is>
          <t>2.6.2 SYSTEM FEATURES</t>
        </is>
      </c>
      <c r="F1763" s="25" t="inlineStr">
        <is>
          <t>Time and Date Routing: system must have the ability to automatically change the routing of calls and/or the Class of Service of a station on a time and/or date basis, on a class of service basis,</t>
        </is>
      </c>
      <c r="G1763" s="19" t="n"/>
      <c r="H1763" s="20" t="n"/>
      <c r="I1763" s="20" t="n"/>
      <c r="J1763" s="19" t="n"/>
      <c r="K1763" s="21" t="n"/>
      <c r="L1763" s="22">
        <f>IF(OR(J1763="",K1763=""),"",J1763*K1763)</f>
        <v/>
      </c>
      <c r="M1763" s="19" t="n"/>
      <c r="N1763" s="20" t="n"/>
      <c r="O1763" s="20" t="n"/>
    </row>
    <row r="1764">
      <c r="A1764" s="16" t="n">
        <v>1761</v>
      </c>
      <c r="B1764" s="17" t="inlineStr">
        <is>
          <t>2.6.3.1</t>
        </is>
      </c>
      <c r="C1764" s="18" t="inlineStr">
        <is>
          <t>Part 2 – Technical Systems</t>
        </is>
      </c>
      <c r="D1764" s="18" t="inlineStr">
        <is>
          <t>2.6 IP TELEPHONY (VoIP)</t>
        </is>
      </c>
      <c r="E1764" s="18" t="inlineStr">
        <is>
          <t>2.6.3 DIRECT INWARD DIAL (DID)</t>
        </is>
      </c>
      <c r="F1764" s="18" t="inlineStr">
        <is>
          <t>The system shall support DID which allows individual extensions or hunt groups to be contacted by external parties without the need for operator assistance or through the dialing of an extension.</t>
        </is>
      </c>
      <c r="G1764" s="19" t="n"/>
      <c r="H1764" s="20" t="n"/>
      <c r="I1764" s="20" t="n"/>
      <c r="J1764" s="19" t="n"/>
      <c r="K1764" s="21" t="n"/>
      <c r="L1764" s="22">
        <f>IF(OR(J1764="",K1764=""),"",J1764*K1764)</f>
        <v/>
      </c>
      <c r="M1764" s="19" t="n"/>
      <c r="N1764" s="20" t="n"/>
      <c r="O1764" s="20" t="n"/>
    </row>
    <row r="1765">
      <c r="A1765" s="23" t="n">
        <v>1762</v>
      </c>
      <c r="B1765" s="24" t="inlineStr">
        <is>
          <t>2.6.3.2</t>
        </is>
      </c>
      <c r="C1765" s="25" t="inlineStr">
        <is>
          <t>Part 2 – Technical Systems</t>
        </is>
      </c>
      <c r="D1765" s="25" t="inlineStr">
        <is>
          <t>2.6 IP TELEPHONY (VoIP)</t>
        </is>
      </c>
      <c r="E1765" s="25" t="inlineStr">
        <is>
          <t>2.6.3 DIRECT INWARD DIAL (DID)</t>
        </is>
      </c>
      <c r="F1765" s="25" t="inlineStr">
        <is>
          <t>The systems shall support DID numbers in contiguous or non- contiguous blocks.</t>
        </is>
      </c>
      <c r="G1765" s="19" t="n"/>
      <c r="H1765" s="20" t="n"/>
      <c r="I1765" s="20" t="n"/>
      <c r="J1765" s="19" t="n"/>
      <c r="K1765" s="21" t="n"/>
      <c r="L1765" s="22">
        <f>IF(OR(J1765="",K1765=""),"",J1765*K1765)</f>
        <v/>
      </c>
      <c r="M1765" s="19" t="n"/>
      <c r="N1765" s="20" t="n"/>
      <c r="O1765" s="20" t="n"/>
    </row>
    <row r="1766">
      <c r="A1766" s="16" t="n">
        <v>1763</v>
      </c>
      <c r="B1766" s="17" t="inlineStr">
        <is>
          <t>2.6.3.3</t>
        </is>
      </c>
      <c r="C1766" s="18" t="inlineStr">
        <is>
          <t>Part 2 – Technical Systems</t>
        </is>
      </c>
      <c r="D1766" s="18" t="inlineStr">
        <is>
          <t>2.6 IP TELEPHONY (VoIP)</t>
        </is>
      </c>
      <c r="E1766" s="18" t="inlineStr">
        <is>
          <t>2.6.3 DIRECT INWARD DIAL (DID)</t>
        </is>
      </c>
      <c r="F1766" s="18" t="inlineStr">
        <is>
          <t>Where a call is received to a number in a DID range that belongs to the system but has not been assigned to an extension or group it shall be possible to configure how that call is treated. The following configurations shall be possible, as a minimum:</t>
        </is>
      </c>
      <c r="G1766" s="19" t="n"/>
      <c r="H1766" s="20" t="n"/>
      <c r="I1766" s="20" t="n"/>
      <c r="J1766" s="19" t="n"/>
      <c r="K1766" s="21" t="n"/>
      <c r="L1766" s="22">
        <f>IF(OR(J1766="",K1766=""),"",J1766*K1766)</f>
        <v/>
      </c>
      <c r="M1766" s="19" t="n"/>
      <c r="N1766" s="20" t="n"/>
      <c r="O1766" s="20" t="n"/>
    </row>
    <row r="1767">
      <c r="A1767" s="23" t="n">
        <v>1764</v>
      </c>
      <c r="B1767" s="23" t="inlineStr">
        <is>
          <t>2.6.3.3.1</t>
        </is>
      </c>
      <c r="C1767" s="25" t="inlineStr">
        <is>
          <t>Part 2 – Technical Systems</t>
        </is>
      </c>
      <c r="D1767" s="25" t="inlineStr">
        <is>
          <t>2.6 IP TELEPHONY (VoIP)</t>
        </is>
      </c>
      <c r="E1767" s="25" t="inlineStr">
        <is>
          <t>2.6.3 DIRECT INWARD DIAL (DID)</t>
        </is>
      </c>
      <c r="F1767" s="25" t="inlineStr">
        <is>
          <t>Busy</t>
        </is>
      </c>
      <c r="G1767" s="19" t="n"/>
      <c r="H1767" s="20" t="n"/>
      <c r="I1767" s="20" t="n"/>
      <c r="J1767" s="19" t="n"/>
      <c r="K1767" s="21" t="n"/>
      <c r="L1767" s="22">
        <f>IF(OR(J1767="",K1767=""),"",J1767*K1767)</f>
        <v/>
      </c>
      <c r="M1767" s="19" t="n"/>
      <c r="N1767" s="20" t="n"/>
      <c r="O1767" s="20" t="n"/>
    </row>
    <row r="1768">
      <c r="A1768" s="16" t="n">
        <v>1765</v>
      </c>
      <c r="B1768" s="16" t="inlineStr">
        <is>
          <t>2.6.3.3.2</t>
        </is>
      </c>
      <c r="C1768" s="18" t="inlineStr">
        <is>
          <t>Part 2 – Technical Systems</t>
        </is>
      </c>
      <c r="D1768" s="18" t="inlineStr">
        <is>
          <t>2.6 IP TELEPHONY (VoIP)</t>
        </is>
      </c>
      <c r="E1768" s="18" t="inlineStr">
        <is>
          <t>2.6.3 DIRECT INWARD DIAL (DID)</t>
        </is>
      </c>
      <c r="F1768" s="18" t="inlineStr">
        <is>
          <t>Presentation to an operator</t>
        </is>
      </c>
      <c r="G1768" s="19" t="n"/>
      <c r="H1768" s="20" t="n"/>
      <c r="I1768" s="20" t="n"/>
      <c r="J1768" s="19" t="n"/>
      <c r="K1768" s="21" t="n"/>
      <c r="L1768" s="22">
        <f>IF(OR(J1768="",K1768=""),"",J1768*K1768)</f>
        <v/>
      </c>
      <c r="M1768" s="19" t="n"/>
      <c r="N1768" s="20" t="n"/>
      <c r="O1768" s="20" t="n"/>
    </row>
    <row r="1769">
      <c r="A1769" s="23" t="n">
        <v>1766</v>
      </c>
      <c r="B1769" s="23" t="inlineStr">
        <is>
          <t>2.6.3.3.3</t>
        </is>
      </c>
      <c r="C1769" s="25" t="inlineStr">
        <is>
          <t>Part 2 – Technical Systems</t>
        </is>
      </c>
      <c r="D1769" s="25" t="inlineStr">
        <is>
          <t>2.6 IP TELEPHONY (VoIP)</t>
        </is>
      </c>
      <c r="E1769" s="25" t="inlineStr">
        <is>
          <t>2.6.3 DIRECT INWARD DIAL (DID)</t>
        </is>
      </c>
      <c r="F1769" s="25" t="inlineStr">
        <is>
          <t>Presentation on an extension or group</t>
        </is>
      </c>
      <c r="G1769" s="19" t="n"/>
      <c r="H1769" s="20" t="n"/>
      <c r="I1769" s="20" t="n"/>
      <c r="J1769" s="19" t="n"/>
      <c r="K1769" s="21" t="n"/>
      <c r="L1769" s="22">
        <f>IF(OR(J1769="",K1769=""),"",J1769*K1769)</f>
        <v/>
      </c>
      <c r="M1769" s="19" t="n"/>
      <c r="N1769" s="20" t="n"/>
      <c r="O1769" s="20" t="n"/>
    </row>
    <row r="1770">
      <c r="A1770" s="16" t="n">
        <v>1767</v>
      </c>
      <c r="B1770" s="17" t="inlineStr">
        <is>
          <t>2.6.4.1</t>
        </is>
      </c>
      <c r="C1770" s="18" t="inlineStr">
        <is>
          <t>Part 2 – Technical Systems</t>
        </is>
      </c>
      <c r="D1770" s="18" t="inlineStr">
        <is>
          <t>2.6 IP TELEPHONY (VoIP)</t>
        </is>
      </c>
      <c r="E1770" s="18" t="inlineStr">
        <is>
          <t>2.6.4 TELEPHONE HANDSETS</t>
        </is>
      </c>
      <c r="F1770" s="18" t="inlineStr">
        <is>
          <t>The BIDDER shall propose two types of handsets – basic and advanced.</t>
        </is>
      </c>
      <c r="G1770" s="19" t="n"/>
      <c r="H1770" s="20" t="n"/>
      <c r="I1770" s="20" t="n"/>
      <c r="J1770" s="19" t="n"/>
      <c r="K1770" s="21" t="n"/>
      <c r="L1770" s="22">
        <f>IF(OR(J1770="",K1770=""),"",J1770*K1770)</f>
        <v/>
      </c>
      <c r="M1770" s="19" t="n"/>
      <c r="N1770" s="20" t="n"/>
      <c r="O1770" s="20" t="n"/>
    </row>
    <row r="1771">
      <c r="A1771" s="23" t="n">
        <v>1768</v>
      </c>
      <c r="B1771" s="24" t="inlineStr">
        <is>
          <t>2.6.4.2</t>
        </is>
      </c>
      <c r="C1771" s="25" t="inlineStr">
        <is>
          <t>Part 2 – Technical Systems</t>
        </is>
      </c>
      <c r="D1771" s="25" t="inlineStr">
        <is>
          <t>2.6 IP TELEPHONY (VoIP)</t>
        </is>
      </c>
      <c r="E1771" s="25" t="inlineStr">
        <is>
          <t>2.6.4 TELEPHONE HANDSETS</t>
        </is>
      </c>
      <c r="F1771" s="25" t="inlineStr">
        <is>
          <t>The CONTRACTOR shall deliver basic handsets that shall have the following features and capability as a minimum:</t>
        </is>
      </c>
      <c r="G1771" s="19" t="n"/>
      <c r="H1771" s="20" t="n"/>
      <c r="I1771" s="20" t="n"/>
      <c r="J1771" s="19" t="n"/>
      <c r="K1771" s="21" t="n"/>
      <c r="L1771" s="22">
        <f>IF(OR(J1771="",K1771=""),"",J1771*K1771)</f>
        <v/>
      </c>
      <c r="M1771" s="19" t="n"/>
      <c r="N1771" s="20" t="n"/>
      <c r="O1771" s="20" t="n"/>
    </row>
    <row r="1772">
      <c r="A1772" s="16" t="n">
        <v>1769</v>
      </c>
      <c r="B1772" s="16" t="inlineStr">
        <is>
          <t>2.6.4.2.1</t>
        </is>
      </c>
      <c r="C1772" s="18" t="inlineStr">
        <is>
          <t>Part 2 – Technical Systems</t>
        </is>
      </c>
      <c r="D1772" s="18" t="inlineStr">
        <is>
          <t>2.6 IP TELEPHONY (VoIP)</t>
        </is>
      </c>
      <c r="E1772" s="18" t="inlineStr">
        <is>
          <t>2.6.4 TELEPHONE HANDSETS</t>
        </is>
      </c>
      <c r="F1772" s="18" t="inlineStr">
        <is>
          <t>Keypad in order to place calls</t>
        </is>
      </c>
      <c r="G1772" s="19" t="n"/>
      <c r="H1772" s="20" t="n"/>
      <c r="I1772" s="20" t="n"/>
      <c r="J1772" s="19" t="n"/>
      <c r="K1772" s="21" t="n"/>
      <c r="L1772" s="22">
        <f>IF(OR(J1772="",K1772=""),"",J1772*K1772)</f>
        <v/>
      </c>
      <c r="M1772" s="19" t="n"/>
      <c r="N1772" s="20" t="n"/>
      <c r="O1772" s="20" t="n"/>
    </row>
    <row r="1773">
      <c r="A1773" s="23" t="n">
        <v>1770</v>
      </c>
      <c r="B1773" s="23" t="inlineStr">
        <is>
          <t>2.6.4.2.2</t>
        </is>
      </c>
      <c r="C1773" s="25" t="inlineStr">
        <is>
          <t>Part 2 – Technical Systems</t>
        </is>
      </c>
      <c r="D1773" s="25" t="inlineStr">
        <is>
          <t>2.6 IP TELEPHONY (VoIP)</t>
        </is>
      </c>
      <c r="E1773" s="25" t="inlineStr">
        <is>
          <t>2.6.4 TELEPHONE HANDSETS</t>
        </is>
      </c>
      <c r="F1773" s="25" t="inlineStr">
        <is>
          <t>A single line display for the display of a name and/or CLI</t>
        </is>
      </c>
      <c r="G1773" s="19" t="n"/>
      <c r="H1773" s="20" t="n"/>
      <c r="I1773" s="20" t="n"/>
      <c r="J1773" s="19" t="n"/>
      <c r="K1773" s="21" t="n"/>
      <c r="L1773" s="22">
        <f>IF(OR(J1773="",K1773=""),"",J1773*K1773)</f>
        <v/>
      </c>
      <c r="M1773" s="19" t="n"/>
      <c r="N1773" s="20" t="n"/>
      <c r="O1773" s="20" t="n"/>
    </row>
    <row r="1774">
      <c r="A1774" s="16" t="n">
        <v>1771</v>
      </c>
      <c r="B1774" s="16" t="inlineStr">
        <is>
          <t>2.6.4.2.3</t>
        </is>
      </c>
      <c r="C1774" s="18" t="inlineStr">
        <is>
          <t>Part 2 – Technical Systems</t>
        </is>
      </c>
      <c r="D1774" s="18" t="inlineStr">
        <is>
          <t>2.6 IP TELEPHONY (VoIP)</t>
        </is>
      </c>
      <c r="E1774" s="18" t="inlineStr">
        <is>
          <t>2.6.4 TELEPHONE HANDSETS</t>
        </is>
      </c>
      <c r="F1774" s="18" t="inlineStr">
        <is>
          <t>Support for the connection of a headset</t>
        </is>
      </c>
      <c r="G1774" s="19" t="n"/>
      <c r="H1774" s="20" t="n"/>
      <c r="I1774" s="20" t="n"/>
      <c r="J1774" s="19" t="n"/>
      <c r="K1774" s="21" t="n"/>
      <c r="L1774" s="22">
        <f>IF(OR(J1774="",K1774=""),"",J1774*K1774)</f>
        <v/>
      </c>
      <c r="M1774" s="19" t="n"/>
      <c r="N1774" s="20" t="n"/>
      <c r="O1774" s="20" t="n"/>
    </row>
    <row r="1775">
      <c r="A1775" s="23" t="n">
        <v>1772</v>
      </c>
      <c r="B1775" s="24" t="inlineStr">
        <is>
          <t>2.6.4.3</t>
        </is>
      </c>
      <c r="C1775" s="25" t="inlineStr">
        <is>
          <t>Part 2 – Technical Systems</t>
        </is>
      </c>
      <c r="D1775" s="25" t="inlineStr">
        <is>
          <t>2.6 IP TELEPHONY (VoIP)</t>
        </is>
      </c>
      <c r="E1775" s="25" t="inlineStr">
        <is>
          <t>2.6.4 TELEPHONE HANDSETS</t>
        </is>
      </c>
      <c r="F1775" s="25" t="inlineStr">
        <is>
          <t>The CONTRACTOR shall deliver advanced handsets that shall have the following features and capability in addition to those of the basic handset:</t>
        </is>
      </c>
      <c r="G1775" s="19" t="n"/>
      <c r="H1775" s="20" t="n"/>
      <c r="I1775" s="20" t="n"/>
      <c r="J1775" s="19" t="n"/>
      <c r="K1775" s="21" t="n"/>
      <c r="L1775" s="22">
        <f>IF(OR(J1775="",K1775=""),"",J1775*K1775)</f>
        <v/>
      </c>
      <c r="M1775" s="19" t="n"/>
      <c r="N1775" s="20" t="n"/>
      <c r="O1775" s="20" t="n"/>
    </row>
    <row r="1776">
      <c r="A1776" s="16" t="n">
        <v>1773</v>
      </c>
      <c r="B1776" s="16" t="inlineStr">
        <is>
          <t>2.6.4.3.1</t>
        </is>
      </c>
      <c r="C1776" s="18" t="inlineStr">
        <is>
          <t>Part 2 – Technical Systems</t>
        </is>
      </c>
      <c r="D1776" s="18" t="inlineStr">
        <is>
          <t>2.6 IP TELEPHONY (VoIP)</t>
        </is>
      </c>
      <c r="E1776" s="18" t="inlineStr">
        <is>
          <t>2.6.4 TELEPHONE HANDSETS</t>
        </is>
      </c>
      <c r="F1776" s="18" t="inlineStr">
        <is>
          <t>Hands free operation</t>
        </is>
      </c>
      <c r="G1776" s="19" t="n"/>
      <c r="H1776" s="20" t="n"/>
      <c r="I1776" s="20" t="n"/>
      <c r="J1776" s="19" t="n"/>
      <c r="K1776" s="21" t="n"/>
      <c r="L1776" s="22">
        <f>IF(OR(J1776="",K1776=""),"",J1776*K1776)</f>
        <v/>
      </c>
      <c r="M1776" s="19" t="n"/>
      <c r="N1776" s="20" t="n"/>
      <c r="O1776" s="20" t="n"/>
    </row>
    <row r="1777">
      <c r="A1777" s="23" t="n">
        <v>1774</v>
      </c>
      <c r="B1777" s="23" t="inlineStr">
        <is>
          <t>2.6.4.3.2</t>
        </is>
      </c>
      <c r="C1777" s="25" t="inlineStr">
        <is>
          <t>Part 2 – Technical Systems</t>
        </is>
      </c>
      <c r="D1777" s="25" t="inlineStr">
        <is>
          <t>2.6 IP TELEPHONY (VoIP)</t>
        </is>
      </c>
      <c r="E1777" s="25" t="inlineStr">
        <is>
          <t>2.6.4 TELEPHONE HANDSETS</t>
        </is>
      </c>
      <c r="F1777" s="25" t="inlineStr">
        <is>
          <t>A minimum of 8 configurable buttons that can be programmed with features or as line keys with corresponding status indicators</t>
        </is>
      </c>
      <c r="G1777" s="19" t="n"/>
      <c r="H1777" s="20" t="n"/>
      <c r="I1777" s="20" t="n"/>
      <c r="J1777" s="19" t="n"/>
      <c r="K1777" s="21" t="n"/>
      <c r="L1777" s="22">
        <f>IF(OR(J1777="",K1777=""),"",J1777*K1777)</f>
        <v/>
      </c>
      <c r="M1777" s="19" t="n"/>
      <c r="N1777" s="20" t="n"/>
      <c r="O1777" s="20" t="n"/>
    </row>
    <row r="1778">
      <c r="A1778" s="16" t="n">
        <v>1775</v>
      </c>
      <c r="B1778" s="16" t="inlineStr">
        <is>
          <t>2.6.4.3.3</t>
        </is>
      </c>
      <c r="C1778" s="18" t="inlineStr">
        <is>
          <t>Part 2 – Technical Systems</t>
        </is>
      </c>
      <c r="D1778" s="18" t="inlineStr">
        <is>
          <t>2.6 IP TELEPHONY (VoIP)</t>
        </is>
      </c>
      <c r="E1778" s="18" t="inlineStr">
        <is>
          <t>2.6.4 TELEPHONE HANDSETS</t>
        </is>
      </c>
      <c r="F1778" s="18" t="inlineStr">
        <is>
          <t>Shall support manager/secretary features</t>
        </is>
      </c>
      <c r="G1778" s="19" t="n"/>
      <c r="H1778" s="20" t="n"/>
      <c r="I1778" s="20" t="n"/>
      <c r="J1778" s="19" t="n"/>
      <c r="K1778" s="21" t="n"/>
      <c r="L1778" s="22">
        <f>IF(OR(J1778="",K1778=""),"",J1778*K1778)</f>
        <v/>
      </c>
      <c r="M1778" s="19" t="n"/>
      <c r="N1778" s="20" t="n"/>
      <c r="O1778" s="20" t="n"/>
    </row>
    <row r="1779">
      <c r="A1779" s="23" t="n">
        <v>1776</v>
      </c>
      <c r="B1779" s="24" t="inlineStr">
        <is>
          <t>2.6.5.1</t>
        </is>
      </c>
      <c r="C1779" s="25" t="inlineStr">
        <is>
          <t>Part 2 – Technical Systems</t>
        </is>
      </c>
      <c r="D1779" s="25" t="inlineStr">
        <is>
          <t>2.6 IP TELEPHONY (VoIP)</t>
        </is>
      </c>
      <c r="E1779" s="25" t="inlineStr">
        <is>
          <t>2.6.5 ATTENDANT CONSOLE</t>
        </is>
      </c>
      <c r="F1779" s="25" t="inlineStr">
        <is>
          <t>The telephony system shall be supplied with both Auto Attendant and human operator attendant console(s)</t>
        </is>
      </c>
      <c r="G1779" s="19" t="n"/>
      <c r="H1779" s="20" t="n"/>
      <c r="I1779" s="20" t="n"/>
      <c r="J1779" s="19" t="n"/>
      <c r="K1779" s="21" t="n"/>
      <c r="L1779" s="22">
        <f>IF(OR(J1779="",K1779=""),"",J1779*K1779)</f>
        <v/>
      </c>
      <c r="M1779" s="19" t="n"/>
      <c r="N1779" s="20" t="n"/>
      <c r="O1779" s="20" t="n"/>
    </row>
    <row r="1780">
      <c r="A1780" s="16" t="n">
        <v>1777</v>
      </c>
      <c r="B1780" s="17" t="inlineStr">
        <is>
          <t>2.6.5.2</t>
        </is>
      </c>
      <c r="C1780" s="18" t="inlineStr">
        <is>
          <t>Part 2 – Technical Systems</t>
        </is>
      </c>
      <c r="D1780" s="18" t="inlineStr">
        <is>
          <t>2.6 IP TELEPHONY (VoIP)</t>
        </is>
      </c>
      <c r="E1780" s="18" t="inlineStr">
        <is>
          <t>2.6.5 ATTENDANT CONSOLE</t>
        </is>
      </c>
      <c r="F1780" s="18" t="inlineStr">
        <is>
          <t>The Auto Attendant shall be customizable and shall be able, as a minimum to provide automated call handling and routing by name or extension number or transfer to human attendant operators.</t>
        </is>
      </c>
      <c r="G1780" s="19" t="n"/>
      <c r="H1780" s="20" t="n"/>
      <c r="I1780" s="20" t="n"/>
      <c r="J1780" s="19" t="n"/>
      <c r="K1780" s="21" t="n"/>
      <c r="L1780" s="22">
        <f>IF(OR(J1780="",K1780=""),"",J1780*K1780)</f>
        <v/>
      </c>
      <c r="M1780" s="19" t="n"/>
      <c r="N1780" s="20" t="n"/>
      <c r="O1780" s="20" t="n"/>
    </row>
    <row r="1781">
      <c r="A1781" s="23" t="n">
        <v>1778</v>
      </c>
      <c r="B1781" s="24" t="inlineStr">
        <is>
          <t>2.6.5.3</t>
        </is>
      </c>
      <c r="C1781" s="25" t="inlineStr">
        <is>
          <t>Part 2 – Technical Systems</t>
        </is>
      </c>
      <c r="D1781" s="25" t="inlineStr">
        <is>
          <t>2.6 IP TELEPHONY (VoIP)</t>
        </is>
      </c>
      <c r="E1781" s="25" t="inlineStr">
        <is>
          <t>2.6.5 ATTENDANT CONSOLE</t>
        </is>
      </c>
      <c r="F1781" s="25" t="inlineStr">
        <is>
          <t>The attendant console shall support the following features by default and as a minimum:</t>
        </is>
      </c>
      <c r="G1781" s="19" t="n"/>
      <c r="H1781" s="20" t="n"/>
      <c r="I1781" s="20" t="n"/>
      <c r="J1781" s="19" t="n"/>
      <c r="K1781" s="21" t="n"/>
      <c r="L1781" s="22">
        <f>IF(OR(J1781="",K1781=""),"",J1781*K1781)</f>
        <v/>
      </c>
      <c r="M1781" s="19" t="n"/>
      <c r="N1781" s="20" t="n"/>
      <c r="O1781" s="20" t="n"/>
    </row>
    <row r="1782">
      <c r="A1782" s="16" t="n">
        <v>1779</v>
      </c>
      <c r="B1782" s="16" t="inlineStr">
        <is>
          <t>2.6.5.3.1</t>
        </is>
      </c>
      <c r="C1782" s="18" t="inlineStr">
        <is>
          <t>Part 2 – Technical Systems</t>
        </is>
      </c>
      <c r="D1782" s="18" t="inlineStr">
        <is>
          <t>2.6 IP TELEPHONY (VoIP)</t>
        </is>
      </c>
      <c r="E1782" s="18" t="inlineStr">
        <is>
          <t>2.6.5 ATTENDANT CONSOLE</t>
        </is>
      </c>
      <c r="F1782" s="18" t="inlineStr">
        <is>
          <t>Answering and holding of multiple calls at the console</t>
        </is>
      </c>
      <c r="G1782" s="19" t="n"/>
      <c r="H1782" s="20" t="n"/>
      <c r="I1782" s="20" t="n"/>
      <c r="J1782" s="19" t="n"/>
      <c r="K1782" s="21" t="n"/>
      <c r="L1782" s="22">
        <f>IF(OR(J1782="",K1782=""),"",J1782*K1782)</f>
        <v/>
      </c>
      <c r="M1782" s="19" t="n"/>
      <c r="N1782" s="20" t="n"/>
      <c r="O1782" s="20" t="n"/>
    </row>
    <row r="1783">
      <c r="A1783" s="23" t="n">
        <v>1780</v>
      </c>
      <c r="B1783" s="23" t="inlineStr">
        <is>
          <t>2.6.5.3.2</t>
        </is>
      </c>
      <c r="C1783" s="25" t="inlineStr">
        <is>
          <t>Part 2 – Technical Systems</t>
        </is>
      </c>
      <c r="D1783" s="25" t="inlineStr">
        <is>
          <t>2.6 IP TELEPHONY (VoIP)</t>
        </is>
      </c>
      <c r="E1783" s="25" t="inlineStr">
        <is>
          <t>2.6.5 ATTENDANT CONSOLE</t>
        </is>
      </c>
      <c r="F1783" s="25" t="inlineStr">
        <is>
          <t>Dialing by name or extension numbers</t>
        </is>
      </c>
      <c r="G1783" s="19" t="n"/>
      <c r="H1783" s="20" t="n"/>
      <c r="I1783" s="20" t="n"/>
      <c r="J1783" s="19" t="n"/>
      <c r="K1783" s="21" t="n"/>
      <c r="L1783" s="22">
        <f>IF(OR(J1783="",K1783=""),"",J1783*K1783)</f>
        <v/>
      </c>
      <c r="M1783" s="19" t="n"/>
      <c r="N1783" s="20" t="n"/>
      <c r="O1783" s="20" t="n"/>
    </row>
    <row r="1784">
      <c r="A1784" s="16" t="n">
        <v>1781</v>
      </c>
      <c r="B1784" s="16" t="inlineStr">
        <is>
          <t>2.6.5.3.3</t>
        </is>
      </c>
      <c r="C1784" s="18" t="inlineStr">
        <is>
          <t>Part 2 – Technical Systems</t>
        </is>
      </c>
      <c r="D1784" s="18" t="inlineStr">
        <is>
          <t>2.6 IP TELEPHONY (VoIP)</t>
        </is>
      </c>
      <c r="E1784" s="18" t="inlineStr">
        <is>
          <t>2.6.5 ATTENDANT CONSOLE</t>
        </is>
      </c>
      <c r="F1784" s="18" t="inlineStr">
        <is>
          <t>Programmable hot keys for commonly accessed number, groups and features</t>
        </is>
      </c>
      <c r="G1784" s="19" t="n"/>
      <c r="H1784" s="20" t="n"/>
      <c r="I1784" s="20" t="n"/>
      <c r="J1784" s="19" t="n"/>
      <c r="K1784" s="21" t="n"/>
      <c r="L1784" s="22">
        <f>IF(OR(J1784="",K1784=""),"",J1784*K1784)</f>
        <v/>
      </c>
      <c r="M1784" s="19" t="n"/>
      <c r="N1784" s="20" t="n"/>
      <c r="O1784" s="20" t="n"/>
    </row>
    <row r="1785">
      <c r="A1785" s="23" t="n">
        <v>1782</v>
      </c>
      <c r="B1785" s="23" t="inlineStr">
        <is>
          <t>2.6.5.3.4</t>
        </is>
      </c>
      <c r="C1785" s="25" t="inlineStr">
        <is>
          <t>Part 2 – Technical Systems</t>
        </is>
      </c>
      <c r="D1785" s="25" t="inlineStr">
        <is>
          <t>2.6 IP TELEPHONY (VoIP)</t>
        </is>
      </c>
      <c r="E1785" s="25" t="inlineStr">
        <is>
          <t>2.6.5 ATTENDANT CONSOLE</t>
        </is>
      </c>
      <c r="F1785" s="25" t="inlineStr">
        <is>
          <t>Night service feature</t>
        </is>
      </c>
      <c r="G1785" s="19" t="n"/>
      <c r="H1785" s="20" t="n"/>
      <c r="I1785" s="20" t="n"/>
      <c r="J1785" s="19" t="n"/>
      <c r="K1785" s="21" t="n"/>
      <c r="L1785" s="22">
        <f>IF(OR(J1785="",K1785=""),"",J1785*K1785)</f>
        <v/>
      </c>
      <c r="M1785" s="19" t="n"/>
      <c r="N1785" s="20" t="n"/>
      <c r="O1785" s="20" t="n"/>
    </row>
    <row r="1786">
      <c r="A1786" s="16" t="n">
        <v>1783</v>
      </c>
      <c r="B1786" s="16" t="inlineStr">
        <is>
          <t>2.6.5.3.5</t>
        </is>
      </c>
      <c r="C1786" s="18" t="inlineStr">
        <is>
          <t>Part 2 – Technical Systems</t>
        </is>
      </c>
      <c r="D1786" s="18" t="inlineStr">
        <is>
          <t>2.6 IP TELEPHONY (VoIP)</t>
        </is>
      </c>
      <c r="E1786" s="18" t="inlineStr">
        <is>
          <t>2.6.5 ATTENDANT CONSOLE</t>
        </is>
      </c>
      <c r="F1786" s="18" t="inlineStr">
        <is>
          <t>System alarm notification</t>
        </is>
      </c>
      <c r="G1786" s="19" t="n"/>
      <c r="H1786" s="20" t="n"/>
      <c r="I1786" s="20" t="n"/>
      <c r="J1786" s="19" t="n"/>
      <c r="K1786" s="21" t="n"/>
      <c r="L1786" s="22">
        <f>IF(OR(J1786="",K1786=""),"",J1786*K1786)</f>
        <v/>
      </c>
      <c r="M1786" s="19" t="n"/>
      <c r="N1786" s="20" t="n"/>
      <c r="O1786" s="20" t="n"/>
    </row>
    <row r="1787">
      <c r="A1787" s="23" t="n">
        <v>1784</v>
      </c>
      <c r="B1787" s="23" t="inlineStr">
        <is>
          <t>2.6.5.3.6</t>
        </is>
      </c>
      <c r="C1787" s="25" t="inlineStr">
        <is>
          <t>Part 2 – Technical Systems</t>
        </is>
      </c>
      <c r="D1787" s="25" t="inlineStr">
        <is>
          <t>2.6 IP TELEPHONY (VoIP)</t>
        </is>
      </c>
      <c r="E1787" s="25" t="inlineStr">
        <is>
          <t>2.6.5 ATTENDANT CONSOLE</t>
        </is>
      </c>
      <c r="F1787" s="25" t="inlineStr">
        <is>
          <t>Operator override and interruption on busy lines (this feature shall include a warning tone of the interruption to the called user)</t>
        </is>
      </c>
      <c r="G1787" s="19" t="n"/>
      <c r="H1787" s="20" t="n"/>
      <c r="I1787" s="20" t="n"/>
      <c r="J1787" s="19" t="n"/>
      <c r="K1787" s="21" t="n"/>
      <c r="L1787" s="22">
        <f>IF(OR(J1787="",K1787=""),"",J1787*K1787)</f>
        <v/>
      </c>
      <c r="M1787" s="19" t="n"/>
      <c r="N1787" s="20" t="n"/>
      <c r="O1787" s="20" t="n"/>
    </row>
    <row r="1788">
      <c r="A1788" s="16" t="n">
        <v>1785</v>
      </c>
      <c r="B1788" s="17" t="inlineStr">
        <is>
          <t>2.6.5.4</t>
        </is>
      </c>
      <c r="C1788" s="18" t="inlineStr">
        <is>
          <t>Part 2 – Technical Systems</t>
        </is>
      </c>
      <c r="D1788" s="18" t="inlineStr">
        <is>
          <t>2.6 IP TELEPHONY (VoIP)</t>
        </is>
      </c>
      <c r="E1788" s="18" t="inlineStr">
        <is>
          <t>2.6.5 ATTENDANT CONSOLE</t>
        </is>
      </c>
      <c r="F1788" s="18" t="inlineStr">
        <is>
          <t>It shall be possible to use ordinary telephones on the system as back up or overflow consoles to provide the basic operator call handling features.</t>
        </is>
      </c>
      <c r="G1788" s="19" t="n"/>
      <c r="H1788" s="20" t="n"/>
      <c r="I1788" s="20" t="n"/>
      <c r="J1788" s="19" t="n"/>
      <c r="K1788" s="21" t="n"/>
      <c r="L1788" s="22">
        <f>IF(OR(J1788="",K1788=""),"",J1788*K1788)</f>
        <v/>
      </c>
      <c r="M1788" s="19" t="n"/>
      <c r="N1788" s="20" t="n"/>
      <c r="O1788" s="20" t="n"/>
    </row>
    <row r="1789">
      <c r="A1789" s="23" t="n">
        <v>1786</v>
      </c>
      <c r="B1789" s="24" t="inlineStr">
        <is>
          <t>2.6.6.1</t>
        </is>
      </c>
      <c r="C1789" s="25" t="inlineStr">
        <is>
          <t>Part 2 – Technical Systems</t>
        </is>
      </c>
      <c r="D1789" s="25" t="inlineStr">
        <is>
          <t>2.6 IP TELEPHONY (VoIP)</t>
        </is>
      </c>
      <c r="E1789" s="25" t="inlineStr">
        <is>
          <t>2.6.6 SYSTEM ADMINISTRATION</t>
        </is>
      </c>
      <c r="F1789" s="25" t="inlineStr">
        <is>
          <t>The following shall be implemented by the CONTRACTOR.</t>
        </is>
      </c>
      <c r="G1789" s="19" t="n"/>
      <c r="H1789" s="20" t="n"/>
      <c r="I1789" s="20" t="n"/>
      <c r="J1789" s="19" t="n"/>
      <c r="K1789" s="21" t="n"/>
      <c r="L1789" s="22">
        <f>IF(OR(J1789="",K1789=""),"",J1789*K1789)</f>
        <v/>
      </c>
      <c r="M1789" s="19" t="n"/>
      <c r="N1789" s="20" t="n"/>
      <c r="O1789" s="20" t="n"/>
    </row>
    <row r="1790">
      <c r="A1790" s="16" t="n">
        <v>1787</v>
      </c>
      <c r="B1790" s="16" t="inlineStr">
        <is>
          <t>2.6.6.1.1</t>
        </is>
      </c>
      <c r="C1790" s="18" t="inlineStr">
        <is>
          <t>Part 2 – Technical Systems</t>
        </is>
      </c>
      <c r="D1790" s="18" t="inlineStr">
        <is>
          <t>2.6 IP TELEPHONY (VoIP)</t>
        </is>
      </c>
      <c r="E1790" s="18" t="inlineStr">
        <is>
          <t>2.6.6 SYSTEM ADMINISTRATION</t>
        </is>
      </c>
      <c r="F1790" s="18" t="inlineStr">
        <is>
          <t>A browser-based administration system that is accessible from any workstation on the LAN/WAN shall be provided as part of the system. It shall include all hardware and software for proper operation.</t>
        </is>
      </c>
      <c r="G1790" s="19" t="n"/>
      <c r="H1790" s="20" t="n"/>
      <c r="I1790" s="20" t="n"/>
      <c r="J1790" s="19" t="n"/>
      <c r="K1790" s="21" t="n"/>
      <c r="L1790" s="22">
        <f>IF(OR(J1790="",K1790=""),"",J1790*K1790)</f>
        <v/>
      </c>
      <c r="M1790" s="19" t="n"/>
      <c r="N1790" s="20" t="n"/>
      <c r="O1790" s="20" t="n"/>
    </row>
    <row r="1791">
      <c r="A1791" s="23" t="n">
        <v>1788</v>
      </c>
      <c r="B1791" s="23" t="inlineStr">
        <is>
          <t>2.6.6.1.2</t>
        </is>
      </c>
      <c r="C1791" s="25" t="inlineStr">
        <is>
          <t>Part 2 – Technical Systems</t>
        </is>
      </c>
      <c r="D1791" s="25" t="inlineStr">
        <is>
          <t>2.6 IP TELEPHONY (VoIP)</t>
        </is>
      </c>
      <c r="E1791" s="25" t="inlineStr">
        <is>
          <t>2.6.6 SYSTEM ADMINISTRATION</t>
        </is>
      </c>
      <c r="F1791" s="25" t="inlineStr">
        <is>
          <t>The systems shall support remote administration via a secure connection through an MOI-approved remote connection mechanism and with appropriate credentials.</t>
        </is>
      </c>
      <c r="G1791" s="19" t="n"/>
      <c r="H1791" s="20" t="n"/>
      <c r="I1791" s="20" t="n"/>
      <c r="J1791" s="19" t="n"/>
      <c r="K1791" s="21" t="n"/>
      <c r="L1791" s="22">
        <f>IF(OR(J1791="",K1791=""),"",J1791*K1791)</f>
        <v/>
      </c>
      <c r="M1791" s="19" t="n"/>
      <c r="N1791" s="20" t="n"/>
      <c r="O1791" s="20" t="n"/>
    </row>
    <row r="1792">
      <c r="A1792" s="16" t="n">
        <v>1789</v>
      </c>
      <c r="B1792" s="16" t="inlineStr">
        <is>
          <t>2.6.6.1.3</t>
        </is>
      </c>
      <c r="C1792" s="18" t="inlineStr">
        <is>
          <t>Part 2 – Technical Systems</t>
        </is>
      </c>
      <c r="D1792" s="18" t="inlineStr">
        <is>
          <t>2.6 IP TELEPHONY (VoIP)</t>
        </is>
      </c>
      <c r="E1792" s="18" t="inlineStr">
        <is>
          <t>2.6.6 SYSTEM ADMINISTRATION</t>
        </is>
      </c>
      <c r="F1792" s="18" t="inlineStr">
        <is>
          <t>File Exports: Allows the export of system data in an industry standard format for use with MOI provided programs. Please describe any formats that are available.</t>
        </is>
      </c>
      <c r="G1792" s="19" t="n"/>
      <c r="H1792" s="20" t="n"/>
      <c r="I1792" s="20" t="n"/>
      <c r="J1792" s="19" t="n"/>
      <c r="K1792" s="21" t="n"/>
      <c r="L1792" s="22">
        <f>IF(OR(J1792="",K1792=""),"",J1792*K1792)</f>
        <v/>
      </c>
      <c r="M1792" s="19" t="n"/>
      <c r="N1792" s="20" t="n"/>
      <c r="O1792" s="20" t="n"/>
    </row>
    <row r="1793">
      <c r="A1793" s="23" t="n">
        <v>1790</v>
      </c>
      <c r="B1793" s="23" t="inlineStr">
        <is>
          <t>2.6.6.1.4</t>
        </is>
      </c>
      <c r="C1793" s="25" t="inlineStr">
        <is>
          <t>Part 2 – Technical Systems</t>
        </is>
      </c>
      <c r="D1793" s="25" t="inlineStr">
        <is>
          <t>2.6 IP TELEPHONY (VoIP)</t>
        </is>
      </c>
      <c r="E1793" s="25" t="inlineStr">
        <is>
          <t>2.6.6 SYSTEM ADMINISTRATION</t>
        </is>
      </c>
      <c r="F1793" s="25" t="inlineStr">
        <is>
          <t>Designation Strip Printing: Permits the system administrator to automatically print designation strips for the administered system’s telephones. Preference is for a solution where this is not necessary.</t>
        </is>
      </c>
      <c r="G1793" s="19" t="n"/>
      <c r="H1793" s="20" t="n"/>
      <c r="I1793" s="20" t="n"/>
      <c r="J1793" s="19" t="n"/>
      <c r="K1793" s="21" t="n"/>
      <c r="L1793" s="22">
        <f>IF(OR(J1793="",K1793=""),"",J1793*K1793)</f>
        <v/>
      </c>
      <c r="M1793" s="19" t="n"/>
      <c r="N1793" s="20" t="n"/>
      <c r="O1793" s="20" t="n"/>
    </row>
    <row r="1794">
      <c r="A1794" s="16" t="n">
        <v>1791</v>
      </c>
      <c r="B1794" s="16" t="inlineStr">
        <is>
          <t>2.6.6.1.5</t>
        </is>
      </c>
      <c r="C1794" s="18" t="inlineStr">
        <is>
          <t>Part 2 – Technical Systems</t>
        </is>
      </c>
      <c r="D1794" s="18" t="inlineStr">
        <is>
          <t>2.6 IP TELEPHONY (VoIP)</t>
        </is>
      </c>
      <c r="E1794" s="18" t="inlineStr">
        <is>
          <t>2.6.6 SYSTEM ADMINISTRATION</t>
        </is>
      </c>
      <c r="F1794" s="18" t="inlineStr">
        <is>
          <t>Global Change: Provides the ability for the system administrator to change all telephones within the system or within a specific group.</t>
        </is>
      </c>
      <c r="G1794" s="19" t="n"/>
      <c r="H1794" s="20" t="n"/>
      <c r="I1794" s="20" t="n"/>
      <c r="J1794" s="19" t="n"/>
      <c r="K1794" s="21" t="n"/>
      <c r="L1794" s="22">
        <f>IF(OR(J1794="",K1794=""),"",J1794*K1794)</f>
        <v/>
      </c>
      <c r="M1794" s="19" t="n"/>
      <c r="N1794" s="20" t="n"/>
      <c r="O1794" s="20" t="n"/>
    </row>
    <row r="1795">
      <c r="A1795" s="23" t="n">
        <v>1792</v>
      </c>
      <c r="B1795" s="23" t="inlineStr">
        <is>
          <t>2.6.6.1.6</t>
        </is>
      </c>
      <c r="C1795" s="25" t="inlineStr">
        <is>
          <t>Part 2 – Technical Systems</t>
        </is>
      </c>
      <c r="D1795" s="25" t="inlineStr">
        <is>
          <t>2.6 IP TELEPHONY (VoIP)</t>
        </is>
      </c>
      <c r="E1795" s="25" t="inlineStr">
        <is>
          <t>2.6.6 SYSTEM ADMINISTRATION</t>
        </is>
      </c>
      <c r="F1795" s="25" t="inlineStr">
        <is>
          <t>LAN Network Adaptability: Allows the system administration software to reside on a PC located anywhere on the LAN.</t>
        </is>
      </c>
      <c r="G1795" s="19" t="n"/>
      <c r="H1795" s="20" t="n"/>
      <c r="I1795" s="20" t="n"/>
      <c r="J1795" s="19" t="n"/>
      <c r="K1795" s="21" t="n"/>
      <c r="L1795" s="22">
        <f>IF(OR(J1795="",K1795=""),"",J1795*K1795)</f>
        <v/>
      </c>
      <c r="M1795" s="19" t="n"/>
      <c r="N1795" s="20" t="n"/>
      <c r="O1795" s="20" t="n"/>
    </row>
    <row r="1796">
      <c r="A1796" s="16" t="n">
        <v>1793</v>
      </c>
      <c r="B1796" s="16" t="inlineStr">
        <is>
          <t>2.6.6.1.7</t>
        </is>
      </c>
      <c r="C1796" s="18" t="inlineStr">
        <is>
          <t>Part 2 – Technical Systems</t>
        </is>
      </c>
      <c r="D1796" s="18" t="inlineStr">
        <is>
          <t>2.6 IP TELEPHONY (VoIP)</t>
        </is>
      </c>
      <c r="E1796" s="18" t="inlineStr">
        <is>
          <t>2.6.6 SYSTEM ADMINISTRATION</t>
        </is>
      </c>
      <c r="F1796" s="18" t="inlineStr">
        <is>
          <t>Multiple Administrators: Provides the ability to allow multiple system administrators on a single system.</t>
        </is>
      </c>
      <c r="G1796" s="19" t="n"/>
      <c r="H1796" s="20" t="n"/>
      <c r="I1796" s="20" t="n"/>
      <c r="J1796" s="19" t="n"/>
      <c r="K1796" s="21" t="n"/>
      <c r="L1796" s="22">
        <f>IF(OR(J1796="",K1796=""),"",J1796*K1796)</f>
        <v/>
      </c>
      <c r="M1796" s="19" t="n"/>
      <c r="N1796" s="20" t="n"/>
      <c r="O1796" s="20" t="n"/>
    </row>
    <row r="1797">
      <c r="A1797" s="23" t="n">
        <v>1794</v>
      </c>
      <c r="B1797" s="23" t="inlineStr">
        <is>
          <t>2.6.6.1.8</t>
        </is>
      </c>
      <c r="C1797" s="25" t="inlineStr">
        <is>
          <t>Part 2 – Technical Systems</t>
        </is>
      </c>
      <c r="D1797" s="25" t="inlineStr">
        <is>
          <t>2.6 IP TELEPHONY (VoIP)</t>
        </is>
      </c>
      <c r="E1797" s="25" t="inlineStr">
        <is>
          <t>2.6.6 SYSTEM ADMINISTRATION</t>
        </is>
      </c>
      <c r="F1797" s="25" t="inlineStr">
        <is>
          <t>On-Line Help: Provides the system administrator with context specific assistance.</t>
        </is>
      </c>
      <c r="G1797" s="19" t="n"/>
      <c r="H1797" s="20" t="n"/>
      <c r="I1797" s="20" t="n"/>
      <c r="J1797" s="19" t="n"/>
      <c r="K1797" s="21" t="n"/>
      <c r="L1797" s="22">
        <f>IF(OR(J1797="",K1797=""),"",J1797*K1797)</f>
        <v/>
      </c>
      <c r="M1797" s="19" t="n"/>
      <c r="N1797" s="20" t="n"/>
      <c r="O1797" s="20" t="n"/>
    </row>
    <row r="1798">
      <c r="A1798" s="16" t="n">
        <v>1795</v>
      </c>
      <c r="B1798" s="16" t="inlineStr">
        <is>
          <t>2.6.6.1.9</t>
        </is>
      </c>
      <c r="C1798" s="18" t="inlineStr">
        <is>
          <t>Part 2 – Technical Systems</t>
        </is>
      </c>
      <c r="D1798" s="18" t="inlineStr">
        <is>
          <t>2.6 IP TELEPHONY (VoIP)</t>
        </is>
      </c>
      <c r="E1798" s="18" t="inlineStr">
        <is>
          <t>2.6.6 SYSTEM ADMINISTRATION</t>
        </is>
      </c>
      <c r="F1798" s="18" t="inlineStr">
        <is>
          <t>Port Assignment: Automatically assigns spare ports when adding stations. It shall also be possible to turn off this ability if desired for security.</t>
        </is>
      </c>
      <c r="G1798" s="19" t="n"/>
      <c r="H1798" s="20" t="n"/>
      <c r="I1798" s="20" t="n"/>
      <c r="J1798" s="19" t="n"/>
      <c r="K1798" s="21" t="n"/>
      <c r="L1798" s="22">
        <f>IF(OR(J1798="",K1798=""),"",J1798*K1798)</f>
        <v/>
      </c>
      <c r="M1798" s="19" t="n"/>
      <c r="N1798" s="20" t="n"/>
      <c r="O1798" s="20" t="n"/>
    </row>
    <row r="1799">
      <c r="A1799" s="23" t="n">
        <v>1796</v>
      </c>
      <c r="B1799" s="23" t="inlineStr">
        <is>
          <t>2.6.6.1.10</t>
        </is>
      </c>
      <c r="C1799" s="25" t="inlineStr">
        <is>
          <t>Part 2 – Technical Systems</t>
        </is>
      </c>
      <c r="D1799" s="25" t="inlineStr">
        <is>
          <t>2.6 IP TELEPHONY (VoIP)</t>
        </is>
      </c>
      <c r="E1799" s="25" t="inlineStr">
        <is>
          <t>2.6.6 SYSTEM ADMINISTRATION</t>
        </is>
      </c>
      <c r="F1799" s="25" t="inlineStr">
        <is>
          <t>Scheduled Changes: Permits the system administrator to prepare changes in the present for future implementation.</t>
        </is>
      </c>
      <c r="G1799" s="19" t="n"/>
      <c r="H1799" s="20" t="n"/>
      <c r="I1799" s="20" t="n"/>
      <c r="J1799" s="19" t="n"/>
      <c r="K1799" s="21" t="n"/>
      <c r="L1799" s="22">
        <f>IF(OR(J1799="",K1799=""),"",J1799*K1799)</f>
        <v/>
      </c>
      <c r="M1799" s="19" t="n"/>
      <c r="N1799" s="20" t="n"/>
      <c r="O1799" s="20" t="n"/>
    </row>
    <row r="1800">
      <c r="A1800" s="16" t="n">
        <v>1797</v>
      </c>
      <c r="B1800" s="16" t="inlineStr">
        <is>
          <t>2.6.6.1.11</t>
        </is>
      </c>
      <c r="C1800" s="18" t="inlineStr">
        <is>
          <t>Part 2 – Technical Systems</t>
        </is>
      </c>
      <c r="D1800" s="18" t="inlineStr">
        <is>
          <t>2.6 IP TELEPHONY (VoIP)</t>
        </is>
      </c>
      <c r="E1800" s="18" t="inlineStr">
        <is>
          <t>2.6.6 SYSTEM ADMINISTRATION</t>
        </is>
      </c>
      <c r="F1800" s="18" t="inlineStr">
        <is>
          <t>Search: Permits the system administrator to locate station information based on multiple criteria (e.g. extension number, name etc.). Define search criteria available.</t>
        </is>
      </c>
      <c r="G1800" s="19" t="n"/>
      <c r="H1800" s="20" t="n"/>
      <c r="I1800" s="20" t="n"/>
      <c r="J1800" s="19" t="n"/>
      <c r="K1800" s="21" t="n"/>
      <c r="L1800" s="22">
        <f>IF(OR(J1800="",K1800=""),"",J1800*K1800)</f>
        <v/>
      </c>
      <c r="M1800" s="19" t="n"/>
      <c r="N1800" s="20" t="n"/>
      <c r="O1800" s="20" t="n"/>
    </row>
    <row r="1801">
      <c r="A1801" s="23" t="n">
        <v>1798</v>
      </c>
      <c r="B1801" s="23" t="inlineStr">
        <is>
          <t>2.6.6.1.12</t>
        </is>
      </c>
      <c r="C1801" s="25" t="inlineStr">
        <is>
          <t>Part 2 – Technical Systems</t>
        </is>
      </c>
      <c r="D1801" s="25" t="inlineStr">
        <is>
          <t>2.6 IP TELEPHONY (VoIP)</t>
        </is>
      </c>
      <c r="E1801" s="25" t="inlineStr">
        <is>
          <t>2.6.6 SYSTEM ADMINISTRATION</t>
        </is>
      </c>
      <c r="F1801" s="25" t="inlineStr">
        <is>
          <t>Telephone Set Graphics: Provides a visual representation of the telephone sets to be administered.</t>
        </is>
      </c>
      <c r="G1801" s="19" t="n"/>
      <c r="H1801" s="20" t="n"/>
      <c r="I1801" s="20" t="n"/>
      <c r="J1801" s="19" t="n"/>
      <c r="K1801" s="21" t="n"/>
      <c r="L1801" s="22">
        <f>IF(OR(J1801="",K1801=""),"",J1801*K1801)</f>
        <v/>
      </c>
      <c r="M1801" s="19" t="n"/>
      <c r="N1801" s="20" t="n"/>
      <c r="O1801" s="20" t="n"/>
    </row>
    <row r="1802">
      <c r="A1802" s="16" t="n">
        <v>1799</v>
      </c>
      <c r="B1802" s="16" t="inlineStr">
        <is>
          <t>2.6.6.1.13</t>
        </is>
      </c>
      <c r="C1802" s="18" t="inlineStr">
        <is>
          <t>Part 2 – Technical Systems</t>
        </is>
      </c>
      <c r="D1802" s="18" t="inlineStr">
        <is>
          <t>2.6 IP TELEPHONY (VoIP)</t>
        </is>
      </c>
      <c r="E1802" s="18" t="inlineStr">
        <is>
          <t>2.6.6 SYSTEM ADMINISTRATION</t>
        </is>
      </c>
      <c r="F1802" s="18" t="inlineStr">
        <is>
          <t>Templates: Allows the system administrator to program multiple telephones with similar features/functions at the same time.</t>
        </is>
      </c>
      <c r="G1802" s="19" t="n"/>
      <c r="H1802" s="20" t="n"/>
      <c r="I1802" s="20" t="n"/>
      <c r="J1802" s="19" t="n"/>
      <c r="K1802" s="21" t="n"/>
      <c r="L1802" s="22">
        <f>IF(OR(J1802="",K1802=""),"",J1802*K1802)</f>
        <v/>
      </c>
      <c r="M1802" s="19" t="n"/>
      <c r="N1802" s="20" t="n"/>
      <c r="O1802" s="20" t="n"/>
    </row>
    <row r="1803">
      <c r="A1803" s="23" t="n">
        <v>1800</v>
      </c>
      <c r="B1803" s="23" t="inlineStr">
        <is>
          <t>2.6.6.1.14</t>
        </is>
      </c>
      <c r="C1803" s="25" t="inlineStr">
        <is>
          <t>Part 2 – Technical Systems</t>
        </is>
      </c>
      <c r="D1803" s="25" t="inlineStr">
        <is>
          <t>2.6 IP TELEPHONY (VoIP)</t>
        </is>
      </c>
      <c r="E1803" s="25" t="inlineStr">
        <is>
          <t>2.6.6 SYSTEM ADMINISTRATION</t>
        </is>
      </c>
      <c r="F1803" s="25" t="inlineStr">
        <is>
          <t>Voice Mail Integration: Permits the system administrator to update/change the voice mail system to reflect station changes from the same terminal without being required to “log-out” of either system.</t>
        </is>
      </c>
      <c r="G1803" s="19" t="n"/>
      <c r="H1803" s="20" t="n"/>
      <c r="I1803" s="20" t="n"/>
      <c r="J1803" s="19" t="n"/>
      <c r="K1803" s="21" t="n"/>
      <c r="L1803" s="22">
        <f>IF(OR(J1803="",K1803=""),"",J1803*K1803)</f>
        <v/>
      </c>
      <c r="M1803" s="19" t="n"/>
      <c r="N1803" s="20" t="n"/>
      <c r="O1803" s="20" t="n"/>
    </row>
    <row r="1804">
      <c r="A1804" s="16" t="n">
        <v>1801</v>
      </c>
      <c r="B1804" s="17" t="inlineStr">
        <is>
          <t>2.6.6.2</t>
        </is>
      </c>
      <c r="C1804" s="18" t="inlineStr">
        <is>
          <t>Part 2 – Technical Systems</t>
        </is>
      </c>
      <c r="D1804" s="18" t="inlineStr">
        <is>
          <t>2.6 IP TELEPHONY (VoIP)</t>
        </is>
      </c>
      <c r="E1804" s="18" t="inlineStr">
        <is>
          <t>2.6.6 SYSTEM ADMINISTRATION</t>
        </is>
      </c>
      <c r="F1804" s="18" t="inlineStr">
        <is>
          <t>All system parameters and user information must be under the control of the system administrator.</t>
        </is>
      </c>
      <c r="G1804" s="19" t="n"/>
      <c r="H1804" s="20" t="n"/>
      <c r="I1804" s="20" t="n"/>
      <c r="J1804" s="19" t="n"/>
      <c r="K1804" s="21" t="n"/>
      <c r="L1804" s="22">
        <f>IF(OR(J1804="",K1804=""),"",J1804*K1804)</f>
        <v/>
      </c>
      <c r="M1804" s="19" t="n"/>
      <c r="N1804" s="20" t="n"/>
      <c r="O1804" s="20" t="n"/>
    </row>
    <row r="1805">
      <c r="A1805" s="23" t="n">
        <v>1802</v>
      </c>
      <c r="B1805" s="24" t="inlineStr">
        <is>
          <t>2.6.6.3</t>
        </is>
      </c>
      <c r="C1805" s="25" t="inlineStr">
        <is>
          <t>Part 2 – Technical Systems</t>
        </is>
      </c>
      <c r="D1805" s="25" t="inlineStr">
        <is>
          <t>2.6 IP TELEPHONY (VoIP)</t>
        </is>
      </c>
      <c r="E1805" s="25" t="inlineStr">
        <is>
          <t>2.6.6 SYSTEM ADMINISTRATION</t>
        </is>
      </c>
      <c r="F1805" s="25" t="inlineStr">
        <is>
          <t>System Administration Reports – The proposed system administration software must provide the following reports as standard:</t>
        </is>
      </c>
      <c r="G1805" s="19" t="n"/>
      <c r="H1805" s="20" t="n"/>
      <c r="I1805" s="20" t="n"/>
      <c r="J1805" s="19" t="n"/>
      <c r="K1805" s="21" t="n"/>
      <c r="L1805" s="22">
        <f>IF(OR(J1805="",K1805=""),"",J1805*K1805)</f>
        <v/>
      </c>
      <c r="M1805" s="19" t="n"/>
      <c r="N1805" s="20" t="n"/>
      <c r="O1805" s="20" t="n"/>
    </row>
    <row r="1806">
      <c r="A1806" s="16" t="n">
        <v>1803</v>
      </c>
      <c r="B1806" s="16" t="inlineStr">
        <is>
          <t>2.6.6.3.1</t>
        </is>
      </c>
      <c r="C1806" s="18" t="inlineStr">
        <is>
          <t>Part 2 – Technical Systems</t>
        </is>
      </c>
      <c r="D1806" s="18" t="inlineStr">
        <is>
          <t>2.6 IP TELEPHONY (VoIP)</t>
        </is>
      </c>
      <c r="E1806" s="18" t="inlineStr">
        <is>
          <t>2.6.6 SYSTEM ADMINISTRATION</t>
        </is>
      </c>
      <c r="F1806" s="18" t="inlineStr">
        <is>
          <t>Class of Service</t>
        </is>
      </c>
      <c r="G1806" s="19" t="n"/>
      <c r="H1806" s="20" t="n"/>
      <c r="I1806" s="20" t="n"/>
      <c r="J1806" s="19" t="n"/>
      <c r="K1806" s="21" t="n"/>
      <c r="L1806" s="22">
        <f>IF(OR(J1806="",K1806=""),"",J1806*K1806)</f>
        <v/>
      </c>
      <c r="M1806" s="19" t="n"/>
      <c r="N1806" s="20" t="n"/>
      <c r="O1806" s="20" t="n"/>
    </row>
    <row r="1807">
      <c r="A1807" s="23" t="n">
        <v>1804</v>
      </c>
      <c r="B1807" s="23" t="inlineStr">
        <is>
          <t>2.6.6.3.2</t>
        </is>
      </c>
      <c r="C1807" s="25" t="inlineStr">
        <is>
          <t>Part 2 – Technical Systems</t>
        </is>
      </c>
      <c r="D1807" s="25" t="inlineStr">
        <is>
          <t>2.6 IP TELEPHONY (VoIP)</t>
        </is>
      </c>
      <c r="E1807" s="25" t="inlineStr">
        <is>
          <t>2.6.6 SYSTEM ADMINISTRATION</t>
        </is>
      </c>
      <c r="F1807" s="25" t="inlineStr">
        <is>
          <t>Directories</t>
        </is>
      </c>
      <c r="G1807" s="19" t="n"/>
      <c r="H1807" s="20" t="n"/>
      <c r="I1807" s="20" t="n"/>
      <c r="J1807" s="19" t="n"/>
      <c r="K1807" s="21" t="n"/>
      <c r="L1807" s="22">
        <f>IF(OR(J1807="",K1807=""),"",J1807*K1807)</f>
        <v/>
      </c>
      <c r="M1807" s="19" t="n"/>
      <c r="N1807" s="20" t="n"/>
      <c r="O1807" s="20" t="n"/>
    </row>
    <row r="1808">
      <c r="A1808" s="16" t="n">
        <v>1805</v>
      </c>
      <c r="B1808" s="16" t="inlineStr">
        <is>
          <t>2.6.6.3.3</t>
        </is>
      </c>
      <c r="C1808" s="18" t="inlineStr">
        <is>
          <t>Part 2 – Technical Systems</t>
        </is>
      </c>
      <c r="D1808" s="18" t="inlineStr">
        <is>
          <t>2.6 IP TELEPHONY (VoIP)</t>
        </is>
      </c>
      <c r="E1808" s="18" t="inlineStr">
        <is>
          <t>2.6.6 SYSTEM ADMINISTRATION</t>
        </is>
      </c>
      <c r="F1808" s="18" t="inlineStr">
        <is>
          <t>Intercom Groups</t>
        </is>
      </c>
      <c r="G1808" s="19" t="n"/>
      <c r="H1808" s="20" t="n"/>
      <c r="I1808" s="20" t="n"/>
      <c r="J1808" s="19" t="n"/>
      <c r="K1808" s="21" t="n"/>
      <c r="L1808" s="22">
        <f>IF(OR(J1808="",K1808=""),"",J1808*K1808)</f>
        <v/>
      </c>
      <c r="M1808" s="19" t="n"/>
      <c r="N1808" s="20" t="n"/>
      <c r="O1808" s="20" t="n"/>
    </row>
    <row r="1809">
      <c r="A1809" s="23" t="n">
        <v>1806</v>
      </c>
      <c r="B1809" s="23" t="inlineStr">
        <is>
          <t>2.6.6.3.4</t>
        </is>
      </c>
      <c r="C1809" s="25" t="inlineStr">
        <is>
          <t>Part 2 – Technical Systems</t>
        </is>
      </c>
      <c r="D1809" s="25" t="inlineStr">
        <is>
          <t>2.6 IP TELEPHONY (VoIP)</t>
        </is>
      </c>
      <c r="E1809" s="25" t="inlineStr">
        <is>
          <t>2.6.6 SYSTEM ADMINISTRATION</t>
        </is>
      </c>
      <c r="F1809" s="25" t="inlineStr">
        <is>
          <t>Pickup Groups</t>
        </is>
      </c>
      <c r="G1809" s="19" t="n"/>
      <c r="H1809" s="20" t="n"/>
      <c r="I1809" s="20" t="n"/>
      <c r="J1809" s="19" t="n"/>
      <c r="K1809" s="21" t="n"/>
      <c r="L1809" s="22">
        <f>IF(OR(J1809="",K1809=""),"",J1809*K1809)</f>
        <v/>
      </c>
      <c r="M1809" s="19" t="n"/>
      <c r="N1809" s="20" t="n"/>
      <c r="O1809" s="20" t="n"/>
    </row>
    <row r="1810">
      <c r="A1810" s="16" t="n">
        <v>1807</v>
      </c>
      <c r="B1810" s="16" t="inlineStr">
        <is>
          <t>2.6.6.3.5</t>
        </is>
      </c>
      <c r="C1810" s="18" t="inlineStr">
        <is>
          <t>Part 2 – Technical Systems</t>
        </is>
      </c>
      <c r="D1810" s="18" t="inlineStr">
        <is>
          <t>2.6 IP TELEPHONY (VoIP)</t>
        </is>
      </c>
      <c r="E1810" s="18" t="inlineStr">
        <is>
          <t>2.6.6 SYSTEM ADMINISTRATION</t>
        </is>
      </c>
      <c r="F1810" s="18" t="inlineStr">
        <is>
          <t>Private Lines</t>
        </is>
      </c>
      <c r="G1810" s="19" t="n"/>
      <c r="H1810" s="20" t="n"/>
      <c r="I1810" s="20" t="n"/>
      <c r="J1810" s="19" t="n"/>
      <c r="K1810" s="21" t="n"/>
      <c r="L1810" s="22">
        <f>IF(OR(J1810="",K1810=""),"",J1810*K1810)</f>
        <v/>
      </c>
      <c r="M1810" s="19" t="n"/>
      <c r="N1810" s="20" t="n"/>
      <c r="O1810" s="20" t="n"/>
    </row>
    <row r="1811">
      <c r="A1811" s="23" t="n">
        <v>1808</v>
      </c>
      <c r="B1811" s="23" t="inlineStr">
        <is>
          <t>2.6.6.3.6</t>
        </is>
      </c>
      <c r="C1811" s="25" t="inlineStr">
        <is>
          <t>Part 2 – Technical Systems</t>
        </is>
      </c>
      <c r="D1811" s="25" t="inlineStr">
        <is>
          <t>2.6 IP TELEPHONY (VoIP)</t>
        </is>
      </c>
      <c r="E1811" s="25" t="inlineStr">
        <is>
          <t>2.6.6 SYSTEM ADMINISTRATION</t>
        </is>
      </c>
      <c r="F1811" s="25" t="inlineStr">
        <is>
          <t>Speed Call Groups</t>
        </is>
      </c>
      <c r="G1811" s="19" t="n"/>
      <c r="H1811" s="20" t="n"/>
      <c r="I1811" s="20" t="n"/>
      <c r="J1811" s="19" t="n"/>
      <c r="K1811" s="21" t="n"/>
      <c r="L1811" s="22">
        <f>IF(OR(J1811="",K1811=""),"",J1811*K1811)</f>
        <v/>
      </c>
      <c r="M1811" s="19" t="n"/>
      <c r="N1811" s="20" t="n"/>
      <c r="O1811" s="20" t="n"/>
    </row>
    <row r="1812">
      <c r="A1812" s="16" t="n">
        <v>1809</v>
      </c>
      <c r="B1812" s="16" t="inlineStr">
        <is>
          <t>2.6.6.3.7</t>
        </is>
      </c>
      <c r="C1812" s="18" t="inlineStr">
        <is>
          <t>Part 2 – Technical Systems</t>
        </is>
      </c>
      <c r="D1812" s="18" t="inlineStr">
        <is>
          <t>2.6 IP TELEPHONY (VoIP)</t>
        </is>
      </c>
      <c r="E1812" s="18" t="inlineStr">
        <is>
          <t>2.6.6 SYSTEM ADMINISTRATION</t>
        </is>
      </c>
      <c r="F1812" s="18" t="inlineStr">
        <is>
          <t>Traffic Summary Reports by Extension</t>
        </is>
      </c>
      <c r="G1812" s="19" t="n"/>
      <c r="H1812" s="20" t="n"/>
      <c r="I1812" s="20" t="n"/>
      <c r="J1812" s="19" t="n"/>
      <c r="K1812" s="21" t="n"/>
      <c r="L1812" s="22">
        <f>IF(OR(J1812="",K1812=""),"",J1812*K1812)</f>
        <v/>
      </c>
      <c r="M1812" s="19" t="n"/>
      <c r="N1812" s="20" t="n"/>
      <c r="O1812" s="20" t="n"/>
    </row>
    <row r="1813">
      <c r="A1813" s="23" t="n">
        <v>1810</v>
      </c>
      <c r="B1813" s="24" t="inlineStr">
        <is>
          <t>2.6.7.1</t>
        </is>
      </c>
      <c r="C1813" s="25" t="inlineStr">
        <is>
          <t>Part 2 – Technical Systems</t>
        </is>
      </c>
      <c r="D1813" s="25" t="inlineStr">
        <is>
          <t>2.6 IP TELEPHONY (VoIP)</t>
        </is>
      </c>
      <c r="E1813" s="25" t="inlineStr">
        <is>
          <t>2.6.7 INSTALLATION REQUIREMENTS</t>
        </is>
      </c>
      <c r="F1813" s="25" t="inlineStr">
        <is>
          <t>The CONTRACTOR shall implement all solutions based on the following:</t>
        </is>
      </c>
      <c r="G1813" s="19" t="n"/>
      <c r="H1813" s="20" t="n"/>
      <c r="I1813" s="20" t="n"/>
      <c r="J1813" s="19" t="n"/>
      <c r="K1813" s="21" t="n"/>
      <c r="L1813" s="22">
        <f>IF(OR(J1813="",K1813=""),"",J1813*K1813)</f>
        <v/>
      </c>
      <c r="M1813" s="19" t="n"/>
      <c r="N1813" s="20" t="n"/>
      <c r="O1813" s="20" t="n"/>
    </row>
    <row r="1814">
      <c r="A1814" s="16" t="n">
        <v>1811</v>
      </c>
      <c r="B1814" s="16" t="inlineStr">
        <is>
          <t>2.6.7.1.1</t>
        </is>
      </c>
      <c r="C1814" s="18" t="inlineStr">
        <is>
          <t>Part 2 – Technical Systems</t>
        </is>
      </c>
      <c r="D1814" s="18" t="inlineStr">
        <is>
          <t>2.6 IP TELEPHONY (VoIP)</t>
        </is>
      </c>
      <c r="E1814" s="18" t="inlineStr">
        <is>
          <t>2.6.7 INSTALLATION REQUIREMENTS</t>
        </is>
      </c>
      <c r="F1814" s="18" t="inlineStr">
        <is>
          <t>Where undefined by codes and standards, CONTRACTOR shall apply a safety factor of at least 2 times the rated load to all fastenings and supports of system components.</t>
        </is>
      </c>
      <c r="G1814" s="19" t="n"/>
      <c r="H1814" s="20" t="n"/>
      <c r="I1814" s="20" t="n"/>
      <c r="J1814" s="19" t="n"/>
      <c r="K1814" s="21" t="n"/>
      <c r="L1814" s="22">
        <f>IF(OR(J1814="",K1814=""),"",J1814*K1814)</f>
        <v/>
      </c>
      <c r="M1814" s="19" t="n"/>
      <c r="N1814" s="20" t="n"/>
      <c r="O1814" s="20" t="n"/>
    </row>
    <row r="1815">
      <c r="A1815" s="23" t="n">
        <v>1812</v>
      </c>
      <c r="B1815" s="23" t="inlineStr">
        <is>
          <t>2.6.7.1.2</t>
        </is>
      </c>
      <c r="C1815" s="25" t="inlineStr">
        <is>
          <t>Part 2 – Technical Systems</t>
        </is>
      </c>
      <c r="D1815" s="25" t="inlineStr">
        <is>
          <t>2.6 IP TELEPHONY (VoIP)</t>
        </is>
      </c>
      <c r="E1815" s="25" t="inlineStr">
        <is>
          <t>2.6.7 INSTALLATION REQUIREMENTS</t>
        </is>
      </c>
      <c r="F1815" s="25" t="inlineStr">
        <is>
          <t>The CONTRACTOR shall install all hardware and all system components including furnished equipment in accordance with the manufacturer's instructions and shall furnish all cables, connectors, terminators, interconnections, services, and adjustments required for a complete and operable system.</t>
        </is>
      </c>
      <c r="G1815" s="19" t="n"/>
      <c r="H1815" s="20" t="n"/>
      <c r="I1815" s="20" t="n"/>
      <c r="J1815" s="19" t="n"/>
      <c r="K1815" s="21" t="n"/>
      <c r="L1815" s="22">
        <f>IF(OR(J1815="",K1815=""),"",J1815*K1815)</f>
        <v/>
      </c>
      <c r="M1815" s="19" t="n"/>
      <c r="N1815" s="20" t="n"/>
      <c r="O1815" s="20" t="n"/>
    </row>
    <row r="1816">
      <c r="A1816" s="16" t="n">
        <v>1813</v>
      </c>
      <c r="B1816" s="16" t="inlineStr">
        <is>
          <t>2.6.7.1.3</t>
        </is>
      </c>
      <c r="C1816" s="18" t="inlineStr">
        <is>
          <t>Part 2 – Technical Systems</t>
        </is>
      </c>
      <c r="D1816" s="18" t="inlineStr">
        <is>
          <t>2.6 IP TELEPHONY (VoIP)</t>
        </is>
      </c>
      <c r="E1816" s="18" t="inlineStr">
        <is>
          <t>2.6.7 INSTALLATION REQUIREMENTS</t>
        </is>
      </c>
      <c r="F1816" s="18" t="inlineStr">
        <is>
          <t>Grounding shall be installed as necessary to preclude ground loops, noise, and surges from adversely affecting system operation.</t>
        </is>
      </c>
      <c r="G1816" s="19" t="n"/>
      <c r="H1816" s="20" t="n"/>
      <c r="I1816" s="20" t="n"/>
      <c r="J1816" s="19" t="n"/>
      <c r="K1816" s="21" t="n"/>
      <c r="L1816" s="22">
        <f>IF(OR(J1816="",K1816=""),"",J1816*K1816)</f>
        <v/>
      </c>
      <c r="M1816" s="19" t="n"/>
      <c r="N1816" s="20" t="n"/>
      <c r="O1816" s="20" t="n"/>
    </row>
    <row r="1817">
      <c r="A1817" s="23" t="n">
        <v>1814</v>
      </c>
      <c r="B1817" s="23" t="inlineStr">
        <is>
          <t>2.6.7.1.4</t>
        </is>
      </c>
      <c r="C1817" s="25" t="inlineStr">
        <is>
          <t>Part 2 – Technical Systems</t>
        </is>
      </c>
      <c r="D1817" s="25" t="inlineStr">
        <is>
          <t>2.6 IP TELEPHONY (VoIP)</t>
        </is>
      </c>
      <c r="E1817" s="25" t="inlineStr">
        <is>
          <t>2.6.7 INSTALLATION REQUIREMENTS</t>
        </is>
      </c>
      <c r="F1817" s="25" t="inlineStr">
        <is>
          <t>For equipment mounted in drawers or on slides, provide the interconnecting cables with a service loop of not less than three feet and ensure that the cable is long enough to allow full extension of drawer or slide.</t>
        </is>
      </c>
      <c r="G1817" s="19" t="n"/>
      <c r="H1817" s="20" t="n"/>
      <c r="I1817" s="20" t="n"/>
      <c r="J1817" s="19" t="n"/>
      <c r="K1817" s="21" t="n"/>
      <c r="L1817" s="22">
        <f>IF(OR(J1817="",K1817=""),"",J1817*K1817)</f>
        <v/>
      </c>
      <c r="M1817" s="19" t="n"/>
      <c r="N1817" s="20" t="n"/>
      <c r="O1817" s="20" t="n"/>
    </row>
    <row r="1818">
      <c r="A1818" s="16" t="n">
        <v>1815</v>
      </c>
      <c r="B1818" s="16" t="inlineStr">
        <is>
          <t>2.6.7.1.5</t>
        </is>
      </c>
      <c r="C1818" s="18" t="inlineStr">
        <is>
          <t>Part 2 – Technical Systems</t>
        </is>
      </c>
      <c r="D1818" s="18" t="inlineStr">
        <is>
          <t>2.6 IP TELEPHONY (VoIP)</t>
        </is>
      </c>
      <c r="E1818" s="18" t="inlineStr">
        <is>
          <t>2.6.7 INSTALLATION REQUIREMENTS</t>
        </is>
      </c>
      <c r="F1818" s="18" t="inlineStr">
        <is>
          <t>The CONTRACTOR shall not apply power to any solution until after the system and components have been installed and inspected in accordance with the manufacturer's installation instructions.</t>
        </is>
      </c>
      <c r="G1818" s="19" t="n"/>
      <c r="H1818" s="20" t="n"/>
      <c r="I1818" s="20" t="n"/>
      <c r="J1818" s="19" t="n"/>
      <c r="K1818" s="21" t="n"/>
      <c r="L1818" s="22">
        <f>IF(OR(J1818="",K1818=""),"",J1818*K1818)</f>
        <v/>
      </c>
      <c r="M1818" s="19" t="n"/>
      <c r="N1818" s="20" t="n"/>
      <c r="O1818" s="20" t="n"/>
    </row>
    <row r="1819">
      <c r="A1819" s="23" t="n">
        <v>1816</v>
      </c>
      <c r="B1819" s="23" t="inlineStr">
        <is>
          <t>2.6.7.1.6</t>
        </is>
      </c>
      <c r="C1819" s="25" t="inlineStr">
        <is>
          <t>Part 2 – Technical Systems</t>
        </is>
      </c>
      <c r="D1819" s="25" t="inlineStr">
        <is>
          <t>2.6 IP TELEPHONY (VoIP)</t>
        </is>
      </c>
      <c r="E1819" s="25" t="inlineStr">
        <is>
          <t>2.6.7 INSTALLATION REQUIREMENTS</t>
        </is>
      </c>
      <c r="F1819" s="25" t="inlineStr">
        <is>
          <t>The CONTRACTOR shall test and verify system wiring and shall share the corresponding report with the MOI prior to applying power to any of the solutions.</t>
        </is>
      </c>
      <c r="G1819" s="19" t="n"/>
      <c r="H1819" s="20" t="n"/>
      <c r="I1819" s="20" t="n"/>
      <c r="J1819" s="19" t="n"/>
      <c r="K1819" s="21" t="n"/>
      <c r="L1819" s="22">
        <f>IF(OR(J1819="",K1819=""),"",J1819*K1819)</f>
        <v/>
      </c>
      <c r="M1819" s="19" t="n"/>
      <c r="N1819" s="20" t="n"/>
      <c r="O1819" s="20" t="n"/>
    </row>
    <row r="1820">
      <c r="A1820" s="16" t="n">
        <v>1817</v>
      </c>
      <c r="B1820" s="16" t="inlineStr">
        <is>
          <t>2.6.7.1.7</t>
        </is>
      </c>
      <c r="C1820" s="18" t="inlineStr">
        <is>
          <t>Part 2 – Technical Systems</t>
        </is>
      </c>
      <c r="D1820" s="18" t="inlineStr">
        <is>
          <t>2.6 IP TELEPHONY (VoIP)</t>
        </is>
      </c>
      <c r="E1820" s="18" t="inlineStr">
        <is>
          <t>2.6.7 INSTALLATION REQUIREMENTS</t>
        </is>
      </c>
      <c r="F1820" s="18" t="inlineStr">
        <is>
          <t>The CONTRACTOR shall test and verify that all system grounding and transient protection systems have been verified as properly installed and connected and shall share the corresponding report with the MOI prior to applying power to any of the solutions.</t>
        </is>
      </c>
      <c r="G1820" s="19" t="n"/>
      <c r="H1820" s="20" t="n"/>
      <c r="I1820" s="20" t="n"/>
      <c r="J1820" s="19" t="n"/>
      <c r="K1820" s="21" t="n"/>
      <c r="L1820" s="22">
        <f>IF(OR(J1820="",K1820=""),"",J1820*K1820)</f>
        <v/>
      </c>
      <c r="M1820" s="19" t="n"/>
      <c r="N1820" s="20" t="n"/>
      <c r="O1820" s="20" t="n"/>
    </row>
    <row r="1821">
      <c r="A1821" s="23" t="n">
        <v>1818</v>
      </c>
      <c r="B1821" s="23" t="inlineStr">
        <is>
          <t>2.6.7.1.8</t>
        </is>
      </c>
      <c r="C1821" s="25" t="inlineStr">
        <is>
          <t>Part 2 – Technical Systems</t>
        </is>
      </c>
      <c r="D1821" s="25" t="inlineStr">
        <is>
          <t>2.6 IP TELEPHONY (VoIP)</t>
        </is>
      </c>
      <c r="E1821" s="25" t="inlineStr">
        <is>
          <t>2.6.7 INSTALLATION REQUIREMENTS</t>
        </is>
      </c>
      <c r="F1821" s="25" t="inlineStr">
        <is>
          <t>Power supplies to be connected to the system and equipment have been verified as the correct voltage, phasing, and frequency as indicated.</t>
        </is>
      </c>
      <c r="G1821" s="19" t="n"/>
      <c r="H1821" s="20" t="n"/>
      <c r="I1821" s="20" t="n"/>
      <c r="J1821" s="19" t="n"/>
      <c r="K1821" s="21" t="n"/>
      <c r="L1821" s="22">
        <f>IF(OR(J1821="",K1821=""),"",J1821*K1821)</f>
        <v/>
      </c>
      <c r="M1821" s="19" t="n"/>
      <c r="N1821" s="20" t="n"/>
      <c r="O1821" s="20" t="n"/>
    </row>
    <row r="1822">
      <c r="A1822" s="16" t="n">
        <v>1819</v>
      </c>
      <c r="B1822" s="17" t="inlineStr">
        <is>
          <t>2.6.7.2</t>
        </is>
      </c>
      <c r="C1822" s="18" t="inlineStr">
        <is>
          <t>Part 2 – Technical Systems</t>
        </is>
      </c>
      <c r="D1822" s="18" t="inlineStr">
        <is>
          <t>2.6 IP TELEPHONY (VoIP)</t>
        </is>
      </c>
      <c r="E1822" s="18" t="inlineStr">
        <is>
          <t>2.6.7 INSTALLATION REQUIREMENTS</t>
        </is>
      </c>
      <c r="F1822" s="18" t="inlineStr">
        <is>
          <t>The BIDDER shall note that satisfaction of the above requirements shall not relieve the CONTRACTOR of responsibility for incorrect installations, defective equipment items, or collateral damage as a result of CONTRACTOR work/equipment.</t>
        </is>
      </c>
      <c r="G1822" s="19" t="n"/>
      <c r="H1822" s="20" t="n"/>
      <c r="I1822" s="20" t="n"/>
      <c r="J1822" s="19" t="n"/>
      <c r="K1822" s="21" t="n"/>
      <c r="L1822" s="22">
        <f>IF(OR(J1822="",K1822=""),"",J1822*K1822)</f>
        <v/>
      </c>
      <c r="M1822" s="19" t="n"/>
      <c r="N1822" s="20" t="n"/>
      <c r="O1822" s="20" t="n"/>
    </row>
    <row r="1823">
      <c r="A1823" s="23" t="n">
        <v>1820</v>
      </c>
      <c r="B1823" s="24" t="inlineStr">
        <is>
          <t>2.6.7.3</t>
        </is>
      </c>
      <c r="C1823" s="25" t="inlineStr">
        <is>
          <t>Part 2 – Technical Systems</t>
        </is>
      </c>
      <c r="D1823" s="25" t="inlineStr">
        <is>
          <t>2.6 IP TELEPHONY (VoIP)</t>
        </is>
      </c>
      <c r="E1823" s="25" t="inlineStr">
        <is>
          <t>2.6.7 INSTALLATION REQUIREMENTS</t>
        </is>
      </c>
      <c r="F1823" s="25" t="inlineStr">
        <is>
          <t>In addition to the testing requirements identified elsewhere in this document, the following shall be included in the testing for the telephony and recording solution:</t>
        </is>
      </c>
      <c r="G1823" s="19" t="n"/>
      <c r="H1823" s="20" t="n"/>
      <c r="I1823" s="20" t="n"/>
      <c r="J1823" s="19" t="n"/>
      <c r="K1823" s="21" t="n"/>
      <c r="L1823" s="22">
        <f>IF(OR(J1823="",K1823=""),"",J1823*K1823)</f>
        <v/>
      </c>
      <c r="M1823" s="19" t="n"/>
      <c r="N1823" s="20" t="n"/>
      <c r="O1823" s="20" t="n"/>
    </row>
    <row r="1824">
      <c r="A1824" s="16" t="n">
        <v>1821</v>
      </c>
      <c r="B1824" s="16" t="inlineStr">
        <is>
          <t>2.6.7.3.1</t>
        </is>
      </c>
      <c r="C1824" s="18" t="inlineStr">
        <is>
          <t>Part 2 – Technical Systems</t>
        </is>
      </c>
      <c r="D1824" s="18" t="inlineStr">
        <is>
          <t>2.6 IP TELEPHONY (VoIP)</t>
        </is>
      </c>
      <c r="E1824" s="18" t="inlineStr">
        <is>
          <t>2.6.7 INSTALLATION REQUIREMENTS</t>
        </is>
      </c>
      <c r="F1824" s="18" t="inlineStr">
        <is>
          <t>Failover and failback between paired centers.</t>
        </is>
      </c>
      <c r="G1824" s="19" t="n"/>
      <c r="H1824" s="20" t="n"/>
      <c r="I1824" s="20" t="n"/>
      <c r="J1824" s="19" t="n"/>
      <c r="K1824" s="21" t="n"/>
      <c r="L1824" s="22">
        <f>IF(OR(J1824="",K1824=""),"",J1824*K1824)</f>
        <v/>
      </c>
      <c r="M1824" s="19" t="n"/>
      <c r="N1824" s="20" t="n"/>
      <c r="O1824" s="20" t="n"/>
    </row>
    <row r="1825">
      <c r="A1825" s="23" t="n">
        <v>1822</v>
      </c>
      <c r="B1825" s="23" t="inlineStr">
        <is>
          <t>2.6.7.3.2</t>
        </is>
      </c>
      <c r="C1825" s="25" t="inlineStr">
        <is>
          <t>Part 2 – Technical Systems</t>
        </is>
      </c>
      <c r="D1825" s="25" t="inlineStr">
        <is>
          <t>2.6 IP TELEPHONY (VoIP)</t>
        </is>
      </c>
      <c r="E1825" s="25" t="inlineStr">
        <is>
          <t>2.6.7 INSTALLATION REQUIREMENTS</t>
        </is>
      </c>
      <c r="F1825" s="25" t="inlineStr">
        <is>
          <t>Failover of primary/secondary trunk lines.</t>
        </is>
      </c>
      <c r="G1825" s="19" t="n"/>
      <c r="H1825" s="20" t="n"/>
      <c r="I1825" s="20" t="n"/>
      <c r="J1825" s="19" t="n"/>
      <c r="K1825" s="21" t="n"/>
      <c r="L1825" s="22">
        <f>IF(OR(J1825="",K1825=""),"",J1825*K1825)</f>
        <v/>
      </c>
      <c r="M1825" s="19" t="n"/>
      <c r="N1825" s="20" t="n"/>
      <c r="O1825" s="20" t="n"/>
    </row>
    <row r="1826">
      <c r="A1826" s="16" t="n">
        <v>1823</v>
      </c>
      <c r="B1826" s="16" t="inlineStr">
        <is>
          <t>2.6.7.3.3</t>
        </is>
      </c>
      <c r="C1826" s="18" t="inlineStr">
        <is>
          <t>Part 2 – Technical Systems</t>
        </is>
      </c>
      <c r="D1826" s="18" t="inlineStr">
        <is>
          <t>2.6 IP TELEPHONY (VoIP)</t>
        </is>
      </c>
      <c r="E1826" s="18" t="inlineStr">
        <is>
          <t>2.6.7 INSTALLATION REQUIREMENTS</t>
        </is>
      </c>
      <c r="F1826" s="18" t="inlineStr">
        <is>
          <t>Power failure.</t>
        </is>
      </c>
      <c r="G1826" s="19" t="n"/>
      <c r="H1826" s="20" t="n"/>
      <c r="I1826" s="20" t="n"/>
      <c r="J1826" s="19" t="n"/>
      <c r="K1826" s="21" t="n"/>
      <c r="L1826" s="22">
        <f>IF(OR(J1826="",K1826=""),"",J1826*K1826)</f>
        <v/>
      </c>
      <c r="M1826" s="19" t="n"/>
      <c r="N1826" s="20" t="n"/>
      <c r="O1826" s="20" t="n"/>
    </row>
    <row r="1827">
      <c r="A1827" s="23" t="n">
        <v>1824</v>
      </c>
      <c r="B1827" s="24" t="inlineStr">
        <is>
          <t>2.7.1.1</t>
        </is>
      </c>
      <c r="C1827" s="25" t="inlineStr">
        <is>
          <t>Part 2 – Technical Systems</t>
        </is>
      </c>
      <c r="D1827" s="25" t="inlineStr">
        <is>
          <t>2.7 PRIVATE CLOUD TECHNICAL INFRASTRUCTURE</t>
        </is>
      </c>
      <c r="E1827" s="25" t="inlineStr">
        <is>
          <t>2.7.1 DESIGN REQUIREMENTS</t>
        </is>
      </c>
      <c r="F1827" s="25" t="inlineStr">
        <is>
          <t>The CONTRACTOR shall implement all requirements in this section with the understanding that:</t>
        </is>
      </c>
      <c r="G1827" s="19" t="n"/>
      <c r="H1827" s="20" t="n"/>
      <c r="I1827" s="20" t="n"/>
      <c r="J1827" s="19" t="n"/>
      <c r="K1827" s="21" t="n"/>
      <c r="L1827" s="22">
        <f>IF(OR(J1827="",K1827=""),"",J1827*K1827)</f>
        <v/>
      </c>
      <c r="M1827" s="19" t="n"/>
      <c r="N1827" s="20" t="n"/>
      <c r="O1827" s="20" t="n"/>
    </row>
    <row r="1828">
      <c r="A1828" s="16" t="n">
        <v>1825</v>
      </c>
      <c r="B1828" s="16" t="inlineStr">
        <is>
          <t>2.7.1.1.1</t>
        </is>
      </c>
      <c r="C1828" s="18" t="inlineStr">
        <is>
          <t>Part 2 – Technical Systems</t>
        </is>
      </c>
      <c r="D1828" s="18" t="inlineStr">
        <is>
          <t>2.7 PRIVATE CLOUD TECHNICAL INFRASTRUCTURE</t>
        </is>
      </c>
      <c r="E1828" s="18" t="inlineStr">
        <is>
          <t>2.7.1 DESIGN REQUIREMENTS</t>
        </is>
      </c>
      <c r="F1828" s="18" t="inlineStr">
        <is>
          <t>Unless otherwise explicitly stated, the phrase “OSS911 center” refers to OSS911 centers in each of the provinces that are included in the scope of this contract.</t>
        </is>
      </c>
      <c r="G1828" s="19" t="n"/>
      <c r="H1828" s="20" t="n"/>
      <c r="I1828" s="20" t="n"/>
      <c r="J1828" s="19" t="n"/>
      <c r="K1828" s="21" t="n"/>
      <c r="L1828" s="22">
        <f>IF(OR(J1828="",K1828=""),"",J1828*K1828)</f>
        <v/>
      </c>
      <c r="M1828" s="19" t="n"/>
      <c r="N1828" s="20" t="n"/>
      <c r="O1828" s="20" t="n"/>
    </row>
    <row r="1829">
      <c r="A1829" s="23" t="n">
        <v>1826</v>
      </c>
      <c r="B1829" s="23" t="inlineStr">
        <is>
          <t>2.7.1.1.2</t>
        </is>
      </c>
      <c r="C1829" s="25" t="inlineStr">
        <is>
          <t>Part 2 – Technical Systems</t>
        </is>
      </c>
      <c r="D1829" s="25" t="inlineStr">
        <is>
          <t>2.7 PRIVATE CLOUD TECHNICAL INFRASTRUCTURE</t>
        </is>
      </c>
      <c r="E1829" s="25" t="inlineStr">
        <is>
          <t>2.7.1 DESIGN REQUIREMENTS</t>
        </is>
      </c>
      <c r="F1829" s="25" t="inlineStr">
        <is>
          <t>Unless otherwise explicitly stated, the phrases “OSS911 solution” or “OSS911 systems” or “OSS911 subsystems” refer to all the OSS911 systems being delivered by the CONTRACTOR as part of this contract.</t>
        </is>
      </c>
      <c r="G1829" s="19" t="n"/>
      <c r="H1829" s="20" t="n"/>
      <c r="I1829" s="20" t="n"/>
      <c r="J1829" s="19" t="n"/>
      <c r="K1829" s="21" t="n"/>
      <c r="L1829" s="22">
        <f>IF(OR(J1829="",K1829=""),"",J1829*K1829)</f>
        <v/>
      </c>
      <c r="M1829" s="19" t="n"/>
      <c r="N1829" s="20" t="n"/>
      <c r="O1829" s="20" t="n"/>
    </row>
    <row r="1830">
      <c r="A1830" s="16" t="n">
        <v>1827</v>
      </c>
      <c r="B1830" s="16" t="inlineStr">
        <is>
          <t>2.7.1.1.3</t>
        </is>
      </c>
      <c r="C1830" s="18" t="inlineStr">
        <is>
          <t>Part 2 – Technical Systems</t>
        </is>
      </c>
      <c r="D1830" s="18" t="inlineStr">
        <is>
          <t>2.7 PRIVATE CLOUD TECHNICAL INFRASTRUCTURE</t>
        </is>
      </c>
      <c r="E1830" s="18" t="inlineStr">
        <is>
          <t>2.7.1 DESIGN REQUIREMENTS</t>
        </is>
      </c>
      <c r="F1830" s="18" t="inlineStr">
        <is>
          <t>Unless otherwise explicitly stated, the word “data” in this document includes all types of data including voice, text, video and SMS.</t>
        </is>
      </c>
      <c r="G1830" s="19" t="n"/>
      <c r="H1830" s="20" t="n"/>
      <c r="I1830" s="20" t="n"/>
      <c r="J1830" s="19" t="n"/>
      <c r="K1830" s="21" t="n"/>
      <c r="L1830" s="22">
        <f>IF(OR(J1830="",K1830=""),"",J1830*K1830)</f>
        <v/>
      </c>
      <c r="M1830" s="19" t="n"/>
      <c r="N1830" s="20" t="n"/>
      <c r="O1830" s="20" t="n"/>
    </row>
    <row r="1831">
      <c r="A1831" s="23" t="n">
        <v>1828</v>
      </c>
      <c r="B1831" s="24" t="inlineStr">
        <is>
          <t>2.7.1.2</t>
        </is>
      </c>
      <c r="C1831" s="25" t="inlineStr">
        <is>
          <t>Part 2 – Technical Systems</t>
        </is>
      </c>
      <c r="D1831" s="25" t="inlineStr">
        <is>
          <t>2.7 PRIVATE CLOUD TECHNICAL INFRASTRUCTURE</t>
        </is>
      </c>
      <c r="E1831" s="25" t="inlineStr">
        <is>
          <t>2.7.1 DESIGN REQUIREMENTS</t>
        </is>
      </c>
      <c r="F1831" s="25" t="inlineStr">
        <is>
          <t>The CONTRACTOR shall deliver all the requirements of this section that are fully compliant to the concept of operations requirements stated in this RFP.</t>
        </is>
      </c>
      <c r="G1831" s="19" t="n"/>
      <c r="H1831" s="20" t="n"/>
      <c r="I1831" s="20" t="n"/>
      <c r="J1831" s="19" t="n"/>
      <c r="K1831" s="21" t="n"/>
      <c r="L1831" s="22">
        <f>IF(OR(J1831="",K1831=""),"",J1831*K1831)</f>
        <v/>
      </c>
      <c r="M1831" s="19" t="n"/>
      <c r="N1831" s="20" t="n"/>
      <c r="O1831" s="20" t="n"/>
    </row>
    <row r="1832">
      <c r="A1832" s="16" t="n">
        <v>1829</v>
      </c>
      <c r="B1832" s="17" t="inlineStr">
        <is>
          <t>2.7.1.3</t>
        </is>
      </c>
      <c r="C1832" s="18" t="inlineStr">
        <is>
          <t>Part 2 – Technical Systems</t>
        </is>
      </c>
      <c r="D1832" s="18" t="inlineStr">
        <is>
          <t>2.7 PRIVATE CLOUD TECHNICAL INFRASTRUCTURE</t>
        </is>
      </c>
      <c r="E1832" s="18" t="inlineStr">
        <is>
          <t>2.7.1 DESIGN REQUIREMENTS</t>
        </is>
      </c>
      <c r="F1832" s="18" t="inlineStr">
        <is>
          <t>The CONTRACTOR shall deliver a Technical Infrastructure solution with AI-enabled capabilities for OSS911 use.</t>
        </is>
      </c>
      <c r="G1832" s="19" t="n"/>
      <c r="H1832" s="20" t="n"/>
      <c r="I1832" s="20" t="n"/>
      <c r="J1832" s="19" t="n"/>
      <c r="K1832" s="21" t="n"/>
      <c r="L1832" s="22">
        <f>IF(OR(J1832="",K1832=""),"",J1832*K1832)</f>
        <v/>
      </c>
      <c r="M1832" s="19" t="n"/>
      <c r="N1832" s="20" t="n"/>
      <c r="O1832" s="20" t="n"/>
    </row>
    <row r="1833">
      <c r="A1833" s="23" t="n">
        <v>1830</v>
      </c>
      <c r="B1833" s="24" t="inlineStr">
        <is>
          <t>2.7.1.4</t>
        </is>
      </c>
      <c r="C1833" s="25" t="inlineStr">
        <is>
          <t>Part 2 – Technical Systems</t>
        </is>
      </c>
      <c r="D1833" s="25" t="inlineStr">
        <is>
          <t>2.7 PRIVATE CLOUD TECHNICAL INFRASTRUCTURE</t>
        </is>
      </c>
      <c r="E1833" s="25" t="inlineStr">
        <is>
          <t>2.7.1 DESIGN REQUIREMENTS</t>
        </is>
      </c>
      <c r="F1833" s="25" t="inlineStr">
        <is>
          <t>The BIDDER shall confirm that the proposed Technical Infrastructure includes all servers, all systems, all network, all security, all storage with the associated hardware, equipment, software, firmware and systems to deliver the operations of the OSS911 center.</t>
        </is>
      </c>
      <c r="G1833" s="19" t="n"/>
      <c r="H1833" s="20" t="n"/>
      <c r="I1833" s="20" t="n"/>
      <c r="J1833" s="19" t="n"/>
      <c r="K1833" s="21" t="n"/>
      <c r="L1833" s="22">
        <f>IF(OR(J1833="",K1833=""),"",J1833*K1833)</f>
        <v/>
      </c>
      <c r="M1833" s="19" t="n"/>
      <c r="N1833" s="20" t="n"/>
      <c r="O1833" s="20" t="n"/>
    </row>
    <row r="1834">
      <c r="A1834" s="16" t="n">
        <v>1831</v>
      </c>
      <c r="B1834" s="17" t="inlineStr">
        <is>
          <t>2.7.1.5</t>
        </is>
      </c>
      <c r="C1834" s="18" t="inlineStr">
        <is>
          <t>Part 2 – Technical Systems</t>
        </is>
      </c>
      <c r="D1834" s="18" t="inlineStr">
        <is>
          <t>2.7 PRIVATE CLOUD TECHNICAL INFRASTRUCTURE</t>
        </is>
      </c>
      <c r="E1834" s="18" t="inlineStr">
        <is>
          <t>2.7.1 DESIGN REQUIREMENTS</t>
        </is>
      </c>
      <c r="F1834" s="18" t="inlineStr">
        <is>
          <t>Within their technical submittals, the BIDDER shall clearly articulate their space, HVAC, power, and other such requirements for hosting their equipment in any datacenters.</t>
        </is>
      </c>
      <c r="G1834" s="19" t="n"/>
      <c r="H1834" s="20" t="n"/>
      <c r="I1834" s="20" t="n"/>
      <c r="J1834" s="19" t="n"/>
      <c r="K1834" s="21" t="n"/>
      <c r="L1834" s="22">
        <f>IF(OR(J1834="",K1834=""),"",J1834*K1834)</f>
        <v/>
      </c>
      <c r="M1834" s="19" t="n"/>
      <c r="N1834" s="20" t="n"/>
      <c r="O1834" s="20" t="n"/>
    </row>
    <row r="1835">
      <c r="A1835" s="23" t="n">
        <v>1832</v>
      </c>
      <c r="B1835" s="24" t="inlineStr">
        <is>
          <t>2.7.1.6</t>
        </is>
      </c>
      <c r="C1835" s="25" t="inlineStr">
        <is>
          <t>Part 2 – Technical Systems</t>
        </is>
      </c>
      <c r="D1835" s="25" t="inlineStr">
        <is>
          <t>2.7 PRIVATE CLOUD TECHNICAL INFRASTRUCTURE</t>
        </is>
      </c>
      <c r="E1835" s="25" t="inlineStr">
        <is>
          <t>2.7.1 DESIGN REQUIREMENTS</t>
        </is>
      </c>
      <c r="F1835" s="25" t="inlineStr">
        <is>
          <t>Within their technical submittals, the BIDDER shall indicate the amount of as-is scalability and expandability available in their technical infrastructure without adding additional hardware, software or firmware.</t>
        </is>
      </c>
      <c r="G1835" s="19" t="n"/>
      <c r="H1835" s="20" t="n"/>
      <c r="I1835" s="20" t="n"/>
      <c r="J1835" s="19" t="n"/>
      <c r="K1835" s="21" t="n"/>
      <c r="L1835" s="22">
        <f>IF(OR(J1835="",K1835=""),"",J1835*K1835)</f>
        <v/>
      </c>
      <c r="M1835" s="19" t="n"/>
      <c r="N1835" s="20" t="n"/>
      <c r="O1835" s="20" t="n"/>
    </row>
    <row r="1836">
      <c r="A1836" s="16" t="n">
        <v>1833</v>
      </c>
      <c r="B1836" s="17" t="inlineStr">
        <is>
          <t>2.7.1.7</t>
        </is>
      </c>
      <c r="C1836" s="18" t="inlineStr">
        <is>
          <t>Part 2 – Technical Systems</t>
        </is>
      </c>
      <c r="D1836" s="18" t="inlineStr">
        <is>
          <t>2.7 PRIVATE CLOUD TECHNICAL INFRASTRUCTURE</t>
        </is>
      </c>
      <c r="E1836" s="18" t="inlineStr">
        <is>
          <t>2.7.1 DESIGN REQUIREMENTS</t>
        </is>
      </c>
      <c r="F1836" s="18" t="inlineStr">
        <is>
          <t>Prior to the completion of the acceptance testing and as per the schedules finalized by the MOI, the CONTRACTOR shall provide complete technical infrastructure documentation including the as-built design, configurations, solutions, access credentials, full inventory of all items with their barcodes, the licenses details with their unique numbers and validity periods, standard operating procedures for routine maintenance, location of the equipment/license, description, model, and serial numbers, the user guides and the system manuals.</t>
        </is>
      </c>
      <c r="G1836" s="19" t="n"/>
      <c r="H1836" s="20" t="n"/>
      <c r="I1836" s="20" t="n"/>
      <c r="J1836" s="19" t="n"/>
      <c r="K1836" s="21" t="n"/>
      <c r="L1836" s="22">
        <f>IF(OR(J1836="",K1836=""),"",J1836*K1836)</f>
        <v/>
      </c>
      <c r="M1836" s="19" t="n"/>
      <c r="N1836" s="20" t="n"/>
      <c r="O1836" s="20" t="n"/>
    </row>
    <row r="1837">
      <c r="A1837" s="23" t="n">
        <v>1834</v>
      </c>
      <c r="B1837" s="24" t="inlineStr">
        <is>
          <t>2.7.1.8</t>
        </is>
      </c>
      <c r="C1837" s="25" t="inlineStr">
        <is>
          <t>Part 2 – Technical Systems</t>
        </is>
      </c>
      <c r="D1837" s="25" t="inlineStr">
        <is>
          <t>2.7 PRIVATE CLOUD TECHNICAL INFRASTRUCTURE</t>
        </is>
      </c>
      <c r="E1837" s="25" t="inlineStr">
        <is>
          <t>2.7.1 DESIGN REQUIREMENTS</t>
        </is>
      </c>
      <c r="F1837" s="25" t="inlineStr">
        <is>
          <t>The CONTRACTOR shall implement the technical Infrastructure to provide the basic authentication, LDAP, domain, storage, network, security, file and print services within the OSS911 Center.</t>
        </is>
      </c>
      <c r="G1837" s="19" t="n"/>
      <c r="H1837" s="20" t="n"/>
      <c r="I1837" s="20" t="n"/>
      <c r="J1837" s="19" t="n"/>
      <c r="K1837" s="21" t="n"/>
      <c r="L1837" s="22">
        <f>IF(OR(J1837="",K1837=""),"",J1837*K1837)</f>
        <v/>
      </c>
      <c r="M1837" s="19" t="n"/>
      <c r="N1837" s="20" t="n"/>
      <c r="O1837" s="20" t="n"/>
    </row>
    <row r="1838">
      <c r="A1838" s="16" t="n">
        <v>1835</v>
      </c>
      <c r="B1838" s="17" t="inlineStr">
        <is>
          <t>2.7.1.9</t>
        </is>
      </c>
      <c r="C1838" s="18" t="inlineStr">
        <is>
          <t>Part 2 – Technical Systems</t>
        </is>
      </c>
      <c r="D1838" s="18" t="inlineStr">
        <is>
          <t>2.7 PRIVATE CLOUD TECHNICAL INFRASTRUCTURE</t>
        </is>
      </c>
      <c r="E1838" s="18" t="inlineStr">
        <is>
          <t>2.7.1 DESIGN REQUIREMENTS</t>
        </is>
      </c>
      <c r="F1838" s="18" t="inlineStr">
        <is>
          <t>At each OSS911 center, the CONTRACTOR shall utilize the MiFON connection that are terminated in a CE device and connect them to the CONTRACTOR provided network edge equipment for integration of a that OSS911 center with MiFON backbone and thus, with the other OSS911 centers.</t>
        </is>
      </c>
      <c r="G1838" s="19" t="n"/>
      <c r="H1838" s="20" t="n"/>
      <c r="I1838" s="20" t="n"/>
      <c r="J1838" s="19" t="n"/>
      <c r="K1838" s="21" t="n"/>
      <c r="L1838" s="22">
        <f>IF(OR(J1838="",K1838=""),"",J1838*K1838)</f>
        <v/>
      </c>
      <c r="M1838" s="19" t="n"/>
      <c r="N1838" s="20" t="n"/>
      <c r="O1838" s="20" t="n"/>
    </row>
    <row r="1839">
      <c r="A1839" s="23" t="n">
        <v>1836</v>
      </c>
      <c r="B1839" s="24" t="inlineStr">
        <is>
          <t>2.7.1.10</t>
        </is>
      </c>
      <c r="C1839" s="25" t="inlineStr">
        <is>
          <t>Part 2 – Technical Systems</t>
        </is>
      </c>
      <c r="D1839" s="25" t="inlineStr">
        <is>
          <t>2.7 PRIVATE CLOUD TECHNICAL INFRASTRUCTURE</t>
        </is>
      </c>
      <c r="E1839" s="25" t="inlineStr">
        <is>
          <t>2.7.1 DESIGN REQUIREMENTS</t>
        </is>
      </c>
      <c r="F1839" s="25" t="inlineStr">
        <is>
          <t>The CONTRACTOR shall implement a centralized LDAP solution for the OSS911 center in scope of the project and shall configure authentication of all OSS911 solutions to the centralized domain services for the OSS911 center in scope.</t>
        </is>
      </c>
      <c r="G1839" s="19" t="n"/>
      <c r="H1839" s="20" t="n"/>
      <c r="I1839" s="20" t="n"/>
      <c r="J1839" s="19" t="n"/>
      <c r="K1839" s="21" t="n"/>
      <c r="L1839" s="22">
        <f>IF(OR(J1839="",K1839=""),"",J1839*K1839)</f>
        <v/>
      </c>
      <c r="M1839" s="19" t="n"/>
      <c r="N1839" s="20" t="n"/>
      <c r="O1839" s="20" t="n"/>
    </row>
    <row r="1840">
      <c r="A1840" s="16" t="n">
        <v>1837</v>
      </c>
      <c r="B1840" s="17" t="inlineStr">
        <is>
          <t>2.7.1.11</t>
        </is>
      </c>
      <c r="C1840" s="18" t="inlineStr">
        <is>
          <t>Part 2 – Technical Systems</t>
        </is>
      </c>
      <c r="D1840" s="18" t="inlineStr">
        <is>
          <t>2.7 PRIVATE CLOUD TECHNICAL INFRASTRUCTURE</t>
        </is>
      </c>
      <c r="E1840" s="18" t="inlineStr">
        <is>
          <t>2.7.1 DESIGN REQUIREMENTS</t>
        </is>
      </c>
      <c r="F1840" s="18" t="inlineStr">
        <is>
          <t>The CONTRACTOR shall supply and configure the required racks, rack management and any peripheral components</t>
        </is>
      </c>
      <c r="G1840" s="19" t="n"/>
      <c r="H1840" s="20" t="n"/>
      <c r="I1840" s="20" t="n"/>
      <c r="J1840" s="19" t="n"/>
      <c r="K1840" s="21" t="n"/>
      <c r="L1840" s="22">
        <f>IF(OR(J1840="",K1840=""),"",J1840*K1840)</f>
        <v/>
      </c>
      <c r="M1840" s="19" t="n"/>
      <c r="N1840" s="20" t="n"/>
      <c r="O1840" s="20" t="n"/>
    </row>
    <row r="1841">
      <c r="A1841" s="23" t="n">
        <v>1838</v>
      </c>
      <c r="B1841" s="24" t="inlineStr">
        <is>
          <t>2.7.1.12</t>
        </is>
      </c>
      <c r="C1841" s="25" t="inlineStr">
        <is>
          <t>Part 2 – Technical Systems</t>
        </is>
      </c>
      <c r="D1841" s="25" t="inlineStr">
        <is>
          <t>2.7 PRIVATE CLOUD TECHNICAL INFRASTRUCTURE</t>
        </is>
      </c>
      <c r="E1841" s="25" t="inlineStr">
        <is>
          <t>2.7.1 DESIGN REQUIREMENTS</t>
        </is>
      </c>
      <c r="F1841" s="25" t="inlineStr">
        <is>
          <t>The CONTRACTOR shall deliver all OSS911 applications user interface and system administration interface in Arabic language as default, and shall additionally support the English language interface.</t>
        </is>
      </c>
      <c r="G1841" s="19" t="n"/>
      <c r="H1841" s="20" t="n"/>
      <c r="I1841" s="20" t="n"/>
      <c r="J1841" s="19" t="n"/>
      <c r="K1841" s="21" t="n"/>
      <c r="L1841" s="22">
        <f>IF(OR(J1841="",K1841=""),"",J1841*K1841)</f>
        <v/>
      </c>
      <c r="M1841" s="19" t="n"/>
      <c r="N1841" s="20" t="n"/>
      <c r="O1841" s="20" t="n"/>
    </row>
    <row r="1842">
      <c r="A1842" s="16" t="n">
        <v>1839</v>
      </c>
      <c r="B1842" s="17" t="inlineStr">
        <is>
          <t>2.7.1.13</t>
        </is>
      </c>
      <c r="C1842" s="18" t="inlineStr">
        <is>
          <t>Part 2 – Technical Systems</t>
        </is>
      </c>
      <c r="D1842" s="18" t="inlineStr">
        <is>
          <t>2.7 PRIVATE CLOUD TECHNICAL INFRASTRUCTURE</t>
        </is>
      </c>
      <c r="E1842" s="18" t="inlineStr">
        <is>
          <t>2.7.1 DESIGN REQUIREMENTS</t>
        </is>
      </c>
      <c r="F1842" s="18" t="inlineStr">
        <is>
          <t>The CONTRACTOR shall provide computers that includes the installation of the latest version of desktop automation suite (capability of word processing, spreadsheet, presentation and collaboration including email) software at the time of installation to all supplied personal computers, together with the appropriate licenses.</t>
        </is>
      </c>
      <c r="G1842" s="19" t="n"/>
      <c r="H1842" s="20" t="n"/>
      <c r="I1842" s="20" t="n"/>
      <c r="J1842" s="19" t="n"/>
      <c r="K1842" s="21" t="n"/>
      <c r="L1842" s="22">
        <f>IF(OR(J1842="",K1842=""),"",J1842*K1842)</f>
        <v/>
      </c>
      <c r="M1842" s="19" t="n"/>
      <c r="N1842" s="20" t="n"/>
      <c r="O1842" s="20" t="n"/>
    </row>
    <row r="1843">
      <c r="A1843" s="23" t="n">
        <v>1840</v>
      </c>
      <c r="B1843" s="24" t="inlineStr">
        <is>
          <t>2.7.1.14</t>
        </is>
      </c>
      <c r="C1843" s="25" t="inlineStr">
        <is>
          <t>Part 2 – Technical Systems</t>
        </is>
      </c>
      <c r="D1843" s="25" t="inlineStr">
        <is>
          <t>2.7 PRIVATE CLOUD TECHNICAL INFRASTRUCTURE</t>
        </is>
      </c>
      <c r="E1843" s="25" t="inlineStr">
        <is>
          <t>2.7.1 DESIGN REQUIREMENTS</t>
        </is>
      </c>
      <c r="F1843" s="25" t="inlineStr">
        <is>
          <t>All items in the technical infrastructure delivered by the CONTRACTOR for production environment shall:</t>
        </is>
      </c>
      <c r="G1843" s="19" t="n"/>
      <c r="H1843" s="20" t="n"/>
      <c r="I1843" s="20" t="n"/>
      <c r="J1843" s="19" t="n"/>
      <c r="K1843" s="21" t="n"/>
      <c r="L1843" s="22">
        <f>IF(OR(J1843="",K1843=""),"",J1843*K1843)</f>
        <v/>
      </c>
      <c r="M1843" s="19" t="n"/>
      <c r="N1843" s="20" t="n"/>
      <c r="O1843" s="20" t="n"/>
    </row>
    <row r="1844">
      <c r="A1844" s="16" t="n">
        <v>1841</v>
      </c>
      <c r="B1844" s="16" t="inlineStr">
        <is>
          <t>2.7.1.14.1</t>
        </is>
      </c>
      <c r="C1844" s="18" t="inlineStr">
        <is>
          <t>Part 2 – Technical Systems</t>
        </is>
      </c>
      <c r="D1844" s="18" t="inlineStr">
        <is>
          <t>2.7 PRIVATE CLOUD TECHNICAL INFRASTRUCTURE</t>
        </is>
      </c>
      <c r="E1844" s="18" t="inlineStr">
        <is>
          <t>2.7.1 DESIGN REQUIREMENTS</t>
        </is>
      </c>
      <c r="F1844" s="18" t="inlineStr">
        <is>
          <t>Be configured by the CONTRACTOR to be fully resilient against any single point of failure.</t>
        </is>
      </c>
      <c r="G1844" s="19" t="n"/>
      <c r="H1844" s="20" t="n"/>
      <c r="I1844" s="20" t="n"/>
      <c r="J1844" s="19" t="n"/>
      <c r="K1844" s="21" t="n"/>
      <c r="L1844" s="22">
        <f>IF(OR(J1844="",K1844=""),"",J1844*K1844)</f>
        <v/>
      </c>
      <c r="M1844" s="19" t="n"/>
      <c r="N1844" s="20" t="n"/>
      <c r="O1844" s="20" t="n"/>
    </row>
    <row r="1845">
      <c r="A1845" s="23" t="n">
        <v>1842</v>
      </c>
      <c r="B1845" s="23" t="inlineStr">
        <is>
          <t>2.7.1.14.2</t>
        </is>
      </c>
      <c r="C1845" s="25" t="inlineStr">
        <is>
          <t>Part 2 – Technical Systems</t>
        </is>
      </c>
      <c r="D1845" s="25" t="inlineStr">
        <is>
          <t>2.7 PRIVATE CLOUD TECHNICAL INFRASTRUCTURE</t>
        </is>
      </c>
      <c r="E1845" s="25" t="inlineStr">
        <is>
          <t>2.7.1 DESIGN REQUIREMENTS</t>
        </is>
      </c>
      <c r="F1845" s="25" t="inlineStr">
        <is>
          <t>Be configured by the CONTRACTOR to deliver high availability disaster recovery – fully redundant at link, component and device levels, that complies with the availability and service level requirements within this RFP.</t>
        </is>
      </c>
      <c r="G1845" s="19" t="n"/>
      <c r="H1845" s="20" t="n"/>
      <c r="I1845" s="20" t="n"/>
      <c r="J1845" s="19" t="n"/>
      <c r="K1845" s="21" t="n"/>
      <c r="L1845" s="22">
        <f>IF(OR(J1845="",K1845=""),"",J1845*K1845)</f>
        <v/>
      </c>
      <c r="M1845" s="19" t="n"/>
      <c r="N1845" s="20" t="n"/>
      <c r="O1845" s="20" t="n"/>
    </row>
    <row r="1846">
      <c r="A1846" s="16" t="n">
        <v>1843</v>
      </c>
      <c r="B1846" s="16" t="inlineStr">
        <is>
          <t>2.7.1.14.3</t>
        </is>
      </c>
      <c r="C1846" s="18" t="inlineStr">
        <is>
          <t>Part 2 – Technical Systems</t>
        </is>
      </c>
      <c r="D1846" s="18" t="inlineStr">
        <is>
          <t>2.7 PRIVATE CLOUD TECHNICAL INFRASTRUCTURE</t>
        </is>
      </c>
      <c r="E1846" s="18" t="inlineStr">
        <is>
          <t>2.7.1 DESIGN REQUIREMENTS</t>
        </is>
      </c>
      <c r="F1846" s="18" t="inlineStr">
        <is>
          <t>Be connected by the CONTRACTOR to two independent power sources.</t>
        </is>
      </c>
      <c r="G1846" s="19" t="n"/>
      <c r="H1846" s="20" t="n"/>
      <c r="I1846" s="20" t="n"/>
      <c r="J1846" s="19" t="n"/>
      <c r="K1846" s="21" t="n"/>
      <c r="L1846" s="22">
        <f>IF(OR(J1846="",K1846=""),"",J1846*K1846)</f>
        <v/>
      </c>
      <c r="M1846" s="19" t="n"/>
      <c r="N1846" s="20" t="n"/>
      <c r="O1846" s="20" t="n"/>
    </row>
    <row r="1847">
      <c r="A1847" s="23" t="n">
        <v>1844</v>
      </c>
      <c r="B1847" s="24" t="inlineStr">
        <is>
          <t>2.7.1.15</t>
        </is>
      </c>
      <c r="C1847" s="25" t="inlineStr">
        <is>
          <t>Part 2 – Technical Systems</t>
        </is>
      </c>
      <c r="D1847" s="25" t="inlineStr">
        <is>
          <t>2.7 PRIVATE CLOUD TECHNICAL INFRASTRUCTURE</t>
        </is>
      </c>
      <c r="E1847" s="25" t="inlineStr">
        <is>
          <t>2.7.1 DESIGN REQUIREMENTS</t>
        </is>
      </c>
      <c r="F1847" s="25" t="inlineStr">
        <is>
          <t>The most current, full release server operating system shall be supplied for use as the operating system for domain, file, print and application servers. If the operating system proposed by the BIDDER is no longer supported by its manufacturer prior to the final acceptance, the server operating system shall be upgraded by the CONTRACTOR without any additional cost to the MOI.</t>
        </is>
      </c>
      <c r="G1847" s="19" t="n"/>
      <c r="H1847" s="20" t="n"/>
      <c r="I1847" s="20" t="n"/>
      <c r="J1847" s="19" t="n"/>
      <c r="K1847" s="21" t="n"/>
      <c r="L1847" s="22">
        <f>IF(OR(J1847="",K1847=""),"",J1847*K1847)</f>
        <v/>
      </c>
      <c r="M1847" s="19" t="n"/>
      <c r="N1847" s="20" t="n"/>
      <c r="O1847" s="20" t="n"/>
    </row>
    <row r="1848">
      <c r="A1848" s="16" t="n">
        <v>1845</v>
      </c>
      <c r="B1848" s="17" t="inlineStr">
        <is>
          <t>2.7.1.16</t>
        </is>
      </c>
      <c r="C1848" s="18" t="inlineStr">
        <is>
          <t>Part 2 – Technical Systems</t>
        </is>
      </c>
      <c r="D1848" s="18" t="inlineStr">
        <is>
          <t>2.7 PRIVATE CLOUD TECHNICAL INFRASTRUCTURE</t>
        </is>
      </c>
      <c r="E1848" s="18" t="inlineStr">
        <is>
          <t>2.7.1 DESIGN REQUIREMENTS</t>
        </is>
      </c>
      <c r="F1848" s="18" t="inlineStr">
        <is>
          <t>All technical Infrastructure and OSS911 applications shall support Network Time Protocol (NTP) and shall be synchronized by the CONTRACTOR to the same time source as identified by MOI.</t>
        </is>
      </c>
      <c r="G1848" s="19" t="n"/>
      <c r="H1848" s="20" t="n"/>
      <c r="I1848" s="20" t="n"/>
      <c r="J1848" s="19" t="n"/>
      <c r="K1848" s="21" t="n"/>
      <c r="L1848" s="22">
        <f>IF(OR(J1848="",K1848=""),"",J1848*K1848)</f>
        <v/>
      </c>
      <c r="M1848" s="19" t="n"/>
      <c r="N1848" s="20" t="n"/>
      <c r="O1848" s="20" t="n"/>
    </row>
    <row r="1849">
      <c r="A1849" s="23" t="n">
        <v>1846</v>
      </c>
      <c r="B1849" s="24" t="inlineStr">
        <is>
          <t>2.7.1.17</t>
        </is>
      </c>
      <c r="C1849" s="25" t="inlineStr">
        <is>
          <t>Part 2 – Technical Systems</t>
        </is>
      </c>
      <c r="D1849" s="25" t="inlineStr">
        <is>
          <t>2.7 PRIVATE CLOUD TECHNICAL INFRASTRUCTURE</t>
        </is>
      </c>
      <c r="E1849" s="25" t="inlineStr">
        <is>
          <t>2.7.1 DESIGN REQUIREMENTS</t>
        </is>
      </c>
      <c r="F1849" s="25" t="inlineStr">
        <is>
          <t>All times shall be set to local Saudi Arabian Time by the CONTRACTOR.</t>
        </is>
      </c>
      <c r="G1849" s="19" t="n"/>
      <c r="H1849" s="20" t="n"/>
      <c r="I1849" s="20" t="n"/>
      <c r="J1849" s="19" t="n"/>
      <c r="K1849" s="21" t="n"/>
      <c r="L1849" s="22">
        <f>IF(OR(J1849="",K1849=""),"",J1849*K1849)</f>
        <v/>
      </c>
      <c r="M1849" s="19" t="n"/>
      <c r="N1849" s="20" t="n"/>
      <c r="O1849" s="20" t="n"/>
    </row>
    <row r="1850">
      <c r="A1850" s="16" t="n">
        <v>1847</v>
      </c>
      <c r="B1850" s="17" t="inlineStr">
        <is>
          <t>2.7.1.18</t>
        </is>
      </c>
      <c r="C1850" s="18" t="inlineStr">
        <is>
          <t>Part 2 – Technical Systems</t>
        </is>
      </c>
      <c r="D1850" s="18" t="inlineStr">
        <is>
          <t>2.7 PRIVATE CLOUD TECHNICAL INFRASTRUCTURE</t>
        </is>
      </c>
      <c r="E1850" s="18" t="inlineStr">
        <is>
          <t>2.7.1 DESIGN REQUIREMENTS</t>
        </is>
      </c>
      <c r="F1850" s="18" t="inlineStr">
        <is>
          <t>The CONTRACTOR shall implement a centralized LDAP solution for all the OSS911 solutions under the scope of delivery of the contractor.</t>
        </is>
      </c>
      <c r="G1850" s="19" t="n"/>
      <c r="H1850" s="20" t="n"/>
      <c r="I1850" s="20" t="n"/>
      <c r="J1850" s="19" t="n"/>
      <c r="K1850" s="21" t="n"/>
      <c r="L1850" s="22">
        <f>IF(OR(J1850="",K1850=""),"",J1850*K1850)</f>
        <v/>
      </c>
      <c r="M1850" s="19" t="n"/>
      <c r="N1850" s="20" t="n"/>
      <c r="O1850" s="20" t="n"/>
    </row>
    <row r="1851">
      <c r="A1851" s="23" t="n">
        <v>1848</v>
      </c>
      <c r="B1851" s="24" t="inlineStr">
        <is>
          <t>2.7.1.19</t>
        </is>
      </c>
      <c r="C1851" s="25" t="inlineStr">
        <is>
          <t>Part 2 – Technical Systems</t>
        </is>
      </c>
      <c r="D1851" s="25" t="inlineStr">
        <is>
          <t>2.7 PRIVATE CLOUD TECHNICAL INFRASTRUCTURE</t>
        </is>
      </c>
      <c r="E1851" s="25" t="inlineStr">
        <is>
          <t>2.7.1 DESIGN REQUIREMENTS</t>
        </is>
      </c>
      <c r="F1851" s="25" t="inlineStr">
        <is>
          <t>The CONTRACTOR shall implement the LDAP service to assist in the management, monitoring and tracking of all aspects of the OSS911 Center Technical Infrastructure, including the assignment of policies, deployment of software and application of patches and critical updates.</t>
        </is>
      </c>
      <c r="G1851" s="19" t="n"/>
      <c r="H1851" s="20" t="n"/>
      <c r="I1851" s="20" t="n"/>
      <c r="J1851" s="19" t="n"/>
      <c r="K1851" s="21" t="n"/>
      <c r="L1851" s="22">
        <f>IF(OR(J1851="",K1851=""),"",J1851*K1851)</f>
        <v/>
      </c>
      <c r="M1851" s="19" t="n"/>
      <c r="N1851" s="20" t="n"/>
      <c r="O1851" s="20" t="n"/>
    </row>
    <row r="1852">
      <c r="A1852" s="16" t="n">
        <v>1849</v>
      </c>
      <c r="B1852" s="17" t="inlineStr">
        <is>
          <t>2.7.1.20</t>
        </is>
      </c>
      <c r="C1852" s="18" t="inlineStr">
        <is>
          <t>Part 2 – Technical Systems</t>
        </is>
      </c>
      <c r="D1852" s="18" t="inlineStr">
        <is>
          <t>2.7 PRIVATE CLOUD TECHNICAL INFRASTRUCTURE</t>
        </is>
      </c>
      <c r="E1852" s="18" t="inlineStr">
        <is>
          <t>2.7.1 DESIGN REQUIREMENTS</t>
        </is>
      </c>
      <c r="F1852" s="18" t="inlineStr">
        <is>
          <t>The CONTRACTOR shall implement the following for authorization and authentication with the LDAP:</t>
        </is>
      </c>
      <c r="G1852" s="19" t="n"/>
      <c r="H1852" s="20" t="n"/>
      <c r="I1852" s="20" t="n"/>
      <c r="J1852" s="19" t="n"/>
      <c r="K1852" s="21" t="n"/>
      <c r="L1852" s="22">
        <f>IF(OR(J1852="",K1852=""),"",J1852*K1852)</f>
        <v/>
      </c>
      <c r="M1852" s="19" t="n"/>
      <c r="N1852" s="20" t="n"/>
      <c r="O1852" s="20" t="n"/>
    </row>
    <row r="1853">
      <c r="A1853" s="23" t="n">
        <v>1850</v>
      </c>
      <c r="B1853" s="23" t="inlineStr">
        <is>
          <t>2.7.1.20.1</t>
        </is>
      </c>
      <c r="C1853" s="25" t="inlineStr">
        <is>
          <t>Part 2 – Technical Systems</t>
        </is>
      </c>
      <c r="D1853" s="25" t="inlineStr">
        <is>
          <t>2.7 PRIVATE CLOUD TECHNICAL INFRASTRUCTURE</t>
        </is>
      </c>
      <c r="E1853" s="25" t="inlineStr">
        <is>
          <t>2.7.1 DESIGN REQUIREMENTS</t>
        </is>
      </c>
      <c r="F1853" s="25" t="inlineStr">
        <is>
          <t>A mandatory single sign-On scheme based on a user name and a complex password for any user of OSS911 solutions.</t>
        </is>
      </c>
      <c r="G1853" s="19" t="n"/>
      <c r="H1853" s="20" t="n"/>
      <c r="I1853" s="20" t="n"/>
      <c r="J1853" s="19" t="n"/>
      <c r="K1853" s="21" t="n"/>
      <c r="L1853" s="22">
        <f>IF(OR(J1853="",K1853=""),"",J1853*K1853)</f>
        <v/>
      </c>
      <c r="M1853" s="19" t="n"/>
      <c r="N1853" s="20" t="n"/>
      <c r="O1853" s="20" t="n"/>
    </row>
    <row r="1854">
      <c r="A1854" s="16" t="n">
        <v>1851</v>
      </c>
      <c r="B1854" s="16" t="inlineStr">
        <is>
          <t>2.7.1.20.2</t>
        </is>
      </c>
      <c r="C1854" s="18" t="inlineStr">
        <is>
          <t>Part 2 – Technical Systems</t>
        </is>
      </c>
      <c r="D1854" s="18" t="inlineStr">
        <is>
          <t>2.7 PRIVATE CLOUD TECHNICAL INFRASTRUCTURE</t>
        </is>
      </c>
      <c r="E1854" s="18" t="inlineStr">
        <is>
          <t>2.7.1 DESIGN REQUIREMENTS</t>
        </is>
      </c>
      <c r="F1854" s="18" t="inlineStr">
        <is>
          <t>A multi-factor authentication scheme for administering, monitoring and managing any technical infrastructure and/or OSS911 solution and/or service.</t>
        </is>
      </c>
      <c r="G1854" s="19" t="n"/>
      <c r="H1854" s="20" t="n"/>
      <c r="I1854" s="20" t="n"/>
      <c r="J1854" s="19" t="n"/>
      <c r="K1854" s="21" t="n"/>
      <c r="L1854" s="22">
        <f>IF(OR(J1854="",K1854=""),"",J1854*K1854)</f>
        <v/>
      </c>
      <c r="M1854" s="19" t="n"/>
      <c r="N1854" s="20" t="n"/>
      <c r="O1854" s="20" t="n"/>
    </row>
    <row r="1855">
      <c r="A1855" s="23" t="n">
        <v>1852</v>
      </c>
      <c r="B1855" s="24" t="inlineStr">
        <is>
          <t>2.7.1.21</t>
        </is>
      </c>
      <c r="C1855" s="25" t="inlineStr">
        <is>
          <t>Part 2 – Technical Systems</t>
        </is>
      </c>
      <c r="D1855" s="25" t="inlineStr">
        <is>
          <t>2.7 PRIVATE CLOUD TECHNICAL INFRASTRUCTURE</t>
        </is>
      </c>
      <c r="E1855" s="25" t="inlineStr">
        <is>
          <t>2.7.1 DESIGN REQUIREMENTS</t>
        </is>
      </c>
      <c r="F1855" s="25" t="inlineStr">
        <is>
          <t>The CONTRACTOR shall implement LDAP domain for production environment within OSS911 that is separate than the LDAP domain for testing and the LDAP domain for training systems.</t>
        </is>
      </c>
      <c r="G1855" s="19" t="n"/>
      <c r="H1855" s="20" t="n"/>
      <c r="I1855" s="20" t="n"/>
      <c r="J1855" s="19" t="n"/>
      <c r="K1855" s="21" t="n"/>
      <c r="L1855" s="22">
        <f>IF(OR(J1855="",K1855=""),"",J1855*K1855)</f>
        <v/>
      </c>
      <c r="M1855" s="19" t="n"/>
      <c r="N1855" s="20" t="n"/>
      <c r="O1855" s="20" t="n"/>
    </row>
    <row r="1856">
      <c r="A1856" s="16" t="n">
        <v>1853</v>
      </c>
      <c r="B1856" s="17" t="inlineStr">
        <is>
          <t>2.7.1.22</t>
        </is>
      </c>
      <c r="C1856" s="18" t="inlineStr">
        <is>
          <t>Part 2 – Technical Systems</t>
        </is>
      </c>
      <c r="D1856" s="18" t="inlineStr">
        <is>
          <t>2.7 PRIVATE CLOUD TECHNICAL INFRASTRUCTURE</t>
        </is>
      </c>
      <c r="E1856" s="18" t="inlineStr">
        <is>
          <t>2.7.1 DESIGN REQUIREMENTS</t>
        </is>
      </c>
      <c r="F1856" s="18" t="inlineStr">
        <is>
          <t>Within each domain, users shall be arranged into functional units that represent a function within OSS911 Center.</t>
        </is>
      </c>
      <c r="G1856" s="19" t="n"/>
      <c r="H1856" s="20" t="n"/>
      <c r="I1856" s="20" t="n"/>
      <c r="J1856" s="19" t="n"/>
      <c r="K1856" s="21" t="n"/>
      <c r="L1856" s="22">
        <f>IF(OR(J1856="",K1856=""),"",J1856*K1856)</f>
        <v/>
      </c>
      <c r="M1856" s="19" t="n"/>
      <c r="N1856" s="20" t="n"/>
      <c r="O1856" s="20" t="n"/>
    </row>
    <row r="1857">
      <c r="A1857" s="23" t="n">
        <v>1854</v>
      </c>
      <c r="B1857" s="24" t="inlineStr">
        <is>
          <t>2.7.1.23</t>
        </is>
      </c>
      <c r="C1857" s="25" t="inlineStr">
        <is>
          <t>Part 2 – Technical Systems</t>
        </is>
      </c>
      <c r="D1857" s="25" t="inlineStr">
        <is>
          <t>2.7 PRIVATE CLOUD TECHNICAL INFRASTRUCTURE</t>
        </is>
      </c>
      <c r="E1857" s="25" t="inlineStr">
        <is>
          <t>2.7.1 DESIGN REQUIREMENTS</t>
        </is>
      </c>
      <c r="F1857" s="25" t="inlineStr">
        <is>
          <t>All users shall be required to log on to the LDAP before they can access any PC features or LAN resources.</t>
        </is>
      </c>
      <c r="G1857" s="19" t="n"/>
      <c r="H1857" s="20" t="n"/>
      <c r="I1857" s="20" t="n"/>
      <c r="J1857" s="19" t="n"/>
      <c r="K1857" s="21" t="n"/>
      <c r="L1857" s="22">
        <f>IF(OR(J1857="",K1857=""),"",J1857*K1857)</f>
        <v/>
      </c>
      <c r="M1857" s="19" t="n"/>
      <c r="N1857" s="20" t="n"/>
      <c r="O1857" s="20" t="n"/>
    </row>
    <row r="1858">
      <c r="A1858" s="16" t="n">
        <v>1855</v>
      </c>
      <c r="B1858" s="17" t="inlineStr">
        <is>
          <t>2.7.1.24</t>
        </is>
      </c>
      <c r="C1858" s="18" t="inlineStr">
        <is>
          <t>Part 2 – Technical Systems</t>
        </is>
      </c>
      <c r="D1858" s="18" t="inlineStr">
        <is>
          <t>2.7 PRIVATE CLOUD TECHNICAL INFRASTRUCTURE</t>
        </is>
      </c>
      <c r="E1858" s="18" t="inlineStr">
        <is>
          <t>2.7.1 DESIGN REQUIREMENTS</t>
        </is>
      </c>
      <c r="F1858" s="18" t="inlineStr">
        <is>
          <t>All PCs within the OSS911 shall be a member of the directory before they can access any services within the directory.</t>
        </is>
      </c>
      <c r="G1858" s="19" t="n"/>
      <c r="H1858" s="20" t="n"/>
      <c r="I1858" s="20" t="n"/>
      <c r="J1858" s="19" t="n"/>
      <c r="K1858" s="21" t="n"/>
      <c r="L1858" s="22">
        <f>IF(OR(J1858="",K1858=""),"",J1858*K1858)</f>
        <v/>
      </c>
      <c r="M1858" s="19" t="n"/>
      <c r="N1858" s="20" t="n"/>
      <c r="O1858" s="20" t="n"/>
    </row>
    <row r="1859">
      <c r="A1859" s="23" t="n">
        <v>1856</v>
      </c>
      <c r="B1859" s="24" t="inlineStr">
        <is>
          <t>2.7.1.25</t>
        </is>
      </c>
      <c r="C1859" s="25" t="inlineStr">
        <is>
          <t>Part 2 – Technical Systems</t>
        </is>
      </c>
      <c r="D1859" s="25" t="inlineStr">
        <is>
          <t>2.7 PRIVATE CLOUD TECHNICAL INFRASTRUCTURE</t>
        </is>
      </c>
      <c r="E1859" s="25" t="inlineStr">
        <is>
          <t>2.7.1 DESIGN REQUIREMENTS</t>
        </is>
      </c>
      <c r="F1859" s="25" t="inlineStr">
        <is>
          <t>Policy shall be used to control the features of the PC and apply security settings. The CONTRACTOR shall develop, document and implement the policies as per the approval of the MOI.</t>
        </is>
      </c>
      <c r="G1859" s="19" t="n"/>
      <c r="H1859" s="20" t="n"/>
      <c r="I1859" s="20" t="n"/>
      <c r="J1859" s="19" t="n"/>
      <c r="K1859" s="21" t="n"/>
      <c r="L1859" s="22">
        <f>IF(OR(J1859="",K1859=""),"",J1859*K1859)</f>
        <v/>
      </c>
      <c r="M1859" s="19" t="n"/>
      <c r="N1859" s="20" t="n"/>
      <c r="O1859" s="20" t="n"/>
    </row>
    <row r="1860">
      <c r="A1860" s="16" t="n">
        <v>1857</v>
      </c>
      <c r="B1860" s="17" t="inlineStr">
        <is>
          <t>2.7.2.1</t>
        </is>
      </c>
      <c r="C1860" s="18" t="inlineStr">
        <is>
          <t>Part 2 – Technical Systems</t>
        </is>
      </c>
      <c r="D1860" s="18" t="inlineStr">
        <is>
          <t>2.7 PRIVATE CLOUD TECHNICAL INFRASTRUCTURE</t>
        </is>
      </c>
      <c r="E1860" s="18" t="inlineStr">
        <is>
          <t>2.7.2 OSS911 VIRTUALIZATION SOLUTION</t>
        </is>
      </c>
      <c r="F1860" s="18" t="inlineStr">
        <is>
          <t>Any and all technical infrastructure implemented by the CONTRACTOR shall be based on virtualized solutions in the OSS911 center in scope, sized for the concept of operations outlined in this document and for the OSS911 applications that shall be delivered by the CONTRACTOR based on this concept of operations.</t>
        </is>
      </c>
      <c r="G1860" s="19" t="n"/>
      <c r="H1860" s="20" t="n"/>
      <c r="I1860" s="20" t="n"/>
      <c r="J1860" s="19" t="n"/>
      <c r="K1860" s="21" t="n"/>
      <c r="L1860" s="22">
        <f>IF(OR(J1860="",K1860=""),"",J1860*K1860)</f>
        <v/>
      </c>
      <c r="M1860" s="19" t="n"/>
      <c r="N1860" s="20" t="n"/>
      <c r="O1860" s="20" t="n"/>
    </row>
    <row r="1861">
      <c r="A1861" s="23" t="n">
        <v>1858</v>
      </c>
      <c r="B1861" s="24" t="inlineStr">
        <is>
          <t>2.7.2.2</t>
        </is>
      </c>
      <c r="C1861" s="25" t="inlineStr">
        <is>
          <t>Part 2 – Technical Systems</t>
        </is>
      </c>
      <c r="D1861" s="25" t="inlineStr">
        <is>
          <t>2.7 PRIVATE CLOUD TECHNICAL INFRASTRUCTURE</t>
        </is>
      </c>
      <c r="E1861" s="25" t="inlineStr">
        <is>
          <t>2.7.2 OSS911 VIRTUALIZATION SOLUTION</t>
        </is>
      </c>
      <c r="F1861" s="25" t="inlineStr">
        <is>
          <t>The CONTRACTOR shall deliver the OSS911 solutions using technical infrastructure is based on 100% virtualized systems hosted in hyperscale private cloud based on Software Defined Data Centers (SDDC) where all infrastructure is virtualized and delivered as a service, using highly available virtualization platforms.</t>
        </is>
      </c>
      <c r="G1861" s="19" t="n"/>
      <c r="H1861" s="20" t="n"/>
      <c r="I1861" s="20" t="n"/>
      <c r="J1861" s="19" t="n"/>
      <c r="K1861" s="21" t="n"/>
      <c r="L1861" s="22">
        <f>IF(OR(J1861="",K1861=""),"",J1861*K1861)</f>
        <v/>
      </c>
      <c r="M1861" s="19" t="n"/>
      <c r="N1861" s="20" t="n"/>
      <c r="O1861" s="20" t="n"/>
    </row>
    <row r="1862">
      <c r="A1862" s="16" t="n">
        <v>1859</v>
      </c>
      <c r="B1862" s="17" t="inlineStr">
        <is>
          <t>2.7.2.3</t>
        </is>
      </c>
      <c r="C1862" s="18" t="inlineStr">
        <is>
          <t>Part 2 – Technical Systems</t>
        </is>
      </c>
      <c r="D1862" s="18" t="inlineStr">
        <is>
          <t>2.7 PRIVATE CLOUD TECHNICAL INFRASTRUCTURE</t>
        </is>
      </c>
      <c r="E1862" s="18" t="inlineStr">
        <is>
          <t>2.7.2 OSS911 VIRTUALIZATION SOLUTION</t>
        </is>
      </c>
      <c r="F1862" s="18" t="inlineStr">
        <is>
          <t>The BIDDER shall provide evidence that their proposed virtualization solution has been used for similar 911 center solutions.</t>
        </is>
      </c>
      <c r="G1862" s="19" t="n"/>
      <c r="H1862" s="20" t="n"/>
      <c r="I1862" s="20" t="n"/>
      <c r="J1862" s="19" t="n"/>
      <c r="K1862" s="21" t="n"/>
      <c r="L1862" s="22">
        <f>IF(OR(J1862="",K1862=""),"",J1862*K1862)</f>
        <v/>
      </c>
      <c r="M1862" s="19" t="n"/>
      <c r="N1862" s="20" t="n"/>
      <c r="O1862" s="20" t="n"/>
    </row>
    <row r="1863">
      <c r="A1863" s="23" t="n">
        <v>1860</v>
      </c>
      <c r="B1863" s="24" t="inlineStr">
        <is>
          <t>2.7.2.4</t>
        </is>
      </c>
      <c r="C1863" s="25" t="inlineStr">
        <is>
          <t>Part 2 – Technical Systems</t>
        </is>
      </c>
      <c r="D1863" s="25" t="inlineStr">
        <is>
          <t>2.7 PRIVATE CLOUD TECHNICAL INFRASTRUCTURE</t>
        </is>
      </c>
      <c r="E1863" s="25" t="inlineStr">
        <is>
          <t>2.7.2 OSS911 VIRTUALIZATION SOLUTION</t>
        </is>
      </c>
      <c r="F1863" s="25" t="inlineStr">
        <is>
          <t>Technical Infrastructure serving an OSS911 center telephony and recording solution shall be hosted at that OSS911 center supported by the required network and cybersecurity technical infrastructure.</t>
        </is>
      </c>
      <c r="G1863" s="19" t="n"/>
      <c r="H1863" s="20" t="n"/>
      <c r="I1863" s="20" t="n"/>
      <c r="J1863" s="19" t="n"/>
      <c r="K1863" s="21" t="n"/>
      <c r="L1863" s="22">
        <f>IF(OR(J1863="",K1863=""),"",J1863*K1863)</f>
        <v/>
      </c>
      <c r="M1863" s="19" t="n"/>
      <c r="N1863" s="20" t="n"/>
      <c r="O1863" s="20" t="n"/>
    </row>
    <row r="1864">
      <c r="A1864" s="16" t="n">
        <v>1861</v>
      </c>
      <c r="B1864" s="17" t="inlineStr">
        <is>
          <t>2.7.2.5</t>
        </is>
      </c>
      <c r="C1864" s="18" t="inlineStr">
        <is>
          <t>Part 2 – Technical Systems</t>
        </is>
      </c>
      <c r="D1864" s="18" t="inlineStr">
        <is>
          <t>2.7 PRIVATE CLOUD TECHNICAL INFRASTRUCTURE</t>
        </is>
      </c>
      <c r="E1864" s="18" t="inlineStr">
        <is>
          <t>2.7.2 OSS911 VIRTUALIZATION SOLUTION</t>
        </is>
      </c>
      <c r="F1864" s="18" t="inlineStr">
        <is>
          <t>Technical Infrastructure serving all other OSS911 solutions supported by the required network and cybersecurity technical infrastructure shall be hosted the OSS911 center in scope of the project.</t>
        </is>
      </c>
      <c r="G1864" s="19" t="n"/>
      <c r="H1864" s="20" t="n"/>
      <c r="I1864" s="20" t="n"/>
      <c r="J1864" s="19" t="n"/>
      <c r="K1864" s="21" t="n"/>
      <c r="L1864" s="22">
        <f>IF(OR(J1864="",K1864=""),"",J1864*K1864)</f>
        <v/>
      </c>
      <c r="M1864" s="19" t="n"/>
      <c r="N1864" s="20" t="n"/>
      <c r="O1864" s="20" t="n"/>
    </row>
    <row r="1865">
      <c r="A1865" s="23" t="n">
        <v>1862</v>
      </c>
      <c r="B1865" s="24" t="inlineStr">
        <is>
          <t>2.7.2.6</t>
        </is>
      </c>
      <c r="C1865" s="25" t="inlineStr">
        <is>
          <t>Part 2 – Technical Systems</t>
        </is>
      </c>
      <c r="D1865" s="25" t="inlineStr">
        <is>
          <t>2.7 PRIVATE CLOUD TECHNICAL INFRASTRUCTURE</t>
        </is>
      </c>
      <c r="E1865" s="25" t="inlineStr">
        <is>
          <t>2.7.2 OSS911 VIRTUALIZATION SOLUTION</t>
        </is>
      </c>
      <c r="F1865" s="25" t="inlineStr">
        <is>
          <t>Technical infrastructure shall be compliant with authorized hardware specifications as found on the MOI and NIC websites.</t>
        </is>
      </c>
      <c r="G1865" s="19" t="n"/>
      <c r="H1865" s="20" t="n"/>
      <c r="I1865" s="20" t="n"/>
      <c r="J1865" s="19" t="n"/>
      <c r="K1865" s="21" t="n"/>
      <c r="L1865" s="22">
        <f>IF(OR(J1865="",K1865=""),"",J1865*K1865)</f>
        <v/>
      </c>
      <c r="M1865" s="19" t="n"/>
      <c r="N1865" s="20" t="n"/>
      <c r="O1865" s="20" t="n"/>
    </row>
    <row r="1866">
      <c r="A1866" s="16" t="n">
        <v>1863</v>
      </c>
      <c r="B1866" s="17" t="inlineStr">
        <is>
          <t>2.7.2.7</t>
        </is>
      </c>
      <c r="C1866" s="18" t="inlineStr">
        <is>
          <t>Part 2 – Technical Systems</t>
        </is>
      </c>
      <c r="D1866" s="18" t="inlineStr">
        <is>
          <t>2.7 PRIVATE CLOUD TECHNICAL INFRASTRUCTURE</t>
        </is>
      </c>
      <c r="E1866" s="18" t="inlineStr">
        <is>
          <t>2.7.2 OSS911 VIRTUALIZATION SOLUTION</t>
        </is>
      </c>
      <c r="F1866" s="18" t="inlineStr">
        <is>
          <t>The BIDDER shall include the following in their proposal while describing the virtualization solution:</t>
        </is>
      </c>
      <c r="G1866" s="19" t="n"/>
      <c r="H1866" s="20" t="n"/>
      <c r="I1866" s="20" t="n"/>
      <c r="J1866" s="19" t="n"/>
      <c r="K1866" s="21" t="n"/>
      <c r="L1866" s="22">
        <f>IF(OR(J1866="",K1866=""),"",J1866*K1866)</f>
        <v/>
      </c>
      <c r="M1866" s="19" t="n"/>
      <c r="N1866" s="20" t="n"/>
      <c r="O1866" s="20" t="n"/>
    </row>
    <row r="1867">
      <c r="A1867" s="23" t="n">
        <v>1864</v>
      </c>
      <c r="B1867" s="23" t="inlineStr">
        <is>
          <t>2.7.2.7.1</t>
        </is>
      </c>
      <c r="C1867" s="25" t="inlineStr">
        <is>
          <t>Part 2 – Technical Systems</t>
        </is>
      </c>
      <c r="D1867" s="25" t="inlineStr">
        <is>
          <t>2.7 PRIVATE CLOUD TECHNICAL INFRASTRUCTURE</t>
        </is>
      </c>
      <c r="E1867" s="25" t="inlineStr">
        <is>
          <t>2.7.2 OSS911 VIRTUALIZATION SOLUTION</t>
        </is>
      </c>
      <c r="F1867" s="25" t="inlineStr">
        <is>
          <t>Proposed server capacity to host the solution: number of VMs per server/socket, amount of memory per VM</t>
        </is>
      </c>
      <c r="G1867" s="19" t="n"/>
      <c r="H1867" s="20" t="n"/>
      <c r="I1867" s="20" t="n"/>
      <c r="J1867" s="19" t="n"/>
      <c r="K1867" s="21" t="n"/>
      <c r="L1867" s="22">
        <f>IF(OR(J1867="",K1867=""),"",J1867*K1867)</f>
        <v/>
      </c>
      <c r="M1867" s="19" t="n"/>
      <c r="N1867" s="20" t="n"/>
      <c r="O1867" s="20" t="n"/>
    </row>
    <row r="1868">
      <c r="A1868" s="16" t="n">
        <v>1865</v>
      </c>
      <c r="B1868" s="16" t="inlineStr">
        <is>
          <t>2.7.2.7.2</t>
        </is>
      </c>
      <c r="C1868" s="18" t="inlineStr">
        <is>
          <t>Part 2 – Technical Systems</t>
        </is>
      </c>
      <c r="D1868" s="18" t="inlineStr">
        <is>
          <t>2.7 PRIVATE CLOUD TECHNICAL INFRASTRUCTURE</t>
        </is>
      </c>
      <c r="E1868" s="18" t="inlineStr">
        <is>
          <t>2.7.2 OSS911 VIRTUALIZATION SOLUTION</t>
        </is>
      </c>
      <c r="F1868" s="18" t="inlineStr">
        <is>
          <t>Proposed storage capacity</t>
        </is>
      </c>
      <c r="G1868" s="19" t="n"/>
      <c r="H1868" s="20" t="n"/>
      <c r="I1868" s="20" t="n"/>
      <c r="J1868" s="19" t="n"/>
      <c r="K1868" s="21" t="n"/>
      <c r="L1868" s="22">
        <f>IF(OR(J1868="",K1868=""),"",J1868*K1868)</f>
        <v/>
      </c>
      <c r="M1868" s="19" t="n"/>
      <c r="N1868" s="20" t="n"/>
      <c r="O1868" s="20" t="n"/>
    </row>
    <row r="1869">
      <c r="A1869" s="23" t="n">
        <v>1866</v>
      </c>
      <c r="B1869" s="23" t="inlineStr">
        <is>
          <t>2.7.2.7.3</t>
        </is>
      </c>
      <c r="C1869" s="25" t="inlineStr">
        <is>
          <t>Part 2 – Technical Systems</t>
        </is>
      </c>
      <c r="D1869" s="25" t="inlineStr">
        <is>
          <t>2.7 PRIVATE CLOUD TECHNICAL INFRASTRUCTURE</t>
        </is>
      </c>
      <c r="E1869" s="25" t="inlineStr">
        <is>
          <t>2.7.2 OSS911 VIRTUALIZATION SOLUTION</t>
        </is>
      </c>
      <c r="F1869" s="25" t="inlineStr">
        <is>
          <t>Total storage requirements per VM and for the solution</t>
        </is>
      </c>
      <c r="G1869" s="19" t="n"/>
      <c r="H1869" s="20" t="n"/>
      <c r="I1869" s="20" t="n"/>
      <c r="J1869" s="19" t="n"/>
      <c r="K1869" s="21" t="n"/>
      <c r="L1869" s="22">
        <f>IF(OR(J1869="",K1869=""),"",J1869*K1869)</f>
        <v/>
      </c>
      <c r="M1869" s="19" t="n"/>
      <c r="N1869" s="20" t="n"/>
      <c r="O1869" s="20" t="n"/>
    </row>
    <row r="1870">
      <c r="A1870" s="16" t="n">
        <v>1867</v>
      </c>
      <c r="B1870" s="16" t="inlineStr">
        <is>
          <t>2.7.2.7.4</t>
        </is>
      </c>
      <c r="C1870" s="18" t="inlineStr">
        <is>
          <t>Part 2 – Technical Systems</t>
        </is>
      </c>
      <c r="D1870" s="18" t="inlineStr">
        <is>
          <t>2.7 PRIVATE CLOUD TECHNICAL INFRASTRUCTURE</t>
        </is>
      </c>
      <c r="E1870" s="18" t="inlineStr">
        <is>
          <t>2.7.2 OSS911 VIRTUALIZATION SOLUTION</t>
        </is>
      </c>
      <c r="F1870" s="18" t="inlineStr">
        <is>
          <t>Total network capacity requirement per VM.</t>
        </is>
      </c>
      <c r="G1870" s="19" t="n"/>
      <c r="H1870" s="20" t="n"/>
      <c r="I1870" s="20" t="n"/>
      <c r="J1870" s="19" t="n"/>
      <c r="K1870" s="21" t="n"/>
      <c r="L1870" s="22">
        <f>IF(OR(J1870="",K1870=""),"",J1870*K1870)</f>
        <v/>
      </c>
      <c r="M1870" s="19" t="n"/>
      <c r="N1870" s="20" t="n"/>
      <c r="O1870" s="20" t="n"/>
    </row>
    <row r="1871">
      <c r="A1871" s="23" t="n">
        <v>1868</v>
      </c>
      <c r="B1871" s="23" t="inlineStr">
        <is>
          <t>2.7.2.7.5</t>
        </is>
      </c>
      <c r="C1871" s="25" t="inlineStr">
        <is>
          <t>Part 2 – Technical Systems</t>
        </is>
      </c>
      <c r="D1871" s="25" t="inlineStr">
        <is>
          <t>2.7 PRIVATE CLOUD TECHNICAL INFRASTRUCTURE</t>
        </is>
      </c>
      <c r="E1871" s="25" t="inlineStr">
        <is>
          <t>2.7.2 OSS911 VIRTUALIZATION SOLUTION</t>
        </is>
      </c>
      <c r="F1871" s="25" t="inlineStr">
        <is>
          <t>The overall architecture of the virtualized systems</t>
        </is>
      </c>
      <c r="G1871" s="19" t="n"/>
      <c r="H1871" s="20" t="n"/>
      <c r="I1871" s="20" t="n"/>
      <c r="J1871" s="19" t="n"/>
      <c r="K1871" s="21" t="n"/>
      <c r="L1871" s="22">
        <f>IF(OR(J1871="",K1871=""),"",J1871*K1871)</f>
        <v/>
      </c>
      <c r="M1871" s="19" t="n"/>
      <c r="N1871" s="20" t="n"/>
      <c r="O1871" s="20" t="n"/>
    </row>
    <row r="1872">
      <c r="A1872" s="16" t="n">
        <v>1869</v>
      </c>
      <c r="B1872" s="16" t="inlineStr">
        <is>
          <t>2.7.2.7.6</t>
        </is>
      </c>
      <c r="C1872" s="18" t="inlineStr">
        <is>
          <t>Part 2 – Technical Systems</t>
        </is>
      </c>
      <c r="D1872" s="18" t="inlineStr">
        <is>
          <t>2.7 PRIVATE CLOUD TECHNICAL INFRASTRUCTURE</t>
        </is>
      </c>
      <c r="E1872" s="18" t="inlineStr">
        <is>
          <t>2.7.2 OSS911 VIRTUALIZATION SOLUTION</t>
        </is>
      </c>
      <c r="F1872" s="18" t="inlineStr">
        <is>
          <t>Diagrams of the core virtualized system components</t>
        </is>
      </c>
      <c r="G1872" s="19" t="n"/>
      <c r="H1872" s="20" t="n"/>
      <c r="I1872" s="20" t="n"/>
      <c r="J1872" s="19" t="n"/>
      <c r="K1872" s="21" t="n"/>
      <c r="L1872" s="22">
        <f>IF(OR(J1872="",K1872=""),"",J1872*K1872)</f>
        <v/>
      </c>
      <c r="M1872" s="19" t="n"/>
      <c r="N1872" s="20" t="n"/>
      <c r="O1872" s="20" t="n"/>
    </row>
    <row r="1873">
      <c r="A1873" s="23" t="n">
        <v>1870</v>
      </c>
      <c r="B1873" s="23" t="inlineStr">
        <is>
          <t>2.7.2.7.7</t>
        </is>
      </c>
      <c r="C1873" s="25" t="inlineStr">
        <is>
          <t>Part 2 – Technical Systems</t>
        </is>
      </c>
      <c r="D1873" s="25" t="inlineStr">
        <is>
          <t>2.7 PRIVATE CLOUD TECHNICAL INFRASTRUCTURE</t>
        </is>
      </c>
      <c r="E1873" s="25" t="inlineStr">
        <is>
          <t>2.7.2 OSS911 VIRTUALIZATION SOLUTION</t>
        </is>
      </c>
      <c r="F1873" s="25" t="inlineStr">
        <is>
          <t>Design including the appropriate products and licensing</t>
        </is>
      </c>
      <c r="G1873" s="19" t="n"/>
      <c r="H1873" s="20" t="n"/>
      <c r="I1873" s="20" t="n"/>
      <c r="J1873" s="19" t="n"/>
      <c r="K1873" s="21" t="n"/>
      <c r="L1873" s="22">
        <f>IF(OR(J1873="",K1873=""),"",J1873*K1873)</f>
        <v/>
      </c>
      <c r="M1873" s="19" t="n"/>
      <c r="N1873" s="20" t="n"/>
      <c r="O1873" s="20" t="n"/>
    </row>
    <row r="1874">
      <c r="A1874" s="16" t="n">
        <v>1871</v>
      </c>
      <c r="B1874" s="16" t="inlineStr">
        <is>
          <t>2.7.2.7.8</t>
        </is>
      </c>
      <c r="C1874" s="18" t="inlineStr">
        <is>
          <t>Part 2 – Technical Systems</t>
        </is>
      </c>
      <c r="D1874" s="18" t="inlineStr">
        <is>
          <t>2.7 PRIVATE CLOUD TECHNICAL INFRASTRUCTURE</t>
        </is>
      </c>
      <c r="E1874" s="18" t="inlineStr">
        <is>
          <t>2.7.2 OSS911 VIRTUALIZATION SOLUTION</t>
        </is>
      </c>
      <c r="F1874" s="18" t="inlineStr">
        <is>
          <t>All necessary documentation of the solution including product literature, and specification sheets</t>
        </is>
      </c>
      <c r="G1874" s="19" t="n"/>
      <c r="H1874" s="20" t="n"/>
      <c r="I1874" s="20" t="n"/>
      <c r="J1874" s="19" t="n"/>
      <c r="K1874" s="21" t="n"/>
      <c r="L1874" s="22">
        <f>IF(OR(J1874="",K1874=""),"",J1874*K1874)</f>
        <v/>
      </c>
      <c r="M1874" s="19" t="n"/>
      <c r="N1874" s="20" t="n"/>
      <c r="O1874" s="20" t="n"/>
    </row>
    <row r="1875">
      <c r="A1875" s="23" t="n">
        <v>1872</v>
      </c>
      <c r="B1875" s="23" t="inlineStr">
        <is>
          <t>2.7.2.7.9</t>
        </is>
      </c>
      <c r="C1875" s="25" t="inlineStr">
        <is>
          <t>Part 2 – Technical Systems</t>
        </is>
      </c>
      <c r="D1875" s="25" t="inlineStr">
        <is>
          <t>2.7 PRIVATE CLOUD TECHNICAL INFRASTRUCTURE</t>
        </is>
      </c>
      <c r="E1875" s="25" t="inlineStr">
        <is>
          <t>2.7.2 OSS911 VIRTUALIZATION SOLUTION</t>
        </is>
      </c>
      <c r="F1875" s="25" t="inlineStr">
        <is>
          <t>Provide equipment list with version/model numbers and design description</t>
        </is>
      </c>
      <c r="G1875" s="19" t="n"/>
      <c r="H1875" s="20" t="n"/>
      <c r="I1875" s="20" t="n"/>
      <c r="J1875" s="19" t="n"/>
      <c r="K1875" s="21" t="n"/>
      <c r="L1875" s="22">
        <f>IF(OR(J1875="",K1875=""),"",J1875*K1875)</f>
        <v/>
      </c>
      <c r="M1875" s="19" t="n"/>
      <c r="N1875" s="20" t="n"/>
      <c r="O1875" s="20" t="n"/>
    </row>
    <row r="1876">
      <c r="A1876" s="16" t="n">
        <v>1873</v>
      </c>
      <c r="B1876" s="16" t="inlineStr">
        <is>
          <t>2.7.2.7.10</t>
        </is>
      </c>
      <c r="C1876" s="18" t="inlineStr">
        <is>
          <t>Part 2 – Technical Systems</t>
        </is>
      </c>
      <c r="D1876" s="18" t="inlineStr">
        <is>
          <t>2.7 PRIVATE CLOUD TECHNICAL INFRASTRUCTURE</t>
        </is>
      </c>
      <c r="E1876" s="18" t="inlineStr">
        <is>
          <t>2.7.2 OSS911 VIRTUALIZATION SOLUTION</t>
        </is>
      </c>
      <c r="F1876" s="18" t="inlineStr">
        <is>
          <t>An itemized list of all proposed equipment</t>
        </is>
      </c>
      <c r="G1876" s="19" t="n"/>
      <c r="H1876" s="20" t="n"/>
      <c r="I1876" s="20" t="n"/>
      <c r="J1876" s="19" t="n"/>
      <c r="K1876" s="21" t="n"/>
      <c r="L1876" s="22">
        <f>IF(OR(J1876="",K1876=""),"",J1876*K1876)</f>
        <v/>
      </c>
      <c r="M1876" s="19" t="n"/>
      <c r="N1876" s="20" t="n"/>
      <c r="O1876" s="20" t="n"/>
    </row>
    <row r="1877">
      <c r="A1877" s="23" t="n">
        <v>1874</v>
      </c>
      <c r="B1877" s="23" t="inlineStr">
        <is>
          <t>2.7.2.7.11</t>
        </is>
      </c>
      <c r="C1877" s="25" t="inlineStr">
        <is>
          <t>Part 2 – Technical Systems</t>
        </is>
      </c>
      <c r="D1877" s="25" t="inlineStr">
        <is>
          <t>2.7 PRIVATE CLOUD TECHNICAL INFRASTRUCTURE</t>
        </is>
      </c>
      <c r="E1877" s="25" t="inlineStr">
        <is>
          <t>2.7.2 OSS911 VIRTUALIZATION SOLUTION</t>
        </is>
      </c>
      <c r="F1877" s="25" t="inlineStr">
        <is>
          <t>An itemized list of software and software licenses</t>
        </is>
      </c>
      <c r="G1877" s="19" t="n"/>
      <c r="H1877" s="20" t="n"/>
      <c r="I1877" s="20" t="n"/>
      <c r="J1877" s="19" t="n"/>
      <c r="K1877" s="21" t="n"/>
      <c r="L1877" s="22">
        <f>IF(OR(J1877="",K1877=""),"",J1877*K1877)</f>
        <v/>
      </c>
      <c r="M1877" s="19" t="n"/>
      <c r="N1877" s="20" t="n"/>
      <c r="O1877" s="20" t="n"/>
    </row>
    <row r="1878">
      <c r="A1878" s="16" t="n">
        <v>1875</v>
      </c>
      <c r="B1878" s="16" t="inlineStr">
        <is>
          <t>2.7.2.7.12</t>
        </is>
      </c>
      <c r="C1878" s="18" t="inlineStr">
        <is>
          <t>Part 2 – Technical Systems</t>
        </is>
      </c>
      <c r="D1878" s="18" t="inlineStr">
        <is>
          <t>2.7 PRIVATE CLOUD TECHNICAL INFRASTRUCTURE</t>
        </is>
      </c>
      <c r="E1878" s="18" t="inlineStr">
        <is>
          <t>2.7.2 OSS911 VIRTUALIZATION SOLUTION</t>
        </is>
      </c>
      <c r="F1878" s="18" t="inlineStr">
        <is>
          <t>An itemized list of services (implementation, training)</t>
        </is>
      </c>
      <c r="G1878" s="19" t="n"/>
      <c r="H1878" s="20" t="n"/>
      <c r="I1878" s="20" t="n"/>
      <c r="J1878" s="19" t="n"/>
      <c r="K1878" s="21" t="n"/>
      <c r="L1878" s="22">
        <f>IF(OR(J1878="",K1878=""),"",J1878*K1878)</f>
        <v/>
      </c>
      <c r="M1878" s="19" t="n"/>
      <c r="N1878" s="20" t="n"/>
      <c r="O1878" s="20" t="n"/>
    </row>
    <row r="1879">
      <c r="A1879" s="23" t="n">
        <v>1876</v>
      </c>
      <c r="B1879" s="23" t="inlineStr">
        <is>
          <t>2.7.2.7.13</t>
        </is>
      </c>
      <c r="C1879" s="25" t="inlineStr">
        <is>
          <t>Part 2 – Technical Systems</t>
        </is>
      </c>
      <c r="D1879" s="25" t="inlineStr">
        <is>
          <t>2.7 PRIVATE CLOUD TECHNICAL INFRASTRUCTURE</t>
        </is>
      </c>
      <c r="E1879" s="25" t="inlineStr">
        <is>
          <t>2.7.2 OSS911 VIRTUALIZATION SOLUTION</t>
        </is>
      </c>
      <c r="F1879" s="25" t="inlineStr">
        <is>
          <t>A full description of the high availability and failover capabilities of the solution</t>
        </is>
      </c>
      <c r="G1879" s="19" t="n"/>
      <c r="H1879" s="20" t="n"/>
      <c r="I1879" s="20" t="n"/>
      <c r="J1879" s="19" t="n"/>
      <c r="K1879" s="21" t="n"/>
      <c r="L1879" s="22">
        <f>IF(OR(J1879="",K1879=""),"",J1879*K1879)</f>
        <v/>
      </c>
      <c r="M1879" s="19" t="n"/>
      <c r="N1879" s="20" t="n"/>
      <c r="O1879" s="20" t="n"/>
    </row>
    <row r="1880">
      <c r="A1880" s="16" t="n">
        <v>1877</v>
      </c>
      <c r="B1880" s="16" t="inlineStr">
        <is>
          <t>2.7.2.7.14</t>
        </is>
      </c>
      <c r="C1880" s="18" t="inlineStr">
        <is>
          <t>Part 2 – Technical Systems</t>
        </is>
      </c>
      <c r="D1880" s="18" t="inlineStr">
        <is>
          <t>2.7 PRIVATE CLOUD TECHNICAL INFRASTRUCTURE</t>
        </is>
      </c>
      <c r="E1880" s="18" t="inlineStr">
        <is>
          <t>2.7.2 OSS911 VIRTUALIZATION SOLUTION</t>
        </is>
      </c>
      <c r="F1880" s="18" t="inlineStr">
        <is>
          <t>A summary of the proposed solution and specific supported features</t>
        </is>
      </c>
      <c r="G1880" s="19" t="n"/>
      <c r="H1880" s="20" t="n"/>
      <c r="I1880" s="20" t="n"/>
      <c r="J1880" s="19" t="n"/>
      <c r="K1880" s="21" t="n"/>
      <c r="L1880" s="22">
        <f>IF(OR(J1880="",K1880=""),"",J1880*K1880)</f>
        <v/>
      </c>
      <c r="M1880" s="19" t="n"/>
      <c r="N1880" s="20" t="n"/>
      <c r="O1880" s="20" t="n"/>
    </row>
    <row r="1881">
      <c r="A1881" s="23" t="n">
        <v>1878</v>
      </c>
      <c r="B1881" s="24" t="inlineStr">
        <is>
          <t>2.7.2.8</t>
        </is>
      </c>
      <c r="C1881" s="25" t="inlineStr">
        <is>
          <t>Part 2 – Technical Systems</t>
        </is>
      </c>
      <c r="D1881" s="25" t="inlineStr">
        <is>
          <t>2.7 PRIVATE CLOUD TECHNICAL INFRASTRUCTURE</t>
        </is>
      </c>
      <c r="E1881" s="25" t="inlineStr">
        <is>
          <t>2.7.2 OSS911 VIRTUALIZATION SOLUTION</t>
        </is>
      </c>
      <c r="F1881" s="25" t="inlineStr">
        <is>
          <t>The BIDDER shall describe the capabilities of the proposed virtualized solution in terms of VM creation and templating, physical to virtual transitioning, and provisioning of VMs across multiple physical servers.</t>
        </is>
      </c>
      <c r="G1881" s="19" t="n"/>
      <c r="H1881" s="20" t="n"/>
      <c r="I1881" s="20" t="n"/>
      <c r="J1881" s="19" t="n"/>
      <c r="K1881" s="21" t="n"/>
      <c r="L1881" s="22">
        <f>IF(OR(J1881="",K1881=""),"",J1881*K1881)</f>
        <v/>
      </c>
      <c r="M1881" s="19" t="n"/>
      <c r="N1881" s="20" t="n"/>
      <c r="O1881" s="20" t="n"/>
    </row>
    <row r="1882">
      <c r="A1882" s="16" t="n">
        <v>1879</v>
      </c>
      <c r="B1882" s="17" t="inlineStr">
        <is>
          <t>2.7.2.9</t>
        </is>
      </c>
      <c r="C1882" s="18" t="inlineStr">
        <is>
          <t>Part 2 – Technical Systems</t>
        </is>
      </c>
      <c r="D1882" s="18" t="inlineStr">
        <is>
          <t>2.7 PRIVATE CLOUD TECHNICAL INFRASTRUCTURE</t>
        </is>
      </c>
      <c r="E1882" s="18" t="inlineStr">
        <is>
          <t>2.7.2 OSS911 VIRTUALIZATION SOLUTION</t>
        </is>
      </c>
      <c r="F1882" s="18" t="inlineStr">
        <is>
          <t>The BIDDER shall clearly articulate their space, HVAC, power, and other such requirements for hosting of their equipment.</t>
        </is>
      </c>
      <c r="G1882" s="19" t="n"/>
      <c r="H1882" s="20" t="n"/>
      <c r="I1882" s="20" t="n"/>
      <c r="J1882" s="19" t="n"/>
      <c r="K1882" s="21" t="n"/>
      <c r="L1882" s="22">
        <f>IF(OR(J1882="",K1882=""),"",J1882*K1882)</f>
        <v/>
      </c>
      <c r="M1882" s="19" t="n"/>
      <c r="N1882" s="20" t="n"/>
      <c r="O1882" s="20" t="n"/>
    </row>
    <row r="1883">
      <c r="A1883" s="23" t="n">
        <v>1880</v>
      </c>
      <c r="B1883" s="24" t="inlineStr">
        <is>
          <t>2.7.2.10</t>
        </is>
      </c>
      <c r="C1883" s="25" t="inlineStr">
        <is>
          <t>Part 2 – Technical Systems</t>
        </is>
      </c>
      <c r="D1883" s="25" t="inlineStr">
        <is>
          <t>2.7 PRIVATE CLOUD TECHNICAL INFRASTRUCTURE</t>
        </is>
      </c>
      <c r="E1883" s="25" t="inlineStr">
        <is>
          <t>2.7.2 OSS911 VIRTUALIZATION SOLUTION</t>
        </is>
      </c>
      <c r="F1883" s="25" t="inlineStr">
        <is>
          <t>The BIDDER shall confirm that their solution supports network load balancing.</t>
        </is>
      </c>
      <c r="G1883" s="19" t="n"/>
      <c r="H1883" s="20" t="n"/>
      <c r="I1883" s="20" t="n"/>
      <c r="J1883" s="19" t="n"/>
      <c r="K1883" s="21" t="n"/>
      <c r="L1883" s="22">
        <f>IF(OR(J1883="",K1883=""),"",J1883*K1883)</f>
        <v/>
      </c>
      <c r="M1883" s="19" t="n"/>
      <c r="N1883" s="20" t="n"/>
      <c r="O1883" s="20" t="n"/>
    </row>
    <row r="1884">
      <c r="A1884" s="16" t="n">
        <v>1881</v>
      </c>
      <c r="B1884" s="17" t="inlineStr">
        <is>
          <t>2.7.2.11</t>
        </is>
      </c>
      <c r="C1884" s="18" t="inlineStr">
        <is>
          <t>Part 2 – Technical Systems</t>
        </is>
      </c>
      <c r="D1884" s="18" t="inlineStr">
        <is>
          <t>2.7 PRIVATE CLOUD TECHNICAL INFRASTRUCTURE</t>
        </is>
      </c>
      <c r="E1884" s="18" t="inlineStr">
        <is>
          <t>2.7.2 OSS911 VIRTUALIZATION SOLUTION</t>
        </is>
      </c>
      <c r="F1884" s="18" t="inlineStr">
        <is>
          <t>The CONTRACTOR shall deliver the OSS911 solutions using virtualization that:</t>
        </is>
      </c>
      <c r="G1884" s="19" t="n"/>
      <c r="H1884" s="20" t="n"/>
      <c r="I1884" s="20" t="n"/>
      <c r="J1884" s="19" t="n"/>
      <c r="K1884" s="21" t="n"/>
      <c r="L1884" s="22">
        <f>IF(OR(J1884="",K1884=""),"",J1884*K1884)</f>
        <v/>
      </c>
      <c r="M1884" s="19" t="n"/>
      <c r="N1884" s="20" t="n"/>
      <c r="O1884" s="20" t="n"/>
    </row>
    <row r="1885">
      <c r="A1885" s="23" t="n">
        <v>1882</v>
      </c>
      <c r="B1885" s="23" t="inlineStr">
        <is>
          <t>2.7.2.11.1</t>
        </is>
      </c>
      <c r="C1885" s="25" t="inlineStr">
        <is>
          <t>Part 2 – Technical Systems</t>
        </is>
      </c>
      <c r="D1885" s="25" t="inlineStr">
        <is>
          <t>2.7 PRIVATE CLOUD TECHNICAL INFRASTRUCTURE</t>
        </is>
      </c>
      <c r="E1885" s="25" t="inlineStr">
        <is>
          <t>2.7.2 OSS911 VIRTUALIZATION SOLUTION</t>
        </is>
      </c>
      <c r="F1885" s="25" t="inlineStr">
        <is>
          <t>Works on latest x86 server hardware available from all the leading vendors in the industry, is not proprietary and shall not be restricted to a particular vendor/make/model.</t>
        </is>
      </c>
      <c r="G1885" s="19" t="n"/>
      <c r="H1885" s="20" t="n"/>
      <c r="I1885" s="20" t="n"/>
      <c r="J1885" s="19" t="n"/>
      <c r="K1885" s="21" t="n"/>
      <c r="L1885" s="22">
        <f>IF(OR(J1885="",K1885=""),"",J1885*K1885)</f>
        <v/>
      </c>
      <c r="M1885" s="19" t="n"/>
      <c r="N1885" s="20" t="n"/>
      <c r="O1885" s="20" t="n"/>
    </row>
    <row r="1886">
      <c r="A1886" s="16" t="n">
        <v>1883</v>
      </c>
      <c r="B1886" s="16" t="inlineStr">
        <is>
          <t>2.7.2.11.2</t>
        </is>
      </c>
      <c r="C1886" s="18" t="inlineStr">
        <is>
          <t>Part 2 – Technical Systems</t>
        </is>
      </c>
      <c r="D1886" s="18" t="inlineStr">
        <is>
          <t>2.7 PRIVATE CLOUD TECHNICAL INFRASTRUCTURE</t>
        </is>
      </c>
      <c r="E1886" s="18" t="inlineStr">
        <is>
          <t>2.7.2 OSS911 VIRTUALIZATION SOLUTION</t>
        </is>
      </c>
      <c r="F1886" s="18" t="inlineStr">
        <is>
          <t>Supports NVMe, NVMe-oF, S3/RDMA, FC, ISCSI, FCoE, NFS, &amp; SMB protocol to enable various types of storage traffic with the CONTRACTOR implementing the choice of the protocol based on the design finalization with the MOI.</t>
        </is>
      </c>
      <c r="G1886" s="19" t="n"/>
      <c r="H1886" s="20" t="n"/>
      <c r="I1886" s="20" t="n"/>
      <c r="J1886" s="19" t="n"/>
      <c r="K1886" s="21" t="n"/>
      <c r="L1886" s="22">
        <f>IF(OR(J1886="",K1886=""),"",J1886*K1886)</f>
        <v/>
      </c>
      <c r="M1886" s="19" t="n"/>
      <c r="N1886" s="20" t="n"/>
      <c r="O1886" s="20" t="n"/>
    </row>
    <row r="1887">
      <c r="A1887" s="23" t="n">
        <v>1884</v>
      </c>
      <c r="B1887" s="23" t="inlineStr">
        <is>
          <t>2.7.2.11.3</t>
        </is>
      </c>
      <c r="C1887" s="25" t="inlineStr">
        <is>
          <t>Part 2 – Technical Systems</t>
        </is>
      </c>
      <c r="D1887" s="25" t="inlineStr">
        <is>
          <t>2.7 PRIVATE CLOUD TECHNICAL INFRASTRUCTURE</t>
        </is>
      </c>
      <c r="E1887" s="25" t="inlineStr">
        <is>
          <t>2.7.2 OSS911 VIRTUALIZATION SOLUTION</t>
        </is>
      </c>
      <c r="F1887" s="25" t="inlineStr">
        <is>
          <t>Provides support for heterogeneous guest Operating systems.</t>
        </is>
      </c>
      <c r="G1887" s="19" t="n"/>
      <c r="H1887" s="20" t="n"/>
      <c r="I1887" s="20" t="n"/>
      <c r="J1887" s="19" t="n"/>
      <c r="K1887" s="21" t="n"/>
      <c r="L1887" s="22">
        <f>IF(OR(J1887="",K1887=""),"",J1887*K1887)</f>
        <v/>
      </c>
      <c r="M1887" s="19" t="n"/>
      <c r="N1887" s="20" t="n"/>
      <c r="O1887" s="20" t="n"/>
    </row>
    <row r="1888">
      <c r="A1888" s="16" t="n">
        <v>1885</v>
      </c>
      <c r="B1888" s="17" t="inlineStr">
        <is>
          <t>2.7.2.12</t>
        </is>
      </c>
      <c r="C1888" s="18" t="inlineStr">
        <is>
          <t>Part 2 – Technical Systems</t>
        </is>
      </c>
      <c r="D1888" s="18" t="inlineStr">
        <is>
          <t>2.7 PRIVATE CLOUD TECHNICAL INFRASTRUCTURE</t>
        </is>
      </c>
      <c r="E1888" s="18" t="inlineStr">
        <is>
          <t>2.7.2 OSS911 VIRTUALIZATION SOLUTION</t>
        </is>
      </c>
      <c r="F1888" s="18" t="inlineStr">
        <is>
          <t>The CONTRACTOR shall implement the virtualized solution such that it is configured for scaling-up (by adding SSDs/ultra-high-capacity HDDs) and scaling-out (by adding nodes) architecture with no disruption to the workloads already running on the platform.</t>
        </is>
      </c>
      <c r="G1888" s="19" t="n"/>
      <c r="H1888" s="20" t="n"/>
      <c r="I1888" s="20" t="n"/>
      <c r="J1888" s="19" t="n"/>
      <c r="K1888" s="21" t="n"/>
      <c r="L1888" s="22">
        <f>IF(OR(J1888="",K1888=""),"",J1888*K1888)</f>
        <v/>
      </c>
      <c r="M1888" s="19" t="n"/>
      <c r="N1888" s="20" t="n"/>
      <c r="O1888" s="20" t="n"/>
    </row>
    <row r="1889">
      <c r="A1889" s="23" t="n">
        <v>1886</v>
      </c>
      <c r="B1889" s="24" t="inlineStr">
        <is>
          <t>2.7.2.13</t>
        </is>
      </c>
      <c r="C1889" s="25" t="inlineStr">
        <is>
          <t>Part 2 – Technical Systems</t>
        </is>
      </c>
      <c r="D1889" s="25" t="inlineStr">
        <is>
          <t>2.7 PRIVATE CLOUD TECHNICAL INFRASTRUCTURE</t>
        </is>
      </c>
      <c r="E1889" s="25" t="inlineStr">
        <is>
          <t>2.7.2 OSS911 VIRTUALIZATION SOLUTION</t>
        </is>
      </c>
      <c r="F1889" s="25" t="inlineStr">
        <is>
          <t>The BIDDER proposed solution shall be compatible with all virtualization industry standards for interoperability compliant to ISO/IEC 19099.</t>
        </is>
      </c>
      <c r="G1889" s="19" t="n"/>
      <c r="H1889" s="20" t="n"/>
      <c r="I1889" s="20" t="n"/>
      <c r="J1889" s="19" t="n"/>
      <c r="K1889" s="21" t="n"/>
      <c r="L1889" s="22">
        <f>IF(OR(J1889="",K1889=""),"",J1889*K1889)</f>
        <v/>
      </c>
      <c r="M1889" s="19" t="n"/>
      <c r="N1889" s="20" t="n"/>
      <c r="O1889" s="20" t="n"/>
    </row>
    <row r="1890">
      <c r="A1890" s="16" t="n">
        <v>1887</v>
      </c>
      <c r="B1890" s="17" t="inlineStr">
        <is>
          <t>2.7.2.14</t>
        </is>
      </c>
      <c r="C1890" s="18" t="inlineStr">
        <is>
          <t>Part 2 – Technical Systems</t>
        </is>
      </c>
      <c r="D1890" s="18" t="inlineStr">
        <is>
          <t>2.7 PRIVATE CLOUD TECHNICAL INFRASTRUCTURE</t>
        </is>
      </c>
      <c r="E1890" s="18" t="inlineStr">
        <is>
          <t>2.7.2 OSS911 VIRTUALIZATION SOLUTION</t>
        </is>
      </c>
      <c r="F1890" s="18" t="inlineStr">
        <is>
          <t>The CONTRACTOR shall deliver a technical infrastructure solution based on a virtualized environment containing: virtualized platform, compute, storage and operating systems, virtualized hardware and required virtualized network devices.</t>
        </is>
      </c>
      <c r="G1890" s="19" t="n"/>
      <c r="H1890" s="20" t="n"/>
      <c r="I1890" s="20" t="n"/>
      <c r="J1890" s="19" t="n"/>
      <c r="K1890" s="21" t="n"/>
      <c r="L1890" s="22">
        <f>IF(OR(J1890="",K1890=""),"",J1890*K1890)</f>
        <v/>
      </c>
      <c r="M1890" s="19" t="n"/>
      <c r="N1890" s="20" t="n"/>
      <c r="O1890" s="20" t="n"/>
    </row>
    <row r="1891">
      <c r="A1891" s="23" t="n">
        <v>1888</v>
      </c>
      <c r="B1891" s="24" t="inlineStr">
        <is>
          <t>2.7.2.15</t>
        </is>
      </c>
      <c r="C1891" s="25" t="inlineStr">
        <is>
          <t>Part 2 – Technical Systems</t>
        </is>
      </c>
      <c r="D1891" s="25" t="inlineStr">
        <is>
          <t>2.7 PRIVATE CLOUD TECHNICAL INFRASTRUCTURE</t>
        </is>
      </c>
      <c r="E1891" s="25" t="inlineStr">
        <is>
          <t>2.7.2 OSS911 VIRTUALIZATION SOLUTION</t>
        </is>
      </c>
      <c r="F1891" s="25" t="inlineStr">
        <is>
          <t>The CONTRACTOR shall implement the virtualization solution such that there is a capability to move a VM from one host server to another while the VM is running (Live Migration) and without downtime.</t>
        </is>
      </c>
      <c r="G1891" s="19" t="n"/>
      <c r="H1891" s="20" t="n"/>
      <c r="I1891" s="20" t="n"/>
      <c r="J1891" s="19" t="n"/>
      <c r="K1891" s="21" t="n"/>
      <c r="L1891" s="22">
        <f>IF(OR(J1891="",K1891=""),"",J1891*K1891)</f>
        <v/>
      </c>
      <c r="M1891" s="19" t="n"/>
      <c r="N1891" s="20" t="n"/>
      <c r="O1891" s="20" t="n"/>
    </row>
    <row r="1892">
      <c r="A1892" s="16" t="n">
        <v>1889</v>
      </c>
      <c r="B1892" s="17" t="inlineStr">
        <is>
          <t>2.7.2.16</t>
        </is>
      </c>
      <c r="C1892" s="18" t="inlineStr">
        <is>
          <t>Part 2 – Technical Systems</t>
        </is>
      </c>
      <c r="D1892" s="18" t="inlineStr">
        <is>
          <t>2.7 PRIVATE CLOUD TECHNICAL INFRASTRUCTURE</t>
        </is>
      </c>
      <c r="E1892" s="18" t="inlineStr">
        <is>
          <t>2.7.2 OSS911 VIRTUALIZATION SOLUTION</t>
        </is>
      </c>
      <c r="F1892" s="18" t="inlineStr">
        <is>
          <t>The CONTRACTOR shall implement the virtualization solution such that it allows all OSS911 applications to run 24x7 while complying with the availability and reliability requirements of this RFP.</t>
        </is>
      </c>
      <c r="G1892" s="19" t="n"/>
      <c r="H1892" s="20" t="n"/>
      <c r="I1892" s="20" t="n"/>
      <c r="J1892" s="19" t="n"/>
      <c r="K1892" s="21" t="n"/>
      <c r="L1892" s="22">
        <f>IF(OR(J1892="",K1892=""),"",J1892*K1892)</f>
        <v/>
      </c>
      <c r="M1892" s="19" t="n"/>
      <c r="N1892" s="20" t="n"/>
      <c r="O1892" s="20" t="n"/>
    </row>
    <row r="1893">
      <c r="A1893" s="23" t="n">
        <v>1890</v>
      </c>
      <c r="B1893" s="24" t="inlineStr">
        <is>
          <t>2.7.2.17</t>
        </is>
      </c>
      <c r="C1893" s="25" t="inlineStr">
        <is>
          <t>Part 2 – Technical Systems</t>
        </is>
      </c>
      <c r="D1893" s="25" t="inlineStr">
        <is>
          <t>2.7 PRIVATE CLOUD TECHNICAL INFRASTRUCTURE</t>
        </is>
      </c>
      <c r="E1893" s="25" t="inlineStr">
        <is>
          <t>2.7.2 OSS911 VIRTUALIZATION SOLUTION</t>
        </is>
      </c>
      <c r="F1893" s="25" t="inlineStr">
        <is>
          <t>The CONTRACTOR shall implement the virtualization solution such that there is prioritization between the VMs and such that VMs are able to restarted without any downtime.</t>
        </is>
      </c>
      <c r="G1893" s="19" t="n"/>
      <c r="H1893" s="20" t="n"/>
      <c r="I1893" s="20" t="n"/>
      <c r="J1893" s="19" t="n"/>
      <c r="K1893" s="21" t="n"/>
      <c r="L1893" s="22">
        <f>IF(OR(J1893="",K1893=""),"",J1893*K1893)</f>
        <v/>
      </c>
      <c r="M1893" s="19" t="n"/>
      <c r="N1893" s="20" t="n"/>
      <c r="O1893" s="20" t="n"/>
    </row>
    <row r="1894">
      <c r="A1894" s="16" t="n">
        <v>1891</v>
      </c>
      <c r="B1894" s="17" t="inlineStr">
        <is>
          <t>2.7.2.18</t>
        </is>
      </c>
      <c r="C1894" s="18" t="inlineStr">
        <is>
          <t>Part 2 – Technical Systems</t>
        </is>
      </c>
      <c r="D1894" s="18" t="inlineStr">
        <is>
          <t>2.7 PRIVATE CLOUD TECHNICAL INFRASTRUCTURE</t>
        </is>
      </c>
      <c r="E1894" s="18" t="inlineStr">
        <is>
          <t>2.7.2 OSS911 VIRTUALIZATION SOLUTION</t>
        </is>
      </c>
      <c r="F1894" s="18" t="inlineStr">
        <is>
          <t>The CONTRACTOR shall implement the virtualization solution such that it allows automation and scheduling of VM migration and activity and re-activating of host servers.</t>
        </is>
      </c>
      <c r="G1894" s="19" t="n"/>
      <c r="H1894" s="20" t="n"/>
      <c r="I1894" s="20" t="n"/>
      <c r="J1894" s="19" t="n"/>
      <c r="K1894" s="21" t="n"/>
      <c r="L1894" s="22">
        <f>IF(OR(J1894="",K1894=""),"",J1894*K1894)</f>
        <v/>
      </c>
      <c r="M1894" s="19" t="n"/>
      <c r="N1894" s="20" t="n"/>
      <c r="O1894" s="20" t="n"/>
    </row>
    <row r="1895">
      <c r="A1895" s="23" t="n">
        <v>1892</v>
      </c>
      <c r="B1895" s="24" t="inlineStr">
        <is>
          <t>2.7.2.19</t>
        </is>
      </c>
      <c r="C1895" s="25" t="inlineStr">
        <is>
          <t>Part 2 – Technical Systems</t>
        </is>
      </c>
      <c r="D1895" s="25" t="inlineStr">
        <is>
          <t>2.7 PRIVATE CLOUD TECHNICAL INFRASTRUCTURE</t>
        </is>
      </c>
      <c r="E1895" s="25" t="inlineStr">
        <is>
          <t>2.7.2 OSS911 VIRTUALIZATION SOLUTION</t>
        </is>
      </c>
      <c r="F1895" s="25" t="inlineStr">
        <is>
          <t>The CONTRACTOR shall implement the virtualization solution such that it allows self-service, VM provisioning and management.</t>
        </is>
      </c>
      <c r="G1895" s="19" t="n"/>
      <c r="H1895" s="20" t="n"/>
      <c r="I1895" s="20" t="n"/>
      <c r="J1895" s="19" t="n"/>
      <c r="K1895" s="21" t="n"/>
      <c r="L1895" s="22">
        <f>IF(OR(J1895="",K1895=""),"",J1895*K1895)</f>
        <v/>
      </c>
      <c r="M1895" s="19" t="n"/>
      <c r="N1895" s="20" t="n"/>
      <c r="O1895" s="20" t="n"/>
    </row>
    <row r="1896">
      <c r="A1896" s="16" t="n">
        <v>1893</v>
      </c>
      <c r="B1896" s="17" t="inlineStr">
        <is>
          <t>2.7.2.20</t>
        </is>
      </c>
      <c r="C1896" s="18" t="inlineStr">
        <is>
          <t>Part 2 – Technical Systems</t>
        </is>
      </c>
      <c r="D1896" s="18" t="inlineStr">
        <is>
          <t>2.7 PRIVATE CLOUD TECHNICAL INFRASTRUCTURE</t>
        </is>
      </c>
      <c r="E1896" s="18" t="inlineStr">
        <is>
          <t>2.7.2 OSS911 VIRTUALIZATION SOLUTION</t>
        </is>
      </c>
      <c r="F1896" s="18" t="inlineStr">
        <is>
          <t>The CONTRACTOR shall implement the virtualization solution using a single highly available virtualization platform such that:</t>
        </is>
      </c>
      <c r="G1896" s="19" t="n"/>
      <c r="H1896" s="20" t="n"/>
      <c r="I1896" s="20" t="n"/>
      <c r="J1896" s="19" t="n"/>
      <c r="K1896" s="21" t="n"/>
      <c r="L1896" s="22">
        <f>IF(OR(J1896="",K1896=""),"",J1896*K1896)</f>
        <v/>
      </c>
      <c r="M1896" s="19" t="n"/>
      <c r="N1896" s="20" t="n"/>
      <c r="O1896" s="20" t="n"/>
    </row>
    <row r="1897">
      <c r="A1897" s="23" t="n">
        <v>1894</v>
      </c>
      <c r="B1897" s="23" t="inlineStr">
        <is>
          <t>2.7.2.20.1</t>
        </is>
      </c>
      <c r="C1897" s="25" t="inlineStr">
        <is>
          <t>Part 2 – Technical Systems</t>
        </is>
      </c>
      <c r="D1897" s="25" t="inlineStr">
        <is>
          <t>2.7 PRIVATE CLOUD TECHNICAL INFRASTRUCTURE</t>
        </is>
      </c>
      <c r="E1897" s="25" t="inlineStr">
        <is>
          <t>2.7.2 OSS911 VIRTUALIZATION SOLUTION</t>
        </is>
      </c>
      <c r="F1897" s="25" t="inlineStr">
        <is>
          <t>The host nodes are connected using 10Gbps IP connectivity.</t>
        </is>
      </c>
      <c r="G1897" s="19" t="n"/>
      <c r="H1897" s="20" t="n"/>
      <c r="I1897" s="20" t="n"/>
      <c r="J1897" s="19" t="n"/>
      <c r="K1897" s="21" t="n"/>
      <c r="L1897" s="22">
        <f>IF(OR(J1897="",K1897=""),"",J1897*K1897)</f>
        <v/>
      </c>
      <c r="M1897" s="19" t="n"/>
      <c r="N1897" s="20" t="n"/>
      <c r="O1897" s="20" t="n"/>
    </row>
    <row r="1898">
      <c r="A1898" s="16" t="n">
        <v>1895</v>
      </c>
      <c r="B1898" s="16" t="inlineStr">
        <is>
          <t>2.7.2.20.2</t>
        </is>
      </c>
      <c r="C1898" s="18" t="inlineStr">
        <is>
          <t>Part 2 – Technical Systems</t>
        </is>
      </c>
      <c r="D1898" s="18" t="inlineStr">
        <is>
          <t>2.7 PRIVATE CLOUD TECHNICAL INFRASTRUCTURE</t>
        </is>
      </c>
      <c r="E1898" s="18" t="inlineStr">
        <is>
          <t>2.7.2 OSS911 VIRTUALIZATION SOLUTION</t>
        </is>
      </c>
      <c r="F1898" s="18" t="inlineStr">
        <is>
          <t>Per node, a minimum of 2x10Gbps Ethernet connections is implemented.</t>
        </is>
      </c>
      <c r="G1898" s="19" t="n"/>
      <c r="H1898" s="20" t="n"/>
      <c r="I1898" s="20" t="n"/>
      <c r="J1898" s="19" t="n"/>
      <c r="K1898" s="21" t="n"/>
      <c r="L1898" s="22">
        <f>IF(OR(J1898="",K1898=""),"",J1898*K1898)</f>
        <v/>
      </c>
      <c r="M1898" s="19" t="n"/>
      <c r="N1898" s="20" t="n"/>
      <c r="O1898" s="20" t="n"/>
    </row>
    <row r="1899">
      <c r="A1899" s="23" t="n">
        <v>1896</v>
      </c>
      <c r="B1899" s="23" t="inlineStr">
        <is>
          <t>2.7.2.20.3</t>
        </is>
      </c>
      <c r="C1899" s="25" t="inlineStr">
        <is>
          <t>Part 2 – Technical Systems</t>
        </is>
      </c>
      <c r="D1899" s="25" t="inlineStr">
        <is>
          <t>2.7 PRIVATE CLOUD TECHNICAL INFRASTRUCTURE</t>
        </is>
      </c>
      <c r="E1899" s="25" t="inlineStr">
        <is>
          <t>2.7.2 OSS911 VIRTUALIZATION SOLUTION</t>
        </is>
      </c>
      <c r="F1899" s="25" t="inlineStr">
        <is>
          <t>There is no dependency on any proprietary or specialized interconnects.</t>
        </is>
      </c>
      <c r="G1899" s="19" t="n"/>
      <c r="H1899" s="20" t="n"/>
      <c r="I1899" s="20" t="n"/>
      <c r="J1899" s="19" t="n"/>
      <c r="K1899" s="21" t="n"/>
      <c r="L1899" s="22">
        <f>IF(OR(J1899="",K1899=""),"",J1899*K1899)</f>
        <v/>
      </c>
      <c r="M1899" s="19" t="n"/>
      <c r="N1899" s="20" t="n"/>
      <c r="O1899" s="20" t="n"/>
    </row>
    <row r="1900">
      <c r="A1900" s="16" t="n">
        <v>1897</v>
      </c>
      <c r="B1900" s="16" t="inlineStr">
        <is>
          <t>2.7.2.20.4</t>
        </is>
      </c>
      <c r="C1900" s="18" t="inlineStr">
        <is>
          <t>Part 2 – Technical Systems</t>
        </is>
      </c>
      <c r="D1900" s="18" t="inlineStr">
        <is>
          <t>2.7 PRIVATE CLOUD TECHNICAL INFRASTRUCTURE</t>
        </is>
      </c>
      <c r="E1900" s="18" t="inlineStr">
        <is>
          <t>2.7.2 OSS911 VIRTUALIZATION SOLUTION</t>
        </is>
      </c>
      <c r="F1900" s="18" t="inlineStr">
        <is>
          <t>In-built software storage capability integrated within the hypervisor kernel itself is included and the system shall work without the need for any specialized dedicated controller virtual appliance or any separate VM.</t>
        </is>
      </c>
      <c r="G1900" s="19" t="n"/>
      <c r="H1900" s="20" t="n"/>
      <c r="I1900" s="20" t="n"/>
      <c r="J1900" s="19" t="n"/>
      <c r="K1900" s="21" t="n"/>
      <c r="L1900" s="22">
        <f>IF(OR(J1900="",K1900=""),"",J1900*K1900)</f>
        <v/>
      </c>
      <c r="M1900" s="19" t="n"/>
      <c r="N1900" s="20" t="n"/>
      <c r="O1900" s="20" t="n"/>
    </row>
    <row r="1901">
      <c r="A1901" s="23" t="n">
        <v>1898</v>
      </c>
      <c r="B1901" s="23" t="inlineStr">
        <is>
          <t>2.7.2.20.5</t>
        </is>
      </c>
      <c r="C1901" s="25" t="inlineStr">
        <is>
          <t>Part 2 – Technical Systems</t>
        </is>
      </c>
      <c r="D1901" s="25" t="inlineStr">
        <is>
          <t>2.7 PRIVATE CLOUD TECHNICAL INFRASTRUCTURE</t>
        </is>
      </c>
      <c r="E1901" s="25" t="inlineStr">
        <is>
          <t>2.7.2 OSS911 VIRTUALIZATION SOLUTION</t>
        </is>
      </c>
      <c r="F1901" s="25" t="inlineStr">
        <is>
          <t>There is zero-downtime, zero-data loss continuous availability against any failure.</t>
        </is>
      </c>
      <c r="G1901" s="19" t="n"/>
      <c r="H1901" s="20" t="n"/>
      <c r="I1901" s="20" t="n"/>
      <c r="J1901" s="19" t="n"/>
      <c r="K1901" s="21" t="n"/>
      <c r="L1901" s="22">
        <f>IF(OR(J1901="",K1901=""),"",J1901*K1901)</f>
        <v/>
      </c>
      <c r="M1901" s="19" t="n"/>
      <c r="N1901" s="20" t="n"/>
      <c r="O1901" s="20" t="n"/>
    </row>
    <row r="1902">
      <c r="A1902" s="16" t="n">
        <v>1899</v>
      </c>
      <c r="B1902" s="16" t="inlineStr">
        <is>
          <t>2.7.2.20.6</t>
        </is>
      </c>
      <c r="C1902" s="18" t="inlineStr">
        <is>
          <t>Part 2 – Technical Systems</t>
        </is>
      </c>
      <c r="D1902" s="18" t="inlineStr">
        <is>
          <t>2.7 PRIVATE CLOUD TECHNICAL INFRASTRUCTURE</t>
        </is>
      </c>
      <c r="E1902" s="18" t="inlineStr">
        <is>
          <t>2.7.2 OSS911 VIRTUALIZATION SOLUTION</t>
        </is>
      </c>
      <c r="F1902" s="18" t="inlineStr">
        <is>
          <t>There is a converter to migrate physical workloads to virtual workloads.</t>
        </is>
      </c>
      <c r="G1902" s="19" t="n"/>
      <c r="H1902" s="20" t="n"/>
      <c r="I1902" s="20" t="n"/>
      <c r="J1902" s="19" t="n"/>
      <c r="K1902" s="21" t="n"/>
      <c r="L1902" s="22">
        <f>IF(OR(J1902="",K1902=""),"",J1902*K1902)</f>
        <v/>
      </c>
      <c r="M1902" s="19" t="n"/>
      <c r="N1902" s="20" t="n"/>
      <c r="O1902" s="20" t="n"/>
    </row>
    <row r="1903">
      <c r="A1903" s="23" t="n">
        <v>1900</v>
      </c>
      <c r="B1903" s="24" t="inlineStr">
        <is>
          <t>2.7.2.21</t>
        </is>
      </c>
      <c r="C1903" s="25" t="inlineStr">
        <is>
          <t>Part 2 – Technical Systems</t>
        </is>
      </c>
      <c r="D1903" s="25" t="inlineStr">
        <is>
          <t>2.7 PRIVATE CLOUD TECHNICAL INFRASTRUCTURE</t>
        </is>
      </c>
      <c r="E1903" s="25" t="inlineStr">
        <is>
          <t>2.7.2 OSS911 VIRTUALIZATION SOLUTION</t>
        </is>
      </c>
      <c r="F1903" s="25" t="inlineStr">
        <is>
          <t>The CONTRACTOR shall deliver a single unified management console for the management of the entire environment including virtualized environment as well as software defined storage environment, underlying hardware and associated components.</t>
        </is>
      </c>
      <c r="G1903" s="19" t="n"/>
      <c r="H1903" s="20" t="n"/>
      <c r="I1903" s="20" t="n"/>
      <c r="J1903" s="19" t="n"/>
      <c r="K1903" s="21" t="n"/>
      <c r="L1903" s="22">
        <f>IF(OR(J1903="",K1903=""),"",J1903*K1903)</f>
        <v/>
      </c>
      <c r="M1903" s="19" t="n"/>
      <c r="N1903" s="20" t="n"/>
      <c r="O1903" s="20" t="n"/>
    </row>
    <row r="1904">
      <c r="A1904" s="16" t="n">
        <v>1901</v>
      </c>
      <c r="B1904" s="17" t="inlineStr">
        <is>
          <t>2.7.2.22</t>
        </is>
      </c>
      <c r="C1904" s="18" t="inlineStr">
        <is>
          <t>Part 2 – Technical Systems</t>
        </is>
      </c>
      <c r="D1904" s="18" t="inlineStr">
        <is>
          <t>2.7 PRIVATE CLOUD TECHNICAL INFRASTRUCTURE</t>
        </is>
      </c>
      <c r="E1904" s="18" t="inlineStr">
        <is>
          <t>2.7.2 OSS911 VIRTUALIZATION SOLUTION</t>
        </is>
      </c>
      <c r="F1904" s="18" t="inlineStr">
        <is>
          <t>The CONTRACTOR solution shall provide the ability to hot-add memory and hot-plug disks and network interface cards</t>
        </is>
      </c>
      <c r="G1904" s="19" t="n"/>
      <c r="H1904" s="20" t="n"/>
      <c r="I1904" s="20" t="n"/>
      <c r="J1904" s="19" t="n"/>
      <c r="K1904" s="21" t="n"/>
      <c r="L1904" s="22">
        <f>IF(OR(J1904="",K1904=""),"",J1904*K1904)</f>
        <v/>
      </c>
      <c r="M1904" s="19" t="n"/>
      <c r="N1904" s="20" t="n"/>
      <c r="O1904" s="20" t="n"/>
    </row>
    <row r="1905">
      <c r="A1905" s="23" t="n">
        <v>1902</v>
      </c>
      <c r="B1905" s="24" t="inlineStr">
        <is>
          <t>2.7.2.23</t>
        </is>
      </c>
      <c r="C1905" s="25" t="inlineStr">
        <is>
          <t>Part 2 – Technical Systems</t>
        </is>
      </c>
      <c r="D1905" s="25" t="inlineStr">
        <is>
          <t>2.7 PRIVATE CLOUD TECHNICAL INFRASTRUCTURE</t>
        </is>
      </c>
      <c r="E1905" s="25" t="inlineStr">
        <is>
          <t>2.7.2 OSS911 VIRTUALIZATION SOLUTION</t>
        </is>
      </c>
      <c r="F1905" s="25" t="inlineStr">
        <is>
          <t>The CONTRACTOR solution shall provide configurations at VM level that shall be tuned to help reduce latency.</t>
        </is>
      </c>
      <c r="G1905" s="19" t="n"/>
      <c r="H1905" s="20" t="n"/>
      <c r="I1905" s="20" t="n"/>
      <c r="J1905" s="19" t="n"/>
      <c r="K1905" s="21" t="n"/>
      <c r="L1905" s="22">
        <f>IF(OR(J1905="",K1905=""),"",J1905*K1905)</f>
        <v/>
      </c>
      <c r="M1905" s="19" t="n"/>
      <c r="N1905" s="20" t="n"/>
      <c r="O1905" s="20" t="n"/>
    </row>
    <row r="1906">
      <c r="A1906" s="16" t="n">
        <v>1903</v>
      </c>
      <c r="B1906" s="17" t="inlineStr">
        <is>
          <t>2.7.2.24</t>
        </is>
      </c>
      <c r="C1906" s="18" t="inlineStr">
        <is>
          <t>Part 2 – Technical Systems</t>
        </is>
      </c>
      <c r="D1906" s="18" t="inlineStr">
        <is>
          <t>2.7 PRIVATE CLOUD TECHNICAL INFRASTRUCTURE</t>
        </is>
      </c>
      <c r="E1906" s="18" t="inlineStr">
        <is>
          <t>2.7.2 OSS911 VIRTUALIZATION SOLUTION</t>
        </is>
      </c>
      <c r="F1906" s="18" t="inlineStr">
        <is>
          <t>The CONTRACTOR solution shall provide zero downtime during scheduled host patching (maintenance mode) by moving active workloads to other hosts manually and automatically on the platform with a consistent audit trail of the patching process.</t>
        </is>
      </c>
      <c r="G1906" s="19" t="n"/>
      <c r="H1906" s="20" t="n"/>
      <c r="I1906" s="20" t="n"/>
      <c r="J1906" s="19" t="n"/>
      <c r="K1906" s="21" t="n"/>
      <c r="L1906" s="22">
        <f>IF(OR(J1906="",K1906=""),"",J1906*K1906)</f>
        <v/>
      </c>
      <c r="M1906" s="19" t="n"/>
      <c r="N1906" s="20" t="n"/>
      <c r="O1906" s="20" t="n"/>
    </row>
    <row r="1907">
      <c r="A1907" s="23" t="n">
        <v>1904</v>
      </c>
      <c r="B1907" s="24" t="inlineStr">
        <is>
          <t>2.7.2.25</t>
        </is>
      </c>
      <c r="C1907" s="25" t="inlineStr">
        <is>
          <t>Part 2 – Technical Systems</t>
        </is>
      </c>
      <c r="D1907" s="25" t="inlineStr">
        <is>
          <t>2.7 PRIVATE CLOUD TECHNICAL INFRASTRUCTURE</t>
        </is>
      </c>
      <c r="E1907" s="25" t="inlineStr">
        <is>
          <t>2.7.2 OSS911 VIRTUALIZATION SOLUTION</t>
        </is>
      </c>
      <c r="F1907" s="25" t="inlineStr">
        <is>
          <t>The CONTRACTOR solution shall provide centralized disk-based data protection (backup/restore) capabilities for the virtual workloads with file-level restore and built-in de-duplication to reduce backup storage requirements</t>
        </is>
      </c>
      <c r="G1907" s="19" t="n"/>
      <c r="H1907" s="20" t="n"/>
      <c r="I1907" s="20" t="n"/>
      <c r="J1907" s="19" t="n"/>
      <c r="K1907" s="21" t="n"/>
      <c r="L1907" s="22">
        <f>IF(OR(J1907="",K1907=""),"",J1907*K1907)</f>
        <v/>
      </c>
      <c r="M1907" s="19" t="n"/>
      <c r="N1907" s="20" t="n"/>
      <c r="O1907" s="20" t="n"/>
    </row>
    <row r="1908">
      <c r="A1908" s="16" t="n">
        <v>1905</v>
      </c>
      <c r="B1908" s="17" t="inlineStr">
        <is>
          <t>2.7.2.26</t>
        </is>
      </c>
      <c r="C1908" s="18" t="inlineStr">
        <is>
          <t>Part 2 – Technical Systems</t>
        </is>
      </c>
      <c r="D1908" s="18" t="inlineStr">
        <is>
          <t>2.7 PRIVATE CLOUD TECHNICAL INFRASTRUCTURE</t>
        </is>
      </c>
      <c r="E1908" s="18" t="inlineStr">
        <is>
          <t>2.7.2 OSS911 VIRTUALIZATION SOLUTION</t>
        </is>
      </c>
      <c r="F1908" s="18" t="inlineStr">
        <is>
          <t>The CONTRACTOR shall implement management, monitoring and alerting of the physical hosts, the virtual machines, the compute, networking, storage and security through the virtualization management software and shall integrate this with the OSS911 management and monitoring solution.</t>
        </is>
      </c>
      <c r="G1908" s="19" t="n"/>
      <c r="H1908" s="20" t="n"/>
      <c r="I1908" s="20" t="n"/>
      <c r="J1908" s="19" t="n"/>
      <c r="K1908" s="21" t="n"/>
      <c r="L1908" s="22">
        <f>IF(OR(J1908="",K1908=""),"",J1908*K1908)</f>
        <v/>
      </c>
      <c r="M1908" s="19" t="n"/>
      <c r="N1908" s="20" t="n"/>
      <c r="O1908" s="20" t="n"/>
    </row>
    <row r="1909">
      <c r="A1909" s="23" t="n">
        <v>1906</v>
      </c>
      <c r="B1909" s="24" t="inlineStr">
        <is>
          <t>2.7.3.1</t>
        </is>
      </c>
      <c r="C1909" s="25" t="inlineStr">
        <is>
          <t>Part 2 – Technical Systems</t>
        </is>
      </c>
      <c r="D1909" s="25" t="inlineStr">
        <is>
          <t>2.7 PRIVATE CLOUD TECHNICAL INFRASTRUCTURE</t>
        </is>
      </c>
      <c r="E1909" s="25" t="inlineStr">
        <is>
          <t>2.7.3 OSS911 SYSTEMS DIMENSIONING AND LICENSING</t>
        </is>
      </c>
      <c r="F1909" s="25" t="inlineStr">
        <is>
          <t>All the OSS911 systems software (applications, databases, operating systems, firmware and any other software) provided shall be of open license thus providing MOI the flexibility to scale up the position numbers up to the limit of dimensioning above, without buying additional backend hardware for compute, storage, network and security.</t>
        </is>
      </c>
      <c r="G1909" s="19" t="n"/>
      <c r="H1909" s="20" t="n"/>
      <c r="I1909" s="20" t="n"/>
      <c r="J1909" s="19" t="n"/>
      <c r="K1909" s="21" t="n"/>
      <c r="L1909" s="22">
        <f>IF(OR(J1909="",K1909=""),"",J1909*K1909)</f>
        <v/>
      </c>
      <c r="M1909" s="19" t="n"/>
      <c r="N1909" s="20" t="n"/>
      <c r="O1909" s="20" t="n"/>
    </row>
    <row r="1910">
      <c r="A1910" s="16" t="n">
        <v>1907</v>
      </c>
      <c r="B1910" s="17" t="inlineStr">
        <is>
          <t>2.7.3.2</t>
        </is>
      </c>
      <c r="C1910" s="18" t="inlineStr">
        <is>
          <t>Part 2 – Technical Systems</t>
        </is>
      </c>
      <c r="D1910" s="18" t="inlineStr">
        <is>
          <t>2.7 PRIVATE CLOUD TECHNICAL INFRASTRUCTURE</t>
        </is>
      </c>
      <c r="E1910" s="18" t="inlineStr">
        <is>
          <t>2.7.3 OSS911 SYSTEMS DIMENSIONING AND LICENSING</t>
        </is>
      </c>
      <c r="F1910" s="18" t="inlineStr">
        <is>
          <t>The CONTRACTOR solution shall not place any restriction on the location where the supplied equipment and software to be installed. The MOI shall have complete freedom to instruct the deployment of the procured quantities or any increments anywhere within the Kingdom of Saudi Arabia.</t>
        </is>
      </c>
      <c r="G1910" s="19" t="n"/>
      <c r="H1910" s="20" t="n"/>
      <c r="I1910" s="20" t="n"/>
      <c r="J1910" s="19" t="n"/>
      <c r="K1910" s="21" t="n"/>
      <c r="L1910" s="22">
        <f>IF(OR(J1910="",K1910=""),"",J1910*K1910)</f>
        <v/>
      </c>
      <c r="M1910" s="19" t="n"/>
      <c r="N1910" s="20" t="n"/>
      <c r="O1910" s="20" t="n"/>
    </row>
    <row r="1911">
      <c r="A1911" s="23" t="n">
        <v>1908</v>
      </c>
      <c r="B1911" s="24" t="inlineStr">
        <is>
          <t>2.7.3.3</t>
        </is>
      </c>
      <c r="C1911" s="25" t="inlineStr">
        <is>
          <t>Part 2 – Technical Systems</t>
        </is>
      </c>
      <c r="D1911" s="25" t="inlineStr">
        <is>
          <t>2.7 PRIVATE CLOUD TECHNICAL INFRASTRUCTURE</t>
        </is>
      </c>
      <c r="E1911" s="25" t="inlineStr">
        <is>
          <t>2.7.3 OSS911 SYSTEMS DIMENSIONING AND LICENSING</t>
        </is>
      </c>
      <c r="F1911" s="25" t="inlineStr">
        <is>
          <t>The different components of infrastructure supporting the OSS911 systems shall be dimensioned for the following maximum capacities:</t>
        </is>
      </c>
      <c r="G1911" s="19" t="n"/>
      <c r="H1911" s="20" t="n"/>
      <c r="I1911" s="20" t="n"/>
      <c r="J1911" s="19" t="n"/>
      <c r="K1911" s="21" t="n"/>
      <c r="L1911" s="22">
        <f>IF(OR(J1911="",K1911=""),"",J1911*K1911)</f>
        <v/>
      </c>
      <c r="M1911" s="19" t="n"/>
      <c r="N1911" s="20" t="n"/>
      <c r="O1911" s="20" t="n"/>
    </row>
    <row r="1912">
      <c r="A1912" s="16" t="n">
        <v>1909</v>
      </c>
      <c r="B1912" s="16" t="inlineStr">
        <is>
          <t>2.7.3.3.1</t>
        </is>
      </c>
      <c r="C1912" s="18" t="inlineStr">
        <is>
          <t>Part 2 – Technical Systems</t>
        </is>
      </c>
      <c r="D1912" s="18" t="inlineStr">
        <is>
          <t>2.7 PRIVATE CLOUD TECHNICAL INFRASTRUCTURE</t>
        </is>
      </c>
      <c r="E1912" s="18" t="inlineStr">
        <is>
          <t>2.7.3 OSS911 SYSTEMS DIMENSIONING AND LICENSING</t>
        </is>
      </c>
      <c r="F1912" s="18" t="inlineStr">
        <is>
          <t>IRMS – 300 positions each for call takers and supervisors, 300 positions of dispatchers and supervisors</t>
        </is>
      </c>
      <c r="G1912" s="19" t="n"/>
      <c r="H1912" s="20" t="n"/>
      <c r="I1912" s="20" t="n"/>
      <c r="J1912" s="19" t="n"/>
      <c r="K1912" s="21" t="n"/>
      <c r="L1912" s="22">
        <f>IF(OR(J1912="",K1912=""),"",J1912*K1912)</f>
        <v/>
      </c>
      <c r="M1912" s="19" t="n"/>
      <c r="N1912" s="20" t="n"/>
      <c r="O1912" s="20" t="n"/>
    </row>
    <row r="1913">
      <c r="A1913" s="23" t="n">
        <v>1910</v>
      </c>
      <c r="B1913" s="23" t="inlineStr">
        <is>
          <t>2.7.3.3.2</t>
        </is>
      </c>
      <c r="C1913" s="25" t="inlineStr">
        <is>
          <t>Part 2 – Technical Systems</t>
        </is>
      </c>
      <c r="D1913" s="25" t="inlineStr">
        <is>
          <t>2.7 PRIVATE CLOUD TECHNICAL INFRASTRUCTURE</t>
        </is>
      </c>
      <c r="E1913" s="25" t="inlineStr">
        <is>
          <t>2.7.3 OSS911 SYSTEMS DIMENSIONING AND LICENSING</t>
        </is>
      </c>
      <c r="F1913" s="25" t="inlineStr">
        <is>
          <t>Joint Operation – 100 positions each for JOA operators</t>
        </is>
      </c>
      <c r="G1913" s="19" t="n"/>
      <c r="H1913" s="20" t="n"/>
      <c r="I1913" s="20" t="n"/>
      <c r="J1913" s="19" t="n"/>
      <c r="K1913" s="21" t="n"/>
      <c r="L1913" s="22">
        <f>IF(OR(J1913="",K1913=""),"",J1913*K1913)</f>
        <v/>
      </c>
      <c r="M1913" s="19" t="n"/>
      <c r="N1913" s="20" t="n"/>
      <c r="O1913" s="20" t="n"/>
    </row>
    <row r="1914">
      <c r="A1914" s="16" t="n">
        <v>1911</v>
      </c>
      <c r="B1914" s="17" t="inlineStr">
        <is>
          <t>2.7.3.4</t>
        </is>
      </c>
      <c r="C1914" s="18" t="inlineStr">
        <is>
          <t>Part 2 – Technical Systems</t>
        </is>
      </c>
      <c r="D1914" s="18" t="inlineStr">
        <is>
          <t>2.7 PRIVATE CLOUD TECHNICAL INFRASTRUCTURE</t>
        </is>
      </c>
      <c r="E1914" s="18" t="inlineStr">
        <is>
          <t>2.7.3 OSS911 SYSTEMS DIMENSIONING AND LICENSING</t>
        </is>
      </c>
      <c r="F1914" s="18" t="inlineStr">
        <is>
          <t>Unless specified explicitly in the Bill of Quantity for this RFP by the MOI, all the software (applications, databases, operating systems, firmware and any other software) licenses provided by the CONTRACTOR shall include and implement licenses such that the each of the software:</t>
        </is>
      </c>
      <c r="G1914" s="19" t="n"/>
      <c r="H1914" s="20" t="n"/>
      <c r="I1914" s="20" t="n"/>
      <c r="J1914" s="19" t="n"/>
      <c r="K1914" s="21" t="n"/>
      <c r="L1914" s="22">
        <f>IF(OR(J1914="",K1914=""),"",J1914*K1914)</f>
        <v/>
      </c>
      <c r="M1914" s="19" t="n"/>
      <c r="N1914" s="20" t="n"/>
      <c r="O1914" s="20" t="n"/>
    </row>
    <row r="1915">
      <c r="A1915" s="23" t="n">
        <v>1912</v>
      </c>
      <c r="B1915" s="23" t="inlineStr">
        <is>
          <t>2.7.3.4.1</t>
        </is>
      </c>
      <c r="C1915" s="25" t="inlineStr">
        <is>
          <t>Part 2 – Technical Systems</t>
        </is>
      </c>
      <c r="D1915" s="25" t="inlineStr">
        <is>
          <t>2.7 PRIVATE CLOUD TECHNICAL INFRASTRUCTURE</t>
        </is>
      </c>
      <c r="E1915" s="25" t="inlineStr">
        <is>
          <t>2.7.3 OSS911 SYSTEMS DIMENSIONING AND LICENSING</t>
        </is>
      </c>
      <c r="F1915" s="25" t="inlineStr">
        <is>
          <t>Shall be the advanced and enterprise version / flavor for the complete suite as provided by the related product vendor without exclusions and/or exceptions.</t>
        </is>
      </c>
      <c r="G1915" s="19" t="n"/>
      <c r="H1915" s="20" t="n"/>
      <c r="I1915" s="20" t="n"/>
      <c r="J1915" s="19" t="n"/>
      <c r="K1915" s="21" t="n"/>
      <c r="L1915" s="22">
        <f>IF(OR(J1915="",K1915=""),"",J1915*K1915)</f>
        <v/>
      </c>
      <c r="M1915" s="19" t="n"/>
      <c r="N1915" s="20" t="n"/>
      <c r="O1915" s="20" t="n"/>
    </row>
    <row r="1916">
      <c r="A1916" s="16" t="n">
        <v>1913</v>
      </c>
      <c r="B1916" s="16" t="inlineStr">
        <is>
          <t>2.7.3.4.2</t>
        </is>
      </c>
      <c r="C1916" s="18" t="inlineStr">
        <is>
          <t>Part 2 – Technical Systems</t>
        </is>
      </c>
      <c r="D1916" s="18" t="inlineStr">
        <is>
          <t>2.7 PRIVATE CLOUD TECHNICAL INFRASTRUCTURE</t>
        </is>
      </c>
      <c r="E1916" s="18" t="inlineStr">
        <is>
          <t>2.7.3 OSS911 SYSTEMS DIMENSIONING AND LICENSING</t>
        </is>
      </c>
      <c r="F1916" s="18" t="inlineStr">
        <is>
          <t>Shall be capable of being used from anywhere in Kingdom of Saudi Arabia through a web browser.</t>
        </is>
      </c>
      <c r="G1916" s="19" t="n"/>
      <c r="H1916" s="20" t="n"/>
      <c r="I1916" s="20" t="n"/>
      <c r="J1916" s="19" t="n"/>
      <c r="K1916" s="21" t="n"/>
      <c r="L1916" s="22">
        <f>IF(OR(J1916="",K1916=""),"",J1916*K1916)</f>
        <v/>
      </c>
      <c r="M1916" s="19" t="n"/>
      <c r="N1916" s="20" t="n"/>
      <c r="O1916" s="20" t="n"/>
    </row>
    <row r="1917">
      <c r="A1917" s="23" t="n">
        <v>1914</v>
      </c>
      <c r="B1917" s="23" t="inlineStr">
        <is>
          <t>2.7.3.4.3</t>
        </is>
      </c>
      <c r="C1917" s="25" t="inlineStr">
        <is>
          <t>Part 2 – Technical Systems</t>
        </is>
      </c>
      <c r="D1917" s="25" t="inlineStr">
        <is>
          <t>2.7 PRIVATE CLOUD TECHNICAL INFRASTRUCTURE</t>
        </is>
      </c>
      <c r="E1917" s="25" t="inlineStr">
        <is>
          <t>2.7.3 OSS911 SYSTEMS DIMENSIONING AND LICENSING</t>
        </is>
      </c>
      <c r="F1917" s="25" t="inlineStr">
        <is>
          <t>Shall not have per seat / per user license.</t>
        </is>
      </c>
      <c r="G1917" s="19" t="n"/>
      <c r="H1917" s="20" t="n"/>
      <c r="I1917" s="20" t="n"/>
      <c r="J1917" s="19" t="n"/>
      <c r="K1917" s="21" t="n"/>
      <c r="L1917" s="22">
        <f>IF(OR(J1917="",K1917=""),"",J1917*K1917)</f>
        <v/>
      </c>
      <c r="M1917" s="19" t="n"/>
      <c r="N1917" s="20" t="n"/>
      <c r="O1917" s="20" t="n"/>
    </row>
    <row r="1918">
      <c r="A1918" s="16" t="n">
        <v>1915</v>
      </c>
      <c r="B1918" s="16" t="inlineStr">
        <is>
          <t>2.7.3.4.4</t>
        </is>
      </c>
      <c r="C1918" s="18" t="inlineStr">
        <is>
          <t>Part 2 – Technical Systems</t>
        </is>
      </c>
      <c r="D1918" s="18" t="inlineStr">
        <is>
          <t>2.7 PRIVATE CLOUD TECHNICAL INFRASTRUCTURE</t>
        </is>
      </c>
      <c r="E1918" s="18" t="inlineStr">
        <is>
          <t>2.7.3 OSS911 SYSTEMS DIMENSIONING AND LICENSING</t>
        </is>
      </c>
      <c r="F1918" s="18" t="inlineStr">
        <is>
          <t>Shall be perpetual and shall not be subscription-based that needs to be renewed periodically.</t>
        </is>
      </c>
      <c r="G1918" s="19" t="n"/>
      <c r="H1918" s="20" t="n"/>
      <c r="I1918" s="20" t="n"/>
      <c r="J1918" s="19" t="n"/>
      <c r="K1918" s="21" t="n"/>
      <c r="L1918" s="22">
        <f>IF(OR(J1918="",K1918=""),"",J1918*K1918)</f>
        <v/>
      </c>
      <c r="M1918" s="19" t="n"/>
      <c r="N1918" s="20" t="n"/>
      <c r="O1918" s="20" t="n"/>
    </row>
    <row r="1919">
      <c r="A1919" s="23" t="n">
        <v>1916</v>
      </c>
      <c r="B1919" s="23" t="inlineStr">
        <is>
          <t>2.7.3.4.5</t>
        </is>
      </c>
      <c r="C1919" s="25" t="inlineStr">
        <is>
          <t>Part 2 – Technical Systems</t>
        </is>
      </c>
      <c r="D1919" s="25" t="inlineStr">
        <is>
          <t>2.7 PRIVATE CLOUD TECHNICAL INFRASTRUCTURE</t>
        </is>
      </c>
      <c r="E1919" s="25" t="inlineStr">
        <is>
          <t>2.7.3 OSS911 SYSTEMS DIMENSIONING AND LICENSING</t>
        </is>
      </c>
      <c r="F1919" s="25" t="inlineStr">
        <is>
          <t>Shall be unrestricted by the number of computer workstations or other dimension limiting factor, and shall allow the operating system or applications to be loaded, or reloaded onto a substitute machine (or machines) without restriction to a specific hardware serial number or registration number or IP address or MAC address or any other number.</t>
        </is>
      </c>
      <c r="G1919" s="19" t="n"/>
      <c r="H1919" s="20" t="n"/>
      <c r="I1919" s="20" t="n"/>
      <c r="J1919" s="19" t="n"/>
      <c r="K1919" s="21" t="n"/>
      <c r="L1919" s="22">
        <f>IF(OR(J1919="",K1919=""),"",J1919*K1919)</f>
        <v/>
      </c>
      <c r="M1919" s="19" t="n"/>
      <c r="N1919" s="20" t="n"/>
      <c r="O1919" s="20" t="n"/>
    </row>
    <row r="1920">
      <c r="A1920" s="16" t="n">
        <v>1917</v>
      </c>
      <c r="B1920" s="17" t="inlineStr">
        <is>
          <t>2.7.3.5</t>
        </is>
      </c>
      <c r="C1920" s="18" t="inlineStr">
        <is>
          <t>Part 2 – Technical Systems</t>
        </is>
      </c>
      <c r="D1920" s="18" t="inlineStr">
        <is>
          <t>2.7 PRIVATE CLOUD TECHNICAL INFRASTRUCTURE</t>
        </is>
      </c>
      <c r="E1920" s="18" t="inlineStr">
        <is>
          <t>2.7.3 OSS911 SYSTEMS DIMENSIONING AND LICENSING</t>
        </is>
      </c>
      <c r="F1920" s="18" t="inlineStr">
        <is>
          <t>The CONTRACTOR shall provide complete software licenses for all software including third party software and including all components required to achieve the requirements of this RFP.</t>
        </is>
      </c>
      <c r="G1920" s="19" t="n"/>
      <c r="H1920" s="20" t="n"/>
      <c r="I1920" s="20" t="n"/>
      <c r="J1920" s="19" t="n"/>
      <c r="K1920" s="21" t="n"/>
      <c r="L1920" s="22">
        <f>IF(OR(J1920="",K1920=""),"",J1920*K1920)</f>
        <v/>
      </c>
      <c r="M1920" s="19" t="n"/>
      <c r="N1920" s="20" t="n"/>
      <c r="O1920" s="20" t="n"/>
    </row>
    <row r="1921">
      <c r="A1921" s="23" t="n">
        <v>1918</v>
      </c>
      <c r="B1921" s="24" t="inlineStr">
        <is>
          <t>2.7.3.6</t>
        </is>
      </c>
      <c r="C1921" s="25" t="inlineStr">
        <is>
          <t>Part 2 – Technical Systems</t>
        </is>
      </c>
      <c r="D1921" s="25" t="inlineStr">
        <is>
          <t>2.7 PRIVATE CLOUD TECHNICAL INFRASTRUCTURE</t>
        </is>
      </c>
      <c r="E1921" s="25" t="inlineStr">
        <is>
          <t>2.7.3 OSS911 SYSTEMS DIMENSIONING AND LICENSING</t>
        </is>
      </c>
      <c r="F1921" s="25" t="inlineStr">
        <is>
          <t>The CONTRACTOR shall include the solution to install, activate and manage all software licenses (applications, databases, operating systems, firmware and any other software) centrally using a licensing server hosted on premises within the OSS911 center agreed with the MOI.</t>
        </is>
      </c>
      <c r="G1921" s="19" t="n"/>
      <c r="H1921" s="20" t="n"/>
      <c r="I1921" s="20" t="n"/>
      <c r="J1921" s="19" t="n"/>
      <c r="K1921" s="21" t="n"/>
      <c r="L1921" s="22">
        <f>IF(OR(J1921="",K1921=""),"",J1921*K1921)</f>
        <v/>
      </c>
      <c r="M1921" s="19" t="n"/>
      <c r="N1921" s="20" t="n"/>
      <c r="O1921" s="20" t="n"/>
    </row>
    <row r="1922">
      <c r="A1922" s="16" t="n">
        <v>1919</v>
      </c>
      <c r="B1922" s="17" t="inlineStr">
        <is>
          <t>2.7.3.7</t>
        </is>
      </c>
      <c r="C1922" s="18" t="inlineStr">
        <is>
          <t>Part 2 – Technical Systems</t>
        </is>
      </c>
      <c r="D1922" s="18" t="inlineStr">
        <is>
          <t>2.7 PRIVATE CLOUD TECHNICAL INFRASTRUCTURE</t>
        </is>
      </c>
      <c r="E1922" s="18" t="inlineStr">
        <is>
          <t>2.7.3 OSS911 SYSTEMS DIMENSIONING AND LICENSING</t>
        </is>
      </c>
      <c r="F1922" s="18" t="inlineStr">
        <is>
          <t>For the duration of the contract, the CONTRACTOR shall be responsible for maintaining all the delivered software and solutions updated, upgraded and patched with their most recent stable major release as confirmed by the OEM vendors.</t>
        </is>
      </c>
      <c r="G1922" s="19" t="n"/>
      <c r="H1922" s="20" t="n"/>
      <c r="I1922" s="20" t="n"/>
      <c r="J1922" s="19" t="n"/>
      <c r="K1922" s="21" t="n"/>
      <c r="L1922" s="22">
        <f>IF(OR(J1922="",K1922=""),"",J1922*K1922)</f>
        <v/>
      </c>
      <c r="M1922" s="19" t="n"/>
      <c r="N1922" s="20" t="n"/>
      <c r="O1922" s="20" t="n"/>
    </row>
    <row r="1923">
      <c r="A1923" s="23" t="n">
        <v>1920</v>
      </c>
      <c r="B1923" s="24" t="inlineStr">
        <is>
          <t>2.7.4.1</t>
        </is>
      </c>
      <c r="C1923" s="25" t="inlineStr">
        <is>
          <t>Part 2 – Technical Systems</t>
        </is>
      </c>
      <c r="D1923" s="25" t="inlineStr">
        <is>
          <t>2.7 PRIVATE CLOUD TECHNICAL INFRASTRUCTURE</t>
        </is>
      </c>
      <c r="E1923" s="25" t="inlineStr">
        <is>
          <t>2.7.4 SERVERS AND STORAGE</t>
        </is>
      </c>
      <c r="F1923" s="25" t="inlineStr">
        <is>
          <t>All the servers and storage required for each of the OSS911 solutions shall be supplied, configured and implemented by the CONTRACTOR.</t>
        </is>
      </c>
      <c r="G1923" s="19" t="n"/>
      <c r="H1923" s="20" t="n"/>
      <c r="I1923" s="20" t="n"/>
      <c r="J1923" s="19" t="n"/>
      <c r="K1923" s="21" t="n"/>
      <c r="L1923" s="22">
        <f>IF(OR(J1923="",K1923=""),"",J1923*K1923)</f>
        <v/>
      </c>
      <c r="M1923" s="19" t="n"/>
      <c r="N1923" s="20" t="n"/>
      <c r="O1923" s="20" t="n"/>
    </row>
    <row r="1924">
      <c r="A1924" s="16" t="n">
        <v>1921</v>
      </c>
      <c r="B1924" s="17" t="inlineStr">
        <is>
          <t>2.7.4.2</t>
        </is>
      </c>
      <c r="C1924" s="18" t="inlineStr">
        <is>
          <t>Part 2 – Technical Systems</t>
        </is>
      </c>
      <c r="D1924" s="18" t="inlineStr">
        <is>
          <t>2.7 PRIVATE CLOUD TECHNICAL INFRASTRUCTURE</t>
        </is>
      </c>
      <c r="E1924" s="18" t="inlineStr">
        <is>
          <t>2.7.4 SERVERS AND STORAGE</t>
        </is>
      </c>
      <c r="F1924" s="18" t="inlineStr">
        <is>
          <t>All servers, databases and storage in production environment shall be configured by the CONTRACTOR for high availability disaster recovery as required by the individual applications to ensure service availability as required in this document.</t>
        </is>
      </c>
      <c r="G1924" s="19" t="n"/>
      <c r="H1924" s="20" t="n"/>
      <c r="I1924" s="20" t="n"/>
      <c r="J1924" s="19" t="n"/>
      <c r="K1924" s="21" t="n"/>
      <c r="L1924" s="22">
        <f>IF(OR(J1924="",K1924=""),"",J1924*K1924)</f>
        <v/>
      </c>
      <c r="M1924" s="19" t="n"/>
      <c r="N1924" s="20" t="n"/>
      <c r="O1924" s="20" t="n"/>
    </row>
    <row r="1925">
      <c r="A1925" s="23" t="n">
        <v>1922</v>
      </c>
      <c r="B1925" s="24" t="inlineStr">
        <is>
          <t>2.7.4.3</t>
        </is>
      </c>
      <c r="C1925" s="25" t="inlineStr">
        <is>
          <t>Part 2 – Technical Systems</t>
        </is>
      </c>
      <c r="D1925" s="25" t="inlineStr">
        <is>
          <t>2.7 PRIVATE CLOUD TECHNICAL INFRASTRUCTURE</t>
        </is>
      </c>
      <c r="E1925" s="25" t="inlineStr">
        <is>
          <t>2.7.4 SERVERS AND STORAGE</t>
        </is>
      </c>
      <c r="F1925" s="25" t="inlineStr">
        <is>
          <t>All servers, databases and storage in production environment shall be configured by the CONTRACTOR with multiple, redundant 10Gbps connections to server switches.</t>
        </is>
      </c>
      <c r="G1925" s="19" t="n"/>
      <c r="H1925" s="20" t="n"/>
      <c r="I1925" s="20" t="n"/>
      <c r="J1925" s="19" t="n"/>
      <c r="K1925" s="21" t="n"/>
      <c r="L1925" s="22">
        <f>IF(OR(J1925="",K1925=""),"",J1925*K1925)</f>
        <v/>
      </c>
      <c r="M1925" s="19" t="n"/>
      <c r="N1925" s="20" t="n"/>
      <c r="O1925" s="20" t="n"/>
    </row>
    <row r="1926">
      <c r="A1926" s="16" t="n">
        <v>1923</v>
      </c>
      <c r="B1926" s="17" t="inlineStr">
        <is>
          <t>2.7.4.4</t>
        </is>
      </c>
      <c r="C1926" s="18" t="inlineStr">
        <is>
          <t>Part 2 – Technical Systems</t>
        </is>
      </c>
      <c r="D1926" s="18" t="inlineStr">
        <is>
          <t>2.7 PRIVATE CLOUD TECHNICAL INFRASTRUCTURE</t>
        </is>
      </c>
      <c r="E1926" s="18" t="inlineStr">
        <is>
          <t>2.7.4 SERVERS AND STORAGE</t>
        </is>
      </c>
      <c r="F1926" s="18" t="inlineStr">
        <is>
          <t>The CONTRACTOR shall implement an active-active object storage cluster (software-defined and/or HDD-based) for long term data retention, training datasets, etc. to deliver the RFP data retention for all data and AI-related training requirements for storage.</t>
        </is>
      </c>
      <c r="G1926" s="19" t="n"/>
      <c r="H1926" s="20" t="n"/>
      <c r="I1926" s="20" t="n"/>
      <c r="J1926" s="19" t="n"/>
      <c r="K1926" s="21" t="n"/>
      <c r="L1926" s="22">
        <f>IF(OR(J1926="",K1926=""),"",J1926*K1926)</f>
        <v/>
      </c>
      <c r="M1926" s="19" t="n"/>
      <c r="N1926" s="20" t="n"/>
      <c r="O1926" s="20" t="n"/>
    </row>
    <row r="1927">
      <c r="A1927" s="23" t="n">
        <v>1924</v>
      </c>
      <c r="B1927" s="24" t="inlineStr">
        <is>
          <t>2.7.4.5</t>
        </is>
      </c>
      <c r="C1927" s="25" t="inlineStr">
        <is>
          <t>Part 2 – Technical Systems</t>
        </is>
      </c>
      <c r="D1927" s="25" t="inlineStr">
        <is>
          <t>2.7 PRIVATE CLOUD TECHNICAL INFRASTRUCTURE</t>
        </is>
      </c>
      <c r="E1927" s="25" t="inlineStr">
        <is>
          <t>2.7.4 SERVERS AND STORAGE</t>
        </is>
      </c>
      <c r="F1927" s="25" t="inlineStr">
        <is>
          <t>Storage Area Network (SAN) shall be implemented by the CONTRACTOR that consolidates all the online storage accessible to all OSS911 solutions unless otherwise approved by MOI.</t>
        </is>
      </c>
      <c r="G1927" s="19" t="n"/>
      <c r="H1927" s="20" t="n"/>
      <c r="I1927" s="20" t="n"/>
      <c r="J1927" s="19" t="n"/>
      <c r="K1927" s="21" t="n"/>
      <c r="L1927" s="22">
        <f>IF(OR(J1927="",K1927=""),"",J1927*K1927)</f>
        <v/>
      </c>
      <c r="M1927" s="19" t="n"/>
      <c r="N1927" s="20" t="n"/>
      <c r="O1927" s="20" t="n"/>
    </row>
    <row r="1928">
      <c r="A1928" s="16" t="n">
        <v>1925</v>
      </c>
      <c r="B1928" s="17" t="inlineStr">
        <is>
          <t>2.7.4.6</t>
        </is>
      </c>
      <c r="C1928" s="18" t="inlineStr">
        <is>
          <t>Part 2 – Technical Systems</t>
        </is>
      </c>
      <c r="D1928" s="18" t="inlineStr">
        <is>
          <t>2.7 PRIVATE CLOUD TECHNICAL INFRASTRUCTURE</t>
        </is>
      </c>
      <c r="E1928" s="18" t="inlineStr">
        <is>
          <t>2.7.4 SERVERS AND STORAGE</t>
        </is>
      </c>
      <c r="F1928" s="18" t="inlineStr">
        <is>
          <t>The BIDDERS shall provide a preliminary SAN design with their proposal.</t>
        </is>
      </c>
      <c r="G1928" s="19" t="n"/>
      <c r="H1928" s="20" t="n"/>
      <c r="I1928" s="20" t="n"/>
      <c r="J1928" s="19" t="n"/>
      <c r="K1928" s="21" t="n"/>
      <c r="L1928" s="22">
        <f>IF(OR(J1928="",K1928=""),"",J1928*K1928)</f>
        <v/>
      </c>
      <c r="M1928" s="19" t="n"/>
      <c r="N1928" s="20" t="n"/>
      <c r="O1928" s="20" t="n"/>
    </row>
    <row r="1929">
      <c r="A1929" s="23" t="n">
        <v>1926</v>
      </c>
      <c r="B1929" s="24" t="inlineStr">
        <is>
          <t>2.7.4.7</t>
        </is>
      </c>
      <c r="C1929" s="25" t="inlineStr">
        <is>
          <t>Part 2 – Technical Systems</t>
        </is>
      </c>
      <c r="D1929" s="25" t="inlineStr">
        <is>
          <t>2.7 PRIVATE CLOUD TECHNICAL INFRASTRUCTURE</t>
        </is>
      </c>
      <c r="E1929" s="25" t="inlineStr">
        <is>
          <t>2.7.4 SERVERS AND STORAGE</t>
        </is>
      </c>
      <c r="F1929" s="25" t="inlineStr">
        <is>
          <t>The BIDDERS shall clearly document their rationale supporting the SAN capacities they intend to provide and how that meets all the requirements of the OSS911 applications.</t>
        </is>
      </c>
      <c r="G1929" s="19" t="n"/>
      <c r="H1929" s="20" t="n"/>
      <c r="I1929" s="20" t="n"/>
      <c r="J1929" s="19" t="n"/>
      <c r="K1929" s="21" t="n"/>
      <c r="L1929" s="22">
        <f>IF(OR(J1929="",K1929=""),"",J1929*K1929)</f>
        <v/>
      </c>
      <c r="M1929" s="19" t="n"/>
      <c r="N1929" s="20" t="n"/>
      <c r="O1929" s="20" t="n"/>
    </row>
    <row r="1930">
      <c r="A1930" s="16" t="n">
        <v>1927</v>
      </c>
      <c r="B1930" s="17" t="inlineStr">
        <is>
          <t>2.7.4.8</t>
        </is>
      </c>
      <c r="C1930" s="18" t="inlineStr">
        <is>
          <t>Part 2 – Technical Systems</t>
        </is>
      </c>
      <c r="D1930" s="18" t="inlineStr">
        <is>
          <t>2.7 PRIVATE CLOUD TECHNICAL INFRASTRUCTURE</t>
        </is>
      </c>
      <c r="E1930" s="18" t="inlineStr">
        <is>
          <t>2.7.4 SERVERS AND STORAGE</t>
        </is>
      </c>
      <c r="F1930" s="18" t="inlineStr">
        <is>
          <t>The CONTRACTOR shall implement an active-active cluster of high- performance compute nodes for real-time, concurrent inference and AI pre/post processing to deliver the RFP AI-requirements and related load including GPU-based parallel AI accelerators with NVMe storage.</t>
        </is>
      </c>
      <c r="G1930" s="19" t="n"/>
      <c r="H1930" s="20" t="n"/>
      <c r="I1930" s="20" t="n"/>
      <c r="J1930" s="19" t="n"/>
      <c r="K1930" s="21" t="n"/>
      <c r="L1930" s="22">
        <f>IF(OR(J1930="",K1930=""),"",J1930*K1930)</f>
        <v/>
      </c>
      <c r="M1930" s="19" t="n"/>
      <c r="N1930" s="20" t="n"/>
      <c r="O1930" s="20" t="n"/>
    </row>
    <row r="1931">
      <c r="A1931" s="23" t="n">
        <v>1928</v>
      </c>
      <c r="B1931" s="24" t="inlineStr">
        <is>
          <t>2.7.4.9</t>
        </is>
      </c>
      <c r="C1931" s="25" t="inlineStr">
        <is>
          <t>Part 2 – Technical Systems</t>
        </is>
      </c>
      <c r="D1931" s="25" t="inlineStr">
        <is>
          <t>2.7 PRIVATE CLOUD TECHNICAL INFRASTRUCTURE</t>
        </is>
      </c>
      <c r="E1931" s="25" t="inlineStr">
        <is>
          <t>2.7.4 SERVERS AND STORAGE</t>
        </is>
      </c>
      <c r="F1931" s="25" t="inlineStr">
        <is>
          <t>The CONTRACTOR shall implement an active-active cluster of high- performance compute nodes for training AI models to deliver the RFP AI- requirements and related load including GPU-based parallel AI accelerators with NVMe storage.</t>
        </is>
      </c>
      <c r="G1931" s="19" t="n"/>
      <c r="H1931" s="20" t="n"/>
      <c r="I1931" s="20" t="n"/>
      <c r="J1931" s="19" t="n"/>
      <c r="K1931" s="21" t="n"/>
      <c r="L1931" s="22">
        <f>IF(OR(J1931="",K1931=""),"",J1931*K1931)</f>
        <v/>
      </c>
      <c r="M1931" s="19" t="n"/>
      <c r="N1931" s="20" t="n"/>
      <c r="O1931" s="20" t="n"/>
    </row>
    <row r="1932">
      <c r="A1932" s="16" t="n">
        <v>1929</v>
      </c>
      <c r="B1932" s="17" t="inlineStr">
        <is>
          <t>2.7.4.10</t>
        </is>
      </c>
      <c r="C1932" s="18" t="inlineStr">
        <is>
          <t>Part 2 – Technical Systems</t>
        </is>
      </c>
      <c r="D1932" s="18" t="inlineStr">
        <is>
          <t>2.7 PRIVATE CLOUD TECHNICAL INFRASTRUCTURE</t>
        </is>
      </c>
      <c r="E1932" s="18" t="inlineStr">
        <is>
          <t>2.7.4 SERVERS AND STORAGE</t>
        </is>
      </c>
      <c r="F1932" s="18" t="inlineStr">
        <is>
          <t>The CONTRACTOR shall implement an active-active all-flash storage cluster for real-time AI inference to deliver the RFP AI- requirements and related load.</t>
        </is>
      </c>
      <c r="G1932" s="19" t="n"/>
      <c r="H1932" s="20" t="n"/>
      <c r="I1932" s="20" t="n"/>
      <c r="J1932" s="19" t="n"/>
      <c r="K1932" s="21" t="n"/>
      <c r="L1932" s="22">
        <f>IF(OR(J1932="",K1932=""),"",J1932*K1932)</f>
        <v/>
      </c>
      <c r="M1932" s="19" t="n"/>
      <c r="N1932" s="20" t="n"/>
      <c r="O1932" s="20" t="n"/>
    </row>
    <row r="1933">
      <c r="A1933" s="23" t="n">
        <v>1930</v>
      </c>
      <c r="B1933" s="24" t="inlineStr">
        <is>
          <t>2.7.4.11</t>
        </is>
      </c>
      <c r="C1933" s="25" t="inlineStr">
        <is>
          <t>Part 2 – Technical Systems</t>
        </is>
      </c>
      <c r="D1933" s="25" t="inlineStr">
        <is>
          <t>2.7 PRIVATE CLOUD TECHNICAL INFRASTRUCTURE</t>
        </is>
      </c>
      <c r="E1933" s="25" t="inlineStr">
        <is>
          <t>2.7.4 SERVERS AND STORAGE</t>
        </is>
      </c>
      <c r="F1933" s="25" t="inlineStr">
        <is>
          <t>Within the production environment, the CONTRACTOR shall configure and implement appropriate RAID levels in the SAN based on the final design agreed with the MOI.</t>
        </is>
      </c>
      <c r="G1933" s="19" t="n"/>
      <c r="H1933" s="20" t="n"/>
      <c r="I1933" s="20" t="n"/>
      <c r="J1933" s="19" t="n"/>
      <c r="K1933" s="21" t="n"/>
      <c r="L1933" s="22">
        <f>IF(OR(J1933="",K1933=""),"",J1933*K1933)</f>
        <v/>
      </c>
      <c r="M1933" s="19" t="n"/>
      <c r="N1933" s="20" t="n"/>
      <c r="O1933" s="20" t="n"/>
    </row>
    <row r="1934">
      <c r="A1934" s="16" t="n">
        <v>1931</v>
      </c>
      <c r="B1934" s="17" t="inlineStr">
        <is>
          <t>2.7.4.12</t>
        </is>
      </c>
      <c r="C1934" s="18" t="inlineStr">
        <is>
          <t>Part 2 – Technical Systems</t>
        </is>
      </c>
      <c r="D1934" s="18" t="inlineStr">
        <is>
          <t>2.7 PRIVATE CLOUD TECHNICAL INFRASTRUCTURE</t>
        </is>
      </c>
      <c r="E1934" s="18" t="inlineStr">
        <is>
          <t>2.7.4 SERVERS AND STORAGE</t>
        </is>
      </c>
      <c r="F1934" s="18" t="inlineStr">
        <is>
          <t>Within the production environment, the CONTRACTOR shall implement the SAN with clustering, mirroring (local and remote replication or cloning) and snapshots.</t>
        </is>
      </c>
      <c r="G1934" s="19" t="n"/>
      <c r="H1934" s="20" t="n"/>
      <c r="I1934" s="20" t="n"/>
      <c r="J1934" s="19" t="n"/>
      <c r="K1934" s="21" t="n"/>
      <c r="L1934" s="22">
        <f>IF(OR(J1934="",K1934=""),"",J1934*K1934)</f>
        <v/>
      </c>
      <c r="M1934" s="19" t="n"/>
      <c r="N1934" s="20" t="n"/>
      <c r="O1934" s="20" t="n"/>
    </row>
    <row r="1935">
      <c r="A1935" s="23" t="n">
        <v>1932</v>
      </c>
      <c r="B1935" s="24" t="inlineStr">
        <is>
          <t>2.7.4.13</t>
        </is>
      </c>
      <c r="C1935" s="25" t="inlineStr">
        <is>
          <t>Part 2 – Technical Systems</t>
        </is>
      </c>
      <c r="D1935" s="25" t="inlineStr">
        <is>
          <t>2.7 PRIVATE CLOUD TECHNICAL INFRASTRUCTURE</t>
        </is>
      </c>
      <c r="E1935" s="25" t="inlineStr">
        <is>
          <t>2.7.4 SERVERS AND STORAGE</t>
        </is>
      </c>
      <c r="F1935" s="25" t="inlineStr">
        <is>
          <t>Within the production environment, the CONTRACTOR shall implement the SAN to include non-disruptive component replacement and online microcode upgrades.</t>
        </is>
      </c>
      <c r="G1935" s="19" t="n"/>
      <c r="H1935" s="20" t="n"/>
      <c r="I1935" s="20" t="n"/>
      <c r="J1935" s="19" t="n"/>
      <c r="K1935" s="21" t="n"/>
      <c r="L1935" s="22">
        <f>IF(OR(J1935="",K1935=""),"",J1935*K1935)</f>
        <v/>
      </c>
      <c r="M1935" s="19" t="n"/>
      <c r="N1935" s="20" t="n"/>
      <c r="O1935" s="20" t="n"/>
    </row>
    <row r="1936">
      <c r="A1936" s="16" t="n">
        <v>1933</v>
      </c>
      <c r="B1936" s="17" t="inlineStr">
        <is>
          <t>2.7.4.14</t>
        </is>
      </c>
      <c r="C1936" s="18" t="inlineStr">
        <is>
          <t>Part 2 – Technical Systems</t>
        </is>
      </c>
      <c r="D1936" s="18" t="inlineStr">
        <is>
          <t>2.7 PRIVATE CLOUD TECHNICAL INFRASTRUCTURE</t>
        </is>
      </c>
      <c r="E1936" s="18" t="inlineStr">
        <is>
          <t>2.7.4 SERVERS AND STORAGE</t>
        </is>
      </c>
      <c r="F1936" s="18" t="inlineStr">
        <is>
          <t>It is the responsibility of the BIDDER to calculate the storage requirements for the proposed OSS911 Center, their systems, and operations, and then propose a suitable storage size for meeting them.</t>
        </is>
      </c>
      <c r="G1936" s="19" t="n"/>
      <c r="H1936" s="20" t="n"/>
      <c r="I1936" s="20" t="n"/>
      <c r="J1936" s="19" t="n"/>
      <c r="K1936" s="21" t="n"/>
      <c r="L1936" s="22">
        <f>IF(OR(J1936="",K1936=""),"",J1936*K1936)</f>
        <v/>
      </c>
      <c r="M1936" s="19" t="n"/>
      <c r="N1936" s="20" t="n"/>
      <c r="O1936" s="20" t="n"/>
    </row>
    <row r="1937">
      <c r="A1937" s="23" t="n">
        <v>1934</v>
      </c>
      <c r="B1937" s="24" t="inlineStr">
        <is>
          <t>2.7.4.15</t>
        </is>
      </c>
      <c r="C1937" s="25" t="inlineStr">
        <is>
          <t>Part 2 – Technical Systems</t>
        </is>
      </c>
      <c r="D1937" s="25" t="inlineStr">
        <is>
          <t>2.7 PRIVATE CLOUD TECHNICAL INFRASTRUCTURE</t>
        </is>
      </c>
      <c r="E1937" s="25" t="inlineStr">
        <is>
          <t>2.7.4 SERVERS AND STORAGE</t>
        </is>
      </c>
      <c r="F1937" s="25" t="inlineStr">
        <is>
          <t>Separate file servers shall be supplied for each domain.</t>
        </is>
      </c>
      <c r="G1937" s="19" t="n"/>
      <c r="H1937" s="20" t="n"/>
      <c r="I1937" s="20" t="n"/>
      <c r="J1937" s="19" t="n"/>
      <c r="K1937" s="21" t="n"/>
      <c r="L1937" s="22">
        <f>IF(OR(J1937="",K1937=""),"",J1937*K1937)</f>
        <v/>
      </c>
      <c r="M1937" s="19" t="n"/>
      <c r="N1937" s="20" t="n"/>
      <c r="O1937" s="20" t="n"/>
    </row>
    <row r="1938">
      <c r="A1938" s="16" t="n">
        <v>1935</v>
      </c>
      <c r="B1938" s="17" t="inlineStr">
        <is>
          <t>2.7.4.16</t>
        </is>
      </c>
      <c r="C1938" s="18" t="inlineStr">
        <is>
          <t>Part 2 – Technical Systems</t>
        </is>
      </c>
      <c r="D1938" s="18" t="inlineStr">
        <is>
          <t>2.7 PRIVATE CLOUD TECHNICAL INFRASTRUCTURE</t>
        </is>
      </c>
      <c r="E1938" s="18" t="inlineStr">
        <is>
          <t>2.7.4 SERVERS AND STORAGE</t>
        </is>
      </c>
      <c r="F1938" s="18" t="inlineStr">
        <is>
          <t>The CONTRACTOR shall implement MOI approved policy restrictions for each user to determine what access rights that user has.</t>
        </is>
      </c>
      <c r="G1938" s="19" t="n"/>
      <c r="H1938" s="20" t="n"/>
      <c r="I1938" s="20" t="n"/>
      <c r="J1938" s="19" t="n"/>
      <c r="K1938" s="21" t="n"/>
      <c r="L1938" s="22">
        <f>IF(OR(J1938="",K1938=""),"",J1938*K1938)</f>
        <v/>
      </c>
      <c r="M1938" s="19" t="n"/>
      <c r="N1938" s="20" t="n"/>
      <c r="O1938" s="20" t="n"/>
    </row>
    <row r="1939">
      <c r="A1939" s="23" t="n">
        <v>1936</v>
      </c>
      <c r="B1939" s="24" t="inlineStr">
        <is>
          <t>2.7.4.17</t>
        </is>
      </c>
      <c r="C1939" s="25" t="inlineStr">
        <is>
          <t>Part 2 – Technical Systems</t>
        </is>
      </c>
      <c r="D1939" s="25" t="inlineStr">
        <is>
          <t>2.7 PRIVATE CLOUD TECHNICAL INFRASTRUCTURE</t>
        </is>
      </c>
      <c r="E1939" s="25" t="inlineStr">
        <is>
          <t>2.7.4 SERVERS AND STORAGE</t>
        </is>
      </c>
      <c r="F1939" s="25" t="inlineStr">
        <is>
          <t>All printers shall be capable of being accessed via a print server.</t>
        </is>
      </c>
      <c r="G1939" s="19" t="n"/>
      <c r="H1939" s="20" t="n"/>
      <c r="I1939" s="20" t="n"/>
      <c r="J1939" s="19" t="n"/>
      <c r="K1939" s="21" t="n"/>
      <c r="L1939" s="22">
        <f>IF(OR(J1939="",K1939=""),"",J1939*K1939)</f>
        <v/>
      </c>
      <c r="M1939" s="19" t="n"/>
      <c r="N1939" s="20" t="n"/>
      <c r="O1939" s="20" t="n"/>
    </row>
    <row r="1940">
      <c r="A1940" s="16" t="n">
        <v>1937</v>
      </c>
      <c r="B1940" s="17" t="inlineStr">
        <is>
          <t>2.7.4.18</t>
        </is>
      </c>
      <c r="C1940" s="18" t="inlineStr">
        <is>
          <t>Part 2 – Technical Systems</t>
        </is>
      </c>
      <c r="D1940" s="18" t="inlineStr">
        <is>
          <t>2.7 PRIVATE CLOUD TECHNICAL INFRASTRUCTURE</t>
        </is>
      </c>
      <c r="E1940" s="18" t="inlineStr">
        <is>
          <t>2.7.4 SERVERS AND STORAGE</t>
        </is>
      </c>
      <c r="F1940" s="18" t="inlineStr">
        <is>
          <t>All file and print servers shall have redundant power supplies and hot swappable components as appropriate.</t>
        </is>
      </c>
      <c r="G1940" s="19" t="n"/>
      <c r="H1940" s="20" t="n"/>
      <c r="I1940" s="20" t="n"/>
      <c r="J1940" s="19" t="n"/>
      <c r="K1940" s="21" t="n"/>
      <c r="L1940" s="22">
        <f>IF(OR(J1940="",K1940=""),"",J1940*K1940)</f>
        <v/>
      </c>
      <c r="M1940" s="19" t="n"/>
      <c r="N1940" s="20" t="n"/>
      <c r="O1940" s="20" t="n"/>
    </row>
    <row r="1941">
      <c r="A1941" s="23" t="n">
        <v>1938</v>
      </c>
      <c r="B1941" s="24" t="inlineStr">
        <is>
          <t>2.7.5.1</t>
        </is>
      </c>
      <c r="C1941" s="25" t="inlineStr">
        <is>
          <t>Part 2 – Technical Systems</t>
        </is>
      </c>
      <c r="D1941" s="25" t="inlineStr">
        <is>
          <t>2.7 PRIVATE CLOUD TECHNICAL INFRASTRUCTURE</t>
        </is>
      </c>
      <c r="E1941" s="25" t="inlineStr">
        <is>
          <t>2.7.5 NETWORKS</t>
        </is>
      </c>
      <c r="F1941" s="25" t="inlineStr">
        <is>
          <t>The CONTRACTOR shall implement solutions for the OSS911 center to be connected to MOI Fiber Optic Network backbone (MiFON) network.</t>
        </is>
      </c>
      <c r="G1941" s="19" t="n"/>
      <c r="H1941" s="20" t="n"/>
      <c r="I1941" s="20" t="n"/>
      <c r="J1941" s="19" t="n"/>
      <c r="K1941" s="21" t="n"/>
      <c r="L1941" s="22">
        <f>IF(OR(J1941="",K1941=""),"",J1941*K1941)</f>
        <v/>
      </c>
      <c r="M1941" s="19" t="n"/>
      <c r="N1941" s="20" t="n"/>
      <c r="O1941" s="20" t="n"/>
    </row>
    <row r="1942">
      <c r="A1942" s="16" t="n">
        <v>1939</v>
      </c>
      <c r="B1942" s="17" t="inlineStr">
        <is>
          <t>2.7.5.2</t>
        </is>
      </c>
      <c r="C1942" s="18" t="inlineStr">
        <is>
          <t>Part 2 – Technical Systems</t>
        </is>
      </c>
      <c r="D1942" s="18" t="inlineStr">
        <is>
          <t>2.7 PRIVATE CLOUD TECHNICAL INFRASTRUCTURE</t>
        </is>
      </c>
      <c r="E1942" s="18" t="inlineStr">
        <is>
          <t>2.7.5 NETWORKS</t>
        </is>
      </c>
      <c r="F1942" s="18" t="inlineStr">
        <is>
          <t>The CONTRACTOR shall supply and implement an OSS911 network that is totally and absolutely physically isolated from the Internet except for the use cases and requirements explained in this document.</t>
        </is>
      </c>
      <c r="G1942" s="19" t="n"/>
      <c r="H1942" s="20" t="n"/>
      <c r="I1942" s="20" t="n"/>
      <c r="J1942" s="19" t="n"/>
      <c r="K1942" s="21" t="n"/>
      <c r="L1942" s="22">
        <f>IF(OR(J1942="",K1942=""),"",J1942*K1942)</f>
        <v/>
      </c>
      <c r="M1942" s="19" t="n"/>
      <c r="N1942" s="20" t="n"/>
      <c r="O1942" s="20" t="n"/>
    </row>
    <row r="1943">
      <c r="A1943" s="23" t="n">
        <v>1940</v>
      </c>
      <c r="B1943" s="24" t="inlineStr">
        <is>
          <t>2.7.5.3</t>
        </is>
      </c>
      <c r="C1943" s="25" t="inlineStr">
        <is>
          <t>Part 2 – Technical Systems</t>
        </is>
      </c>
      <c r="D1943" s="25" t="inlineStr">
        <is>
          <t>2.7 PRIVATE CLOUD TECHNICAL INFRASTRUCTURE</t>
        </is>
      </c>
      <c r="E1943" s="25" t="inlineStr">
        <is>
          <t>2.7.5 NETWORKS</t>
        </is>
      </c>
      <c r="F1943" s="25" t="inlineStr">
        <is>
          <t>The BIDDER shall note that for the fallback to the nominated/paired OSS911 center, the connection to the MOI MiFON backbone shall be used.</t>
        </is>
      </c>
      <c r="G1943" s="19" t="n"/>
      <c r="H1943" s="20" t="n"/>
      <c r="I1943" s="20" t="n"/>
      <c r="J1943" s="19" t="n"/>
      <c r="K1943" s="21" t="n"/>
      <c r="L1943" s="22">
        <f>IF(OR(J1943="",K1943=""),"",J1943*K1943)</f>
        <v/>
      </c>
      <c r="M1943" s="19" t="n"/>
      <c r="N1943" s="20" t="n"/>
      <c r="O1943" s="20" t="n"/>
    </row>
    <row r="1944">
      <c r="A1944" s="16" t="n">
        <v>1941</v>
      </c>
      <c r="B1944" s="17" t="inlineStr">
        <is>
          <t>2.7.5.4</t>
        </is>
      </c>
      <c r="C1944" s="18" t="inlineStr">
        <is>
          <t>Part 2 – Technical Systems</t>
        </is>
      </c>
      <c r="D1944" s="18" t="inlineStr">
        <is>
          <t>2.7 PRIVATE CLOUD TECHNICAL INFRASTRUCTURE</t>
        </is>
      </c>
      <c r="E1944" s="18" t="inlineStr">
        <is>
          <t>2.7.5 NETWORKS</t>
        </is>
      </c>
      <c r="F1944" s="18" t="inlineStr">
        <is>
          <t>Within their proposal, the BIDDER shall clearly state their requirements of the bandwidth, latency, QoS and other parameters for the MOI MiFON backbone for their performance and availability to be achievable.</t>
        </is>
      </c>
      <c r="G1944" s="19" t="n"/>
      <c r="H1944" s="20" t="n"/>
      <c r="I1944" s="20" t="n"/>
      <c r="J1944" s="19" t="n"/>
      <c r="K1944" s="21" t="n"/>
      <c r="L1944" s="22">
        <f>IF(OR(J1944="",K1944=""),"",J1944*K1944)</f>
        <v/>
      </c>
      <c r="M1944" s="19" t="n"/>
      <c r="N1944" s="20" t="n"/>
      <c r="O1944" s="20" t="n"/>
    </row>
    <row r="1945">
      <c r="A1945" s="23" t="n">
        <v>1942</v>
      </c>
      <c r="B1945" s="24" t="inlineStr">
        <is>
          <t>2.7.5.5</t>
        </is>
      </c>
      <c r="C1945" s="25" t="inlineStr">
        <is>
          <t>Part 2 – Technical Systems</t>
        </is>
      </c>
      <c r="D1945" s="25" t="inlineStr">
        <is>
          <t>2.7 PRIVATE CLOUD TECHNICAL INFRASTRUCTURE</t>
        </is>
      </c>
      <c r="E1945" s="25" t="inlineStr">
        <is>
          <t>2.7.5 NETWORKS</t>
        </is>
      </c>
      <c r="F1945" s="25" t="inlineStr">
        <is>
          <t>The CONTRACTOR shall implement end-to-end Quality of Service across the OSS911 networks to prioritize between different types of traffic.</t>
        </is>
      </c>
      <c r="G1945" s="19" t="n"/>
      <c r="H1945" s="20" t="n"/>
      <c r="I1945" s="20" t="n"/>
      <c r="J1945" s="19" t="n"/>
      <c r="K1945" s="21" t="n"/>
      <c r="L1945" s="22">
        <f>IF(OR(J1945="",K1945=""),"",J1945*K1945)</f>
        <v/>
      </c>
      <c r="M1945" s="19" t="n"/>
      <c r="N1945" s="20" t="n"/>
      <c r="O1945" s="20" t="n"/>
    </row>
    <row r="1946">
      <c r="A1946" s="16" t="n">
        <v>1943</v>
      </c>
      <c r="B1946" s="17" t="inlineStr">
        <is>
          <t>2.7.5.6</t>
        </is>
      </c>
      <c r="C1946" s="18" t="inlineStr">
        <is>
          <t>Part 2 – Technical Systems</t>
        </is>
      </c>
      <c r="D1946" s="18" t="inlineStr">
        <is>
          <t>2.7 PRIVATE CLOUD TECHNICAL INFRASTRUCTURE</t>
        </is>
      </c>
      <c r="E1946" s="18" t="inlineStr">
        <is>
          <t>2.7.5 NETWORKS</t>
        </is>
      </c>
      <c r="F1946" s="18" t="inlineStr">
        <is>
          <t>The CONTRACTOR shall implement Demilitarized Zones (DMZs) as agreed with the MOI and as per standard best practice of dual firewall DMZ or better.</t>
        </is>
      </c>
      <c r="G1946" s="19" t="n"/>
      <c r="H1946" s="20" t="n"/>
      <c r="I1946" s="20" t="n"/>
      <c r="J1946" s="19" t="n"/>
      <c r="K1946" s="21" t="n"/>
      <c r="L1946" s="22">
        <f>IF(OR(J1946="",K1946=""),"",J1946*K1946)</f>
        <v/>
      </c>
      <c r="M1946" s="19" t="n"/>
      <c r="N1946" s="20" t="n"/>
      <c r="O1946" s="20" t="n"/>
    </row>
    <row r="1947">
      <c r="A1947" s="23" t="n">
        <v>1944</v>
      </c>
      <c r="B1947" s="24" t="inlineStr">
        <is>
          <t>2.7.5.7</t>
        </is>
      </c>
      <c r="C1947" s="25" t="inlineStr">
        <is>
          <t>Part 2 – Technical Systems</t>
        </is>
      </c>
      <c r="D1947" s="25" t="inlineStr">
        <is>
          <t>2.7 PRIVATE CLOUD TECHNICAL INFRASTRUCTURE</t>
        </is>
      </c>
      <c r="E1947" s="25" t="inlineStr">
        <is>
          <t>2.7.5 NETWORKS</t>
        </is>
      </c>
      <c r="F1947" s="25" t="inlineStr">
        <is>
          <t>The CONTRACTOR shall implement security operations, monitoring and control system that is integrated in to the overall OSS911 infrastructure and systems management and monitoring tool that they shall implement as part of this project.</t>
        </is>
      </c>
      <c r="G1947" s="19" t="n"/>
      <c r="H1947" s="20" t="n"/>
      <c r="I1947" s="20" t="n"/>
      <c r="J1947" s="19" t="n"/>
      <c r="K1947" s="21" t="n"/>
      <c r="L1947" s="22">
        <f>IF(OR(J1947="",K1947=""),"",J1947*K1947)</f>
        <v/>
      </c>
      <c r="M1947" s="19" t="n"/>
      <c r="N1947" s="20" t="n"/>
      <c r="O1947" s="20" t="n"/>
    </row>
    <row r="1948">
      <c r="A1948" s="16" t="n">
        <v>1945</v>
      </c>
      <c r="B1948" s="17" t="inlineStr">
        <is>
          <t>2.7.5.8</t>
        </is>
      </c>
      <c r="C1948" s="18" t="inlineStr">
        <is>
          <t>Part 2 – Technical Systems</t>
        </is>
      </c>
      <c r="D1948" s="18" t="inlineStr">
        <is>
          <t>2.7 PRIVATE CLOUD TECHNICAL INFRASTRUCTURE</t>
        </is>
      </c>
      <c r="E1948" s="18" t="inlineStr">
        <is>
          <t>2.7.5 NETWORKS</t>
        </is>
      </c>
      <c r="F1948" s="18" t="inlineStr">
        <is>
          <t>The CONTRACTOR shall configure the network solutions for OSS911 network to support IPv4 and IPv6 for all components and devices.</t>
        </is>
      </c>
      <c r="G1948" s="19" t="n"/>
      <c r="H1948" s="20" t="n"/>
      <c r="I1948" s="20" t="n"/>
      <c r="J1948" s="19" t="n"/>
      <c r="K1948" s="21" t="n"/>
      <c r="L1948" s="22">
        <f>IF(OR(J1948="",K1948=""),"",J1948*K1948)</f>
        <v/>
      </c>
      <c r="M1948" s="19" t="n"/>
      <c r="N1948" s="20" t="n"/>
      <c r="O1948" s="20" t="n"/>
    </row>
    <row r="1949">
      <c r="A1949" s="23" t="n">
        <v>1946</v>
      </c>
      <c r="B1949" s="24" t="inlineStr">
        <is>
          <t>2.7.5.9</t>
        </is>
      </c>
      <c r="C1949" s="25" t="inlineStr">
        <is>
          <t>Part 2 – Technical Systems</t>
        </is>
      </c>
      <c r="D1949" s="25" t="inlineStr">
        <is>
          <t>2.7 PRIVATE CLOUD TECHNICAL INFRASTRUCTURE</t>
        </is>
      </c>
      <c r="E1949" s="25" t="inlineStr">
        <is>
          <t>2.7.5 NETWORKS</t>
        </is>
      </c>
      <c r="F1949" s="25" t="inlineStr">
        <is>
          <t>The CONTRACTOR OSS911 solutions shall work on Software Defined Network (SDN), be SDN compatible and shall utilize spine-leaf architecture and orchestration.</t>
        </is>
      </c>
      <c r="G1949" s="19" t="n"/>
      <c r="H1949" s="20" t="n"/>
      <c r="I1949" s="20" t="n"/>
      <c r="J1949" s="19" t="n"/>
      <c r="K1949" s="21" t="n"/>
      <c r="L1949" s="22">
        <f>IF(OR(J1949="",K1949=""),"",J1949*K1949)</f>
        <v/>
      </c>
      <c r="M1949" s="19" t="n"/>
      <c r="N1949" s="20" t="n"/>
      <c r="O1949" s="20" t="n"/>
    </row>
    <row r="1950">
      <c r="A1950" s="16" t="n">
        <v>1947</v>
      </c>
      <c r="B1950" s="17" t="inlineStr">
        <is>
          <t>2.7.5.10</t>
        </is>
      </c>
      <c r="C1950" s="18" t="inlineStr">
        <is>
          <t>Part 2 – Technical Systems</t>
        </is>
      </c>
      <c r="D1950" s="18" t="inlineStr">
        <is>
          <t>2.7 PRIVATE CLOUD TECHNICAL INFRASTRUCTURE</t>
        </is>
      </c>
      <c r="E1950" s="18" t="inlineStr">
        <is>
          <t>2.7.5 NETWORKS</t>
        </is>
      </c>
      <c r="F1950" s="18" t="inlineStr">
        <is>
          <t>The CONTRACTOR shall configure all the active elements within all the networks to support SNMPv3, HTTP/3 and RESTCONF &amp; NETCONF.</t>
        </is>
      </c>
      <c r="G1950" s="19" t="n"/>
      <c r="H1950" s="20" t="n"/>
      <c r="I1950" s="20" t="n"/>
      <c r="J1950" s="19" t="n"/>
      <c r="K1950" s="21" t="n"/>
      <c r="L1950" s="22">
        <f>IF(OR(J1950="",K1950=""),"",J1950*K1950)</f>
        <v/>
      </c>
      <c r="M1950" s="19" t="n"/>
      <c r="N1950" s="20" t="n"/>
      <c r="O1950" s="20" t="n"/>
    </row>
    <row r="1951">
      <c r="A1951" s="23" t="n">
        <v>1948</v>
      </c>
      <c r="B1951" s="24" t="inlineStr">
        <is>
          <t>2.7.5.11</t>
        </is>
      </c>
      <c r="C1951" s="25" t="inlineStr">
        <is>
          <t>Part 2 – Technical Systems</t>
        </is>
      </c>
      <c r="D1951" s="25" t="inlineStr">
        <is>
          <t>2.7 PRIVATE CLOUD TECHNICAL INFRASTRUCTURE</t>
        </is>
      </c>
      <c r="E1951" s="25" t="inlineStr">
        <is>
          <t>2.7.5 NETWORKS</t>
        </is>
      </c>
      <c r="F1951" s="25" t="inlineStr">
        <is>
          <t>The CONTRACTOR shall implement API-based management using RESTCONF, NETCONF protocols and shall implement integration with AI/ML for predictive analytics in the OSS911 networks and for self- healing networks.</t>
        </is>
      </c>
      <c r="G1951" s="19" t="n"/>
      <c r="H1951" s="20" t="n"/>
      <c r="I1951" s="20" t="n"/>
      <c r="J1951" s="19" t="n"/>
      <c r="K1951" s="21" t="n"/>
      <c r="L1951" s="22">
        <f>IF(OR(J1951="",K1951=""),"",J1951*K1951)</f>
        <v/>
      </c>
      <c r="M1951" s="19" t="n"/>
      <c r="N1951" s="20" t="n"/>
      <c r="O1951" s="20" t="n"/>
    </row>
    <row r="1952">
      <c r="A1952" s="16" t="n">
        <v>1949</v>
      </c>
      <c r="B1952" s="17" t="inlineStr">
        <is>
          <t>2.7.5.12</t>
        </is>
      </c>
      <c r="C1952" s="18" t="inlineStr">
        <is>
          <t>Part 2 – Technical Systems</t>
        </is>
      </c>
      <c r="D1952" s="18" t="inlineStr">
        <is>
          <t>2.7 PRIVATE CLOUD TECHNICAL INFRASTRUCTURE</t>
        </is>
      </c>
      <c r="E1952" s="18" t="inlineStr">
        <is>
          <t>2.7.5 NETWORKS</t>
        </is>
      </c>
      <c r="F1952" s="18" t="inlineStr">
        <is>
          <t>The CONTRACTOR shall implement all servers to be dual-homed and shall connect to the network by multiple 10 Gbit/sec dedicated connections.</t>
        </is>
      </c>
      <c r="G1952" s="19" t="n"/>
      <c r="H1952" s="20" t="n"/>
      <c r="I1952" s="20" t="n"/>
      <c r="J1952" s="19" t="n"/>
      <c r="K1952" s="21" t="n"/>
      <c r="L1952" s="22">
        <f>IF(OR(J1952="",K1952=""),"",J1952*K1952)</f>
        <v/>
      </c>
      <c r="M1952" s="19" t="n"/>
      <c r="N1952" s="20" t="n"/>
      <c r="O1952" s="20" t="n"/>
    </row>
    <row r="1953">
      <c r="A1953" s="23" t="n">
        <v>1950</v>
      </c>
      <c r="B1953" s="24" t="inlineStr">
        <is>
          <t>2.7.5.13</t>
        </is>
      </c>
      <c r="C1953" s="25" t="inlineStr">
        <is>
          <t>Part 2 – Technical Systems</t>
        </is>
      </c>
      <c r="D1953" s="25" t="inlineStr">
        <is>
          <t>2.7 PRIVATE CLOUD TECHNICAL INFRASTRUCTURE</t>
        </is>
      </c>
      <c r="E1953" s="25" t="inlineStr">
        <is>
          <t>2.7.5 NETWORKS</t>
        </is>
      </c>
      <c r="F1953" s="25" t="inlineStr">
        <is>
          <t>The CONTRACTOR shall implement all structured cabling, cable trays / pathways / conduits and accessories required for connecting any and all CONTRACTOR implemented active and passive equipment for connecting to the existing structured cabling infrastructure the OSS911 center.</t>
        </is>
      </c>
      <c r="G1953" s="19" t="n"/>
      <c r="H1953" s="20" t="n"/>
      <c r="I1953" s="20" t="n"/>
      <c r="J1953" s="19" t="n"/>
      <c r="K1953" s="21" t="n"/>
      <c r="L1953" s="22">
        <f>IF(OR(J1953="",K1953=""),"",J1953*K1953)</f>
        <v/>
      </c>
      <c r="M1953" s="19" t="n"/>
      <c r="N1953" s="20" t="n"/>
      <c r="O1953" s="20" t="n"/>
    </row>
    <row r="1954">
      <c r="A1954" s="16" t="n">
        <v>1951</v>
      </c>
      <c r="B1954" s="17" t="inlineStr">
        <is>
          <t>2.7.5.14</t>
        </is>
      </c>
      <c r="C1954" s="18" t="inlineStr">
        <is>
          <t>Part 2 – Technical Systems</t>
        </is>
      </c>
      <c r="D1954" s="18" t="inlineStr">
        <is>
          <t>2.7 PRIVATE CLOUD TECHNICAL INFRASTRUCTURE</t>
        </is>
      </c>
      <c r="E1954" s="18" t="inlineStr">
        <is>
          <t>2.7.5 NETWORKS</t>
        </is>
      </c>
      <c r="F1954" s="18" t="inlineStr">
        <is>
          <t>The CONTRACTOR shall implement all copper UTP cabling that meets or exceed CAT6A specifications end-user connections, CAT7 for 10Gbps connections and CAT8 for 40Gbps connections, as per the respective ANSI/TIA-568 standards.</t>
        </is>
      </c>
      <c r="G1954" s="19" t="n"/>
      <c r="H1954" s="20" t="n"/>
      <c r="I1954" s="20" t="n"/>
      <c r="J1954" s="19" t="n"/>
      <c r="K1954" s="21" t="n"/>
      <c r="L1954" s="22">
        <f>IF(OR(J1954="",K1954=""),"",J1954*K1954)</f>
        <v/>
      </c>
      <c r="M1954" s="19" t="n"/>
      <c r="N1954" s="20" t="n"/>
      <c r="O1954" s="20" t="n"/>
    </row>
    <row r="1955">
      <c r="A1955" s="23" t="n">
        <v>1952</v>
      </c>
      <c r="B1955" s="24" t="inlineStr">
        <is>
          <t>2.7.5.15</t>
        </is>
      </c>
      <c r="C1955" s="25" t="inlineStr">
        <is>
          <t>Part 2 – Technical Systems</t>
        </is>
      </c>
      <c r="D1955" s="25" t="inlineStr">
        <is>
          <t>2.7 PRIVATE CLOUD TECHNICAL INFRASTRUCTURE</t>
        </is>
      </c>
      <c r="E1955" s="25" t="inlineStr">
        <is>
          <t>2.7.5 NETWORKS</t>
        </is>
      </c>
      <c r="F1955" s="25" t="inlineStr">
        <is>
          <t>The CONTRACTOR shall implement all UTP (copper), and fiber- optic cabling (multi-mode and single-mode), and the labeling as per the most recent approved TIA-942 and TIA-606 standards.</t>
        </is>
      </c>
      <c r="G1955" s="19" t="n"/>
      <c r="H1955" s="20" t="n"/>
      <c r="I1955" s="20" t="n"/>
      <c r="J1955" s="19" t="n"/>
      <c r="K1955" s="21" t="n"/>
      <c r="L1955" s="22">
        <f>IF(OR(J1955="",K1955=""),"",J1955*K1955)</f>
        <v/>
      </c>
      <c r="M1955" s="19" t="n"/>
      <c r="N1955" s="20" t="n"/>
      <c r="O1955" s="20" t="n"/>
    </row>
    <row r="1956">
      <c r="A1956" s="16" t="n">
        <v>1953</v>
      </c>
      <c r="B1956" s="17" t="inlineStr">
        <is>
          <t>2.7.5.16</t>
        </is>
      </c>
      <c r="C1956" s="18" t="inlineStr">
        <is>
          <t>Part 2 – Technical Systems</t>
        </is>
      </c>
      <c r="D1956" s="18" t="inlineStr">
        <is>
          <t>2.7 PRIVATE CLOUD TECHNICAL INFRASTRUCTURE</t>
        </is>
      </c>
      <c r="E1956" s="18" t="inlineStr">
        <is>
          <t>2.7.5 NETWORKS</t>
        </is>
      </c>
      <c r="F1956" s="18" t="inlineStr">
        <is>
          <t>The CONTRACTOR is required to implement any and all network equipment that is required by their solutions in addition to the MOI supplied equipment.</t>
        </is>
      </c>
      <c r="G1956" s="19" t="n"/>
      <c r="H1956" s="20" t="n"/>
      <c r="I1956" s="20" t="n"/>
      <c r="J1956" s="19" t="n"/>
      <c r="K1956" s="21" t="n"/>
      <c r="L1956" s="22">
        <f>IF(OR(J1956="",K1956=""),"",J1956*K1956)</f>
        <v/>
      </c>
      <c r="M1956" s="19" t="n"/>
      <c r="N1956" s="20" t="n"/>
      <c r="O1956" s="20" t="n"/>
    </row>
    <row r="1957">
      <c r="A1957" s="23" t="n">
        <v>1954</v>
      </c>
      <c r="B1957" s="24" t="inlineStr">
        <is>
          <t>2.7.5.17</t>
        </is>
      </c>
      <c r="C1957" s="25" t="inlineStr">
        <is>
          <t>Part 2 – Technical Systems</t>
        </is>
      </c>
      <c r="D1957" s="25" t="inlineStr">
        <is>
          <t>2.7 PRIVATE CLOUD TECHNICAL INFRASTRUCTURE</t>
        </is>
      </c>
      <c r="E1957" s="25" t="inlineStr">
        <is>
          <t>2.7.5 NETWORKS</t>
        </is>
      </c>
      <c r="F1957" s="25" t="inlineStr">
        <is>
          <t>The CONTRACTOR shall configure the switching capability within OSS911 network based on multiple Virtual Local Area Networks (VLANs) and Virtual Private Networks (VPNs).</t>
        </is>
      </c>
      <c r="G1957" s="19" t="n"/>
      <c r="H1957" s="20" t="n"/>
      <c r="I1957" s="20" t="n"/>
      <c r="J1957" s="19" t="n"/>
      <c r="K1957" s="21" t="n"/>
      <c r="L1957" s="22">
        <f>IF(OR(J1957="",K1957=""),"",J1957*K1957)</f>
        <v/>
      </c>
      <c r="M1957" s="19" t="n"/>
      <c r="N1957" s="20" t="n"/>
      <c r="O1957" s="20" t="n"/>
    </row>
    <row r="1958">
      <c r="A1958" s="16" t="n">
        <v>1955</v>
      </c>
      <c r="B1958" s="17" t="inlineStr">
        <is>
          <t>2.7.5.18</t>
        </is>
      </c>
      <c r="C1958" s="18" t="inlineStr">
        <is>
          <t>Part 2 – Technical Systems</t>
        </is>
      </c>
      <c r="D1958" s="18" t="inlineStr">
        <is>
          <t>2.7 PRIVATE CLOUD TECHNICAL INFRASTRUCTURE</t>
        </is>
      </c>
      <c r="E1958" s="18" t="inlineStr">
        <is>
          <t>2.7.5 NETWORKS</t>
        </is>
      </c>
      <c r="F1958" s="18" t="inlineStr">
        <is>
          <t>The CONTRACTOR shall implement all switches within the OSS911 network to be non-blocking and to support all unified communications requirements – ability to exchange video, voice and data with end-to-end Quality of Service (QoS).</t>
        </is>
      </c>
      <c r="G1958" s="19" t="n"/>
      <c r="H1958" s="20" t="n"/>
      <c r="I1958" s="20" t="n"/>
      <c r="J1958" s="19" t="n"/>
      <c r="K1958" s="21" t="n"/>
      <c r="L1958" s="22">
        <f>IF(OR(J1958="",K1958=""),"",J1958*K1958)</f>
        <v/>
      </c>
      <c r="M1958" s="19" t="n"/>
      <c r="N1958" s="20" t="n"/>
      <c r="O1958" s="20" t="n"/>
    </row>
    <row r="1959">
      <c r="A1959" s="23" t="n">
        <v>1956</v>
      </c>
      <c r="B1959" s="24" t="inlineStr">
        <is>
          <t>2.7.5.19</t>
        </is>
      </c>
      <c r="C1959" s="25" t="inlineStr">
        <is>
          <t>Part 2 – Technical Systems</t>
        </is>
      </c>
      <c r="D1959" s="25" t="inlineStr">
        <is>
          <t>2.7 PRIVATE CLOUD TECHNICAL INFRASTRUCTURE</t>
        </is>
      </c>
      <c r="E1959" s="25" t="inlineStr">
        <is>
          <t>2.7.5 NETWORKS</t>
        </is>
      </c>
      <c r="F1959" s="25" t="inlineStr">
        <is>
          <t>The CONTRACTOR shall implement spine switches within OSS911 network with the following specifications:</t>
        </is>
      </c>
      <c r="G1959" s="19" t="n"/>
      <c r="H1959" s="20" t="n"/>
      <c r="I1959" s="20" t="n"/>
      <c r="J1959" s="19" t="n"/>
      <c r="K1959" s="21" t="n"/>
      <c r="L1959" s="22">
        <f>IF(OR(J1959="",K1959=""),"",J1959*K1959)</f>
        <v/>
      </c>
      <c r="M1959" s="19" t="n"/>
      <c r="N1959" s="20" t="n"/>
      <c r="O1959" s="20" t="n"/>
    </row>
    <row r="1960">
      <c r="A1960" s="16" t="n">
        <v>1957</v>
      </c>
      <c r="B1960" s="16" t="inlineStr">
        <is>
          <t>2.7.5.19.1</t>
        </is>
      </c>
      <c r="C1960" s="18" t="inlineStr">
        <is>
          <t>Part 2 – Technical Systems</t>
        </is>
      </c>
      <c r="D1960" s="18" t="inlineStr">
        <is>
          <t>2.7 PRIVATE CLOUD TECHNICAL INFRASTRUCTURE</t>
        </is>
      </c>
      <c r="E1960" s="18" t="inlineStr">
        <is>
          <t>2.7.5 NETWORKS</t>
        </is>
      </c>
      <c r="F1960" s="18" t="inlineStr">
        <is>
          <t>The spine layer switches shall have hardware level redundancy (1+1) in terms of data plane and control plane. Issues with any of the plane should not impact the functioning of the switch</t>
        </is>
      </c>
      <c r="G1960" s="19" t="n"/>
      <c r="H1960" s="20" t="n"/>
      <c r="I1960" s="20" t="n"/>
      <c r="J1960" s="19" t="n"/>
      <c r="K1960" s="21" t="n"/>
      <c r="L1960" s="22">
        <f>IF(OR(J1960="",K1960=""),"",J1960*K1960)</f>
        <v/>
      </c>
      <c r="M1960" s="19" t="n"/>
      <c r="N1960" s="20" t="n"/>
      <c r="O1960" s="20" t="n"/>
    </row>
    <row r="1961">
      <c r="A1961" s="23" t="n">
        <v>1958</v>
      </c>
      <c r="B1961" s="23" t="inlineStr">
        <is>
          <t>2.7.5.19.2</t>
        </is>
      </c>
      <c r="C1961" s="25" t="inlineStr">
        <is>
          <t>Part 2 – Technical Systems</t>
        </is>
      </c>
      <c r="D1961" s="25" t="inlineStr">
        <is>
          <t>2.7 PRIVATE CLOUD TECHNICAL INFRASTRUCTURE</t>
        </is>
      </c>
      <c r="E1961" s="25" t="inlineStr">
        <is>
          <t>2.7.5 NETWORKS</t>
        </is>
      </c>
      <c r="F1961" s="25" t="inlineStr">
        <is>
          <t>The switch shall have redundant CPUs working in active- active or active-standby mode. CPU fail over/change over shall not disrupt/impact/degrade the functioning the switch The Switch shall support non-blocking Layer 2 switching and Layer 3 routing</t>
        </is>
      </c>
      <c r="G1961" s="19" t="n"/>
      <c r="H1961" s="20" t="n"/>
      <c r="I1961" s="20" t="n"/>
      <c r="J1961" s="19" t="n"/>
      <c r="K1961" s="21" t="n"/>
      <c r="L1961" s="22">
        <f>IF(OR(J1961="",K1961=""),"",J1961*K1961)</f>
        <v/>
      </c>
      <c r="M1961" s="19" t="n"/>
      <c r="N1961" s="20" t="n"/>
      <c r="O1961" s="20" t="n"/>
    </row>
    <row r="1962">
      <c r="A1962" s="16" t="n">
        <v>1959</v>
      </c>
      <c r="B1962" s="16" t="inlineStr">
        <is>
          <t>2.7.5.19.3</t>
        </is>
      </c>
      <c r="C1962" s="18" t="inlineStr">
        <is>
          <t>Part 2 – Technical Systems</t>
        </is>
      </c>
      <c r="D1962" s="18" t="inlineStr">
        <is>
          <t>2.7 PRIVATE CLOUD TECHNICAL INFRASTRUCTURE</t>
        </is>
      </c>
      <c r="E1962" s="18" t="inlineStr">
        <is>
          <t>2.7.5 NETWORKS</t>
        </is>
      </c>
      <c r="F1962" s="18" t="inlineStr">
        <is>
          <t>The switch shall not have any single point of failure like CPU, supervisor, switching fabric power supplies and fans etc. should have 1:1/N+1 level of redundancy</t>
        </is>
      </c>
      <c r="G1962" s="19" t="n"/>
      <c r="H1962" s="20" t="n"/>
      <c r="I1962" s="20" t="n"/>
      <c r="J1962" s="19" t="n"/>
      <c r="K1962" s="21" t="n"/>
      <c r="L1962" s="22">
        <f>IF(OR(J1962="",K1962=""),"",J1962*K1962)</f>
        <v/>
      </c>
      <c r="M1962" s="19" t="n"/>
      <c r="N1962" s="20" t="n"/>
      <c r="O1962" s="20" t="n"/>
    </row>
    <row r="1963">
      <c r="A1963" s="23" t="n">
        <v>1960</v>
      </c>
      <c r="B1963" s="23" t="inlineStr">
        <is>
          <t>2.7.5.19.4</t>
        </is>
      </c>
      <c r="C1963" s="25" t="inlineStr">
        <is>
          <t>Part 2 – Technical Systems</t>
        </is>
      </c>
      <c r="D1963" s="25" t="inlineStr">
        <is>
          <t>2.7 PRIVATE CLOUD TECHNICAL INFRASTRUCTURE</t>
        </is>
      </c>
      <c r="E1963" s="25" t="inlineStr">
        <is>
          <t>2.7.5 NETWORKS</t>
        </is>
      </c>
      <c r="F1963" s="25" t="inlineStr">
        <is>
          <t>Switch shall support in line hot insertion and removal of different parts like modules/power supplies/fan tray etc. This shall not require rebooting of the switch or create disruption in the working/functionality of the switch</t>
        </is>
      </c>
      <c r="G1963" s="19" t="n"/>
      <c r="H1963" s="20" t="n"/>
      <c r="I1963" s="20" t="n"/>
      <c r="J1963" s="19" t="n"/>
      <c r="K1963" s="21" t="n"/>
      <c r="L1963" s="22">
        <f>IF(OR(J1963="",K1963=""),"",J1963*K1963)</f>
        <v/>
      </c>
      <c r="M1963" s="19" t="n"/>
      <c r="N1963" s="20" t="n"/>
      <c r="O1963" s="20" t="n"/>
    </row>
    <row r="1964">
      <c r="A1964" s="16" t="n">
        <v>1961</v>
      </c>
      <c r="B1964" s="16" t="inlineStr">
        <is>
          <t>2.7.5.19.5</t>
        </is>
      </c>
      <c r="C1964" s="18" t="inlineStr">
        <is>
          <t>Part 2 – Technical Systems</t>
        </is>
      </c>
      <c r="D1964" s="18" t="inlineStr">
        <is>
          <t>2.7 PRIVATE CLOUD TECHNICAL INFRASTRUCTURE</t>
        </is>
      </c>
      <c r="E1964" s="18" t="inlineStr">
        <is>
          <t>2.7.5 NETWORKS</t>
        </is>
      </c>
      <c r="F1964" s="18" t="inlineStr">
        <is>
          <t>Switch shall support the complete stack of IP V4 and IP V6 services</t>
        </is>
      </c>
      <c r="G1964" s="19" t="n"/>
      <c r="H1964" s="20" t="n"/>
      <c r="I1964" s="20" t="n"/>
      <c r="J1964" s="19" t="n"/>
      <c r="K1964" s="21" t="n"/>
      <c r="L1964" s="22">
        <f>IF(OR(J1964="",K1964=""),"",J1964*K1964)</f>
        <v/>
      </c>
      <c r="M1964" s="19" t="n"/>
      <c r="N1964" s="20" t="n"/>
      <c r="O1964" s="20" t="n"/>
    </row>
    <row r="1965">
      <c r="A1965" s="23" t="n">
        <v>1962</v>
      </c>
      <c r="B1965" s="23" t="inlineStr">
        <is>
          <t>2.7.5.19.6</t>
        </is>
      </c>
      <c r="C1965" s="25" t="inlineStr">
        <is>
          <t>Part 2 – Technical Systems</t>
        </is>
      </c>
      <c r="D1965" s="25" t="inlineStr">
        <is>
          <t>2.7 PRIVATE CLOUD TECHNICAL INFRASTRUCTURE</t>
        </is>
      </c>
      <c r="E1965" s="25" t="inlineStr">
        <is>
          <t>2.7.5 NETWORKS</t>
        </is>
      </c>
      <c r="F1965" s="25" t="inlineStr">
        <is>
          <t>Switch with different modules shall function line rate and should not have any port with oversubscription ratio applied</t>
        </is>
      </c>
      <c r="G1965" s="19" t="n"/>
      <c r="H1965" s="20" t="n"/>
      <c r="I1965" s="20" t="n"/>
      <c r="J1965" s="19" t="n"/>
      <c r="K1965" s="21" t="n"/>
      <c r="L1965" s="22">
        <f>IF(OR(J1965="",K1965=""),"",J1965*K1965)</f>
        <v/>
      </c>
      <c r="M1965" s="19" t="n"/>
      <c r="N1965" s="20" t="n"/>
      <c r="O1965" s="20" t="n"/>
    </row>
    <row r="1966">
      <c r="A1966" s="16" t="n">
        <v>1963</v>
      </c>
      <c r="B1966" s="16" t="inlineStr">
        <is>
          <t>2.7.5.19.7</t>
        </is>
      </c>
      <c r="C1966" s="18" t="inlineStr">
        <is>
          <t>Part 2 – Technical Systems</t>
        </is>
      </c>
      <c r="D1966" s="18" t="inlineStr">
        <is>
          <t>2.7 PRIVATE CLOUD TECHNICAL INFRASTRUCTURE</t>
        </is>
      </c>
      <c r="E1966" s="18" t="inlineStr">
        <is>
          <t>2.7.5 NETWORKS</t>
        </is>
      </c>
      <c r="F1966" s="18" t="inlineStr">
        <is>
          <t>Switch shall support in service software upgrade of the switch without disturbing the traffic flow. There shall not be any impact on the performance in the event of the software upgrade/downgrade. It shall support in service patching of selected process/processes only without impacting other running processes</t>
        </is>
      </c>
      <c r="G1966" s="19" t="n"/>
      <c r="H1966" s="20" t="n"/>
      <c r="I1966" s="20" t="n"/>
      <c r="J1966" s="19" t="n"/>
      <c r="K1966" s="21" t="n"/>
      <c r="L1966" s="22">
        <f>IF(OR(J1966="",K1966=""),"",J1966*K1966)</f>
        <v/>
      </c>
      <c r="M1966" s="19" t="n"/>
      <c r="N1966" s="20" t="n"/>
      <c r="O1966" s="20" t="n"/>
    </row>
    <row r="1967">
      <c r="A1967" s="23" t="n">
        <v>1964</v>
      </c>
      <c r="B1967" s="23" t="inlineStr">
        <is>
          <t>2.7.5.19.8</t>
        </is>
      </c>
      <c r="C1967" s="25" t="inlineStr">
        <is>
          <t>Part 2 – Technical Systems</t>
        </is>
      </c>
      <c r="D1967" s="25" t="inlineStr">
        <is>
          <t>2.7 PRIVATE CLOUD TECHNICAL INFRASTRUCTURE</t>
        </is>
      </c>
      <c r="E1967" s="25" t="inlineStr">
        <is>
          <t>2.7.5 NETWORKS</t>
        </is>
      </c>
      <c r="F1967" s="25" t="inlineStr">
        <is>
          <t>Switch shall support non-blocking, wire speed performance per line card</t>
        </is>
      </c>
      <c r="G1967" s="19" t="n"/>
      <c r="H1967" s="20" t="n"/>
      <c r="I1967" s="20" t="n"/>
      <c r="J1967" s="19" t="n"/>
      <c r="K1967" s="21" t="n"/>
      <c r="L1967" s="22">
        <f>IF(OR(J1967="",K1967=""),"",J1967*K1967)</f>
        <v/>
      </c>
      <c r="M1967" s="19" t="n"/>
      <c r="N1967" s="20" t="n"/>
      <c r="O1967" s="20" t="n"/>
    </row>
    <row r="1968">
      <c r="A1968" s="16" t="n">
        <v>1965</v>
      </c>
      <c r="B1968" s="16" t="inlineStr">
        <is>
          <t>2.7.5.19.9</t>
        </is>
      </c>
      <c r="C1968" s="18" t="inlineStr">
        <is>
          <t>Part 2 – Technical Systems</t>
        </is>
      </c>
      <c r="D1968" s="18" t="inlineStr">
        <is>
          <t>2.7 PRIVATE CLOUD TECHNICAL INFRASTRUCTURE</t>
        </is>
      </c>
      <c r="E1968" s="18" t="inlineStr">
        <is>
          <t>2.7.5 NETWORKS</t>
        </is>
      </c>
      <c r="F1968" s="18" t="inlineStr">
        <is>
          <t>Switch shall be compatible with SDN architecture of all the OEM in future without any additional cost / hardware</t>
        </is>
      </c>
      <c r="G1968" s="19" t="n"/>
      <c r="H1968" s="20" t="n"/>
      <c r="I1968" s="20" t="n"/>
      <c r="J1968" s="19" t="n"/>
      <c r="K1968" s="21" t="n"/>
      <c r="L1968" s="22">
        <f>IF(OR(J1968="",K1968=""),"",J1968*K1968)</f>
        <v/>
      </c>
      <c r="M1968" s="19" t="n"/>
      <c r="N1968" s="20" t="n"/>
      <c r="O1968" s="20" t="n"/>
    </row>
    <row r="1969">
      <c r="A1969" s="23" t="n">
        <v>1966</v>
      </c>
      <c r="B1969" s="23" t="inlineStr">
        <is>
          <t>2.7.5.19.10</t>
        </is>
      </c>
      <c r="C1969" s="25" t="inlineStr">
        <is>
          <t>Part 2 – Technical Systems</t>
        </is>
      </c>
      <c r="D1969" s="25" t="inlineStr">
        <is>
          <t>2.7 PRIVATE CLOUD TECHNICAL INFRASTRUCTURE</t>
        </is>
      </c>
      <c r="E1969" s="25" t="inlineStr">
        <is>
          <t>2.7.5 NETWORKS</t>
        </is>
      </c>
      <c r="F1969" s="25" t="inlineStr">
        <is>
          <t>Switch shall be compatible with all the required parameters of Spine &amp; leaf architecture</t>
        </is>
      </c>
      <c r="G1969" s="19" t="n"/>
      <c r="H1969" s="20" t="n"/>
      <c r="I1969" s="20" t="n"/>
      <c r="J1969" s="19" t="n"/>
      <c r="K1969" s="21" t="n"/>
      <c r="L1969" s="22">
        <f>IF(OR(J1969="",K1969=""),"",J1969*K1969)</f>
        <v/>
      </c>
      <c r="M1969" s="19" t="n"/>
      <c r="N1969" s="20" t="n"/>
      <c r="O1969" s="20" t="n"/>
    </row>
    <row r="1970">
      <c r="A1970" s="16" t="n">
        <v>1967</v>
      </c>
      <c r="B1970" s="16" t="inlineStr">
        <is>
          <t>2.7.5.19.11</t>
        </is>
      </c>
      <c r="C1970" s="18" t="inlineStr">
        <is>
          <t>Part 2 – Technical Systems</t>
        </is>
      </c>
      <c r="D1970" s="18" t="inlineStr">
        <is>
          <t>2.7 PRIVATE CLOUD TECHNICAL INFRASTRUCTURE</t>
        </is>
      </c>
      <c r="E1970" s="18" t="inlineStr">
        <is>
          <t>2.7.5 NETWORKS</t>
        </is>
      </c>
      <c r="F1970" s="18" t="inlineStr">
        <is>
          <t>Switch shall support Network Virtualization</t>
        </is>
      </c>
      <c r="G1970" s="19" t="n"/>
      <c r="H1970" s="20" t="n"/>
      <c r="I1970" s="20" t="n"/>
      <c r="J1970" s="19" t="n"/>
      <c r="K1970" s="21" t="n"/>
      <c r="L1970" s="22">
        <f>IF(OR(J1970="",K1970=""),"",J1970*K1970)</f>
        <v/>
      </c>
      <c r="M1970" s="19" t="n"/>
      <c r="N1970" s="20" t="n"/>
      <c r="O1970" s="20" t="n"/>
    </row>
    <row r="1971">
      <c r="A1971" s="23" t="n">
        <v>1968</v>
      </c>
      <c r="B1971" s="23" t="inlineStr">
        <is>
          <t>2.7.5.19.12</t>
        </is>
      </c>
      <c r="C1971" s="25" t="inlineStr">
        <is>
          <t>Part 2 – Technical Systems</t>
        </is>
      </c>
      <c r="D1971" s="25" t="inlineStr">
        <is>
          <t>2.7 PRIVATE CLOUD TECHNICAL INFRASTRUCTURE</t>
        </is>
      </c>
      <c r="E1971" s="25" t="inlineStr">
        <is>
          <t>2.7.5 NETWORKS</t>
        </is>
      </c>
      <c r="F1971" s="25" t="inlineStr">
        <is>
          <t>Switch shall support VXLAN and EVPN for supporting Spine - Leaf architecture to optimize the east - west traffic flow inside the data center</t>
        </is>
      </c>
      <c r="G1971" s="19" t="n"/>
      <c r="H1971" s="20" t="n"/>
      <c r="I1971" s="20" t="n"/>
      <c r="J1971" s="19" t="n"/>
      <c r="K1971" s="21" t="n"/>
      <c r="L1971" s="22">
        <f>IF(OR(J1971="",K1971=""),"",J1971*K1971)</f>
        <v/>
      </c>
      <c r="M1971" s="19" t="n"/>
      <c r="N1971" s="20" t="n"/>
      <c r="O1971" s="20" t="n"/>
    </row>
    <row r="1972">
      <c r="A1972" s="16" t="n">
        <v>1969</v>
      </c>
      <c r="B1972" s="16" t="inlineStr">
        <is>
          <t>2.7.5.19.13</t>
        </is>
      </c>
      <c r="C1972" s="18" t="inlineStr">
        <is>
          <t>Part 2 – Technical Systems</t>
        </is>
      </c>
      <c r="D1972" s="18" t="inlineStr">
        <is>
          <t>2.7 PRIVATE CLOUD TECHNICAL INFRASTRUCTURE</t>
        </is>
      </c>
      <c r="E1972" s="18" t="inlineStr">
        <is>
          <t>2.7.5 NETWORKS</t>
        </is>
      </c>
      <c r="F1972" s="18" t="inlineStr">
        <is>
          <t>Switch shall support Open Flow/Open Day light/Open Stack controller</t>
        </is>
      </c>
      <c r="G1972" s="19" t="n"/>
      <c r="H1972" s="20" t="n"/>
      <c r="I1972" s="20" t="n"/>
      <c r="J1972" s="19" t="n"/>
      <c r="K1972" s="21" t="n"/>
      <c r="L1972" s="22">
        <f>IF(OR(J1972="",K1972=""),"",J1972*K1972)</f>
        <v/>
      </c>
      <c r="M1972" s="19" t="n"/>
      <c r="N1972" s="20" t="n"/>
      <c r="O1972" s="20" t="n"/>
    </row>
    <row r="1973">
      <c r="A1973" s="23" t="n">
        <v>1970</v>
      </c>
      <c r="B1973" s="23" t="inlineStr">
        <is>
          <t>2.7.5.19.14</t>
        </is>
      </c>
      <c r="C1973" s="25" t="inlineStr">
        <is>
          <t>Part 2 – Technical Systems</t>
        </is>
      </c>
      <c r="D1973" s="25" t="inlineStr">
        <is>
          <t>2.7 PRIVATE CLOUD TECHNICAL INFRASTRUCTURE</t>
        </is>
      </c>
      <c r="E1973" s="25" t="inlineStr">
        <is>
          <t>2.7.5 NETWORKS</t>
        </is>
      </c>
      <c r="F1973" s="25" t="inlineStr">
        <is>
          <t>Switch shall support Data Center Bridging</t>
        </is>
      </c>
      <c r="G1973" s="19" t="n"/>
      <c r="H1973" s="20" t="n"/>
      <c r="I1973" s="20" t="n"/>
      <c r="J1973" s="19" t="n"/>
      <c r="K1973" s="21" t="n"/>
      <c r="L1973" s="22">
        <f>IF(OR(J1973="",K1973=""),"",J1973*K1973)</f>
        <v/>
      </c>
      <c r="M1973" s="19" t="n"/>
      <c r="N1973" s="20" t="n"/>
      <c r="O1973" s="20" t="n"/>
    </row>
    <row r="1974">
      <c r="A1974" s="16" t="n">
        <v>1971</v>
      </c>
      <c r="B1974" s="16" t="inlineStr">
        <is>
          <t>2.7.5.19.15</t>
        </is>
      </c>
      <c r="C1974" s="18" t="inlineStr">
        <is>
          <t>Part 2 – Technical Systems</t>
        </is>
      </c>
      <c r="D1974" s="18" t="inlineStr">
        <is>
          <t>2.7 PRIVATE CLOUD TECHNICAL INFRASTRUCTURE</t>
        </is>
      </c>
      <c r="E1974" s="18" t="inlineStr">
        <is>
          <t>2.7.5 NETWORKS</t>
        </is>
      </c>
      <c r="F1974" s="18" t="inlineStr">
        <is>
          <t>Switch shall support multi-OEM hypervisor environment and shall be able to sense movement of VM and configure network automatically</t>
        </is>
      </c>
      <c r="G1974" s="19" t="n"/>
      <c r="H1974" s="20" t="n"/>
      <c r="I1974" s="20" t="n"/>
      <c r="J1974" s="19" t="n"/>
      <c r="K1974" s="21" t="n"/>
      <c r="L1974" s="22">
        <f>IF(OR(J1974="",K1974=""),"",J1974*K1974)</f>
        <v/>
      </c>
      <c r="M1974" s="19" t="n"/>
      <c r="N1974" s="20" t="n"/>
      <c r="O1974" s="20" t="n"/>
    </row>
    <row r="1975">
      <c r="A1975" s="23" t="n">
        <v>1972</v>
      </c>
      <c r="B1975" s="24" t="inlineStr">
        <is>
          <t>2.7.5.20</t>
        </is>
      </c>
      <c r="C1975" s="25" t="inlineStr">
        <is>
          <t>Part 2 – Technical Systems</t>
        </is>
      </c>
      <c r="D1975" s="25" t="inlineStr">
        <is>
          <t>2.7 PRIVATE CLOUD TECHNICAL INFRASTRUCTURE</t>
        </is>
      </c>
      <c r="E1975" s="25" t="inlineStr">
        <is>
          <t>2.7.5 NETWORKS</t>
        </is>
      </c>
      <c r="F1975" s="25" t="inlineStr">
        <is>
          <t>The CONTRACTOR shall deliver and implement leaf, server leaf and border leaf switches and any other switches they require, within OSS911 network with the following specifications:</t>
        </is>
      </c>
      <c r="G1975" s="19" t="n"/>
      <c r="H1975" s="20" t="n"/>
      <c r="I1975" s="20" t="n"/>
      <c r="J1975" s="19" t="n"/>
      <c r="K1975" s="21" t="n"/>
      <c r="L1975" s="22">
        <f>IF(OR(J1975="",K1975=""),"",J1975*K1975)</f>
        <v/>
      </c>
      <c r="M1975" s="19" t="n"/>
      <c r="N1975" s="20" t="n"/>
      <c r="O1975" s="20" t="n"/>
    </row>
    <row r="1976">
      <c r="A1976" s="16" t="n">
        <v>1973</v>
      </c>
      <c r="B1976" s="16" t="inlineStr">
        <is>
          <t>2.7.5.20.1</t>
        </is>
      </c>
      <c r="C1976" s="18" t="inlineStr">
        <is>
          <t>Part 2 – Technical Systems</t>
        </is>
      </c>
      <c r="D1976" s="18" t="inlineStr">
        <is>
          <t>2.7 PRIVATE CLOUD TECHNICAL INFRASTRUCTURE</t>
        </is>
      </c>
      <c r="E1976" s="18" t="inlineStr">
        <is>
          <t>2.7.5 NETWORKS</t>
        </is>
      </c>
      <c r="F1976" s="18" t="inlineStr">
        <is>
          <t>The Switch shall support non-blocking Layer 2 switching and Layer 3 routing.</t>
        </is>
      </c>
      <c r="G1976" s="19" t="n"/>
      <c r="H1976" s="20" t="n"/>
      <c r="I1976" s="20" t="n"/>
      <c r="J1976" s="19" t="n"/>
      <c r="K1976" s="21" t="n"/>
      <c r="L1976" s="22">
        <f>IF(OR(J1976="",K1976=""),"",J1976*K1976)</f>
        <v/>
      </c>
      <c r="M1976" s="19" t="n"/>
      <c r="N1976" s="20" t="n"/>
      <c r="O1976" s="20" t="n"/>
    </row>
    <row r="1977">
      <c r="A1977" s="23" t="n">
        <v>1974</v>
      </c>
      <c r="B1977" s="23" t="inlineStr">
        <is>
          <t>2.7.5.20.2</t>
        </is>
      </c>
      <c r="C1977" s="25" t="inlineStr">
        <is>
          <t>Part 2 – Technical Systems</t>
        </is>
      </c>
      <c r="D1977" s="25" t="inlineStr">
        <is>
          <t>2.7 PRIVATE CLOUD TECHNICAL INFRASTRUCTURE</t>
        </is>
      </c>
      <c r="E1977" s="25" t="inlineStr">
        <is>
          <t>2.7.5 NETWORKS</t>
        </is>
      </c>
      <c r="F1977" s="25" t="inlineStr">
        <is>
          <t>There switch shall not have any single point of failure like power supplies and fans etc. shall have 1:1/N+1 level of redundancy</t>
        </is>
      </c>
      <c r="G1977" s="19" t="n"/>
      <c r="H1977" s="20" t="n"/>
      <c r="I1977" s="20" t="n"/>
      <c r="J1977" s="19" t="n"/>
      <c r="K1977" s="21" t="n"/>
      <c r="L1977" s="22">
        <f>IF(OR(J1977="",K1977=""),"",J1977*K1977)</f>
        <v/>
      </c>
      <c r="M1977" s="19" t="n"/>
      <c r="N1977" s="20" t="n"/>
      <c r="O1977" s="20" t="n"/>
    </row>
    <row r="1978">
      <c r="A1978" s="16" t="n">
        <v>1975</v>
      </c>
      <c r="B1978" s="16" t="inlineStr">
        <is>
          <t>2.7.5.20.3</t>
        </is>
      </c>
      <c r="C1978" s="18" t="inlineStr">
        <is>
          <t>Part 2 – Technical Systems</t>
        </is>
      </c>
      <c r="D1978" s="18" t="inlineStr">
        <is>
          <t>2.7 PRIVATE CLOUD TECHNICAL INFRASTRUCTURE</t>
        </is>
      </c>
      <c r="E1978" s="18" t="inlineStr">
        <is>
          <t>2.7.5 NETWORKS</t>
        </is>
      </c>
      <c r="F1978" s="18" t="inlineStr">
        <is>
          <t>Switch support in-line hot insertion and removal of different parts like modules/power supplies/fan tray etc. shall not require switch reboot and disrupt the functionality of the system</t>
        </is>
      </c>
      <c r="G1978" s="19" t="n"/>
      <c r="H1978" s="20" t="n"/>
      <c r="I1978" s="20" t="n"/>
      <c r="J1978" s="19" t="n"/>
      <c r="K1978" s="21" t="n"/>
      <c r="L1978" s="22">
        <f>IF(OR(J1978="",K1978=""),"",J1978*K1978)</f>
        <v/>
      </c>
      <c r="M1978" s="19" t="n"/>
      <c r="N1978" s="20" t="n"/>
      <c r="O1978" s="20" t="n"/>
    </row>
    <row r="1979">
      <c r="A1979" s="23" t="n">
        <v>1976</v>
      </c>
      <c r="B1979" s="23" t="inlineStr">
        <is>
          <t>2.7.5.20.4</t>
        </is>
      </c>
      <c r="C1979" s="25" t="inlineStr">
        <is>
          <t>Part 2 – Technical Systems</t>
        </is>
      </c>
      <c r="D1979" s="25" t="inlineStr">
        <is>
          <t>2.7 PRIVATE CLOUD TECHNICAL INFRASTRUCTURE</t>
        </is>
      </c>
      <c r="E1979" s="25" t="inlineStr">
        <is>
          <t>2.7.5 NETWORKS</t>
        </is>
      </c>
      <c r="F1979" s="25" t="inlineStr">
        <is>
          <t>Switch shall support the complete STACK of IP V4 and IP V6 services</t>
        </is>
      </c>
      <c r="G1979" s="19" t="n"/>
      <c r="H1979" s="20" t="n"/>
      <c r="I1979" s="20" t="n"/>
      <c r="J1979" s="19" t="n"/>
      <c r="K1979" s="21" t="n"/>
      <c r="L1979" s="22">
        <f>IF(OR(J1979="",K1979=""),"",J1979*K1979)</f>
        <v/>
      </c>
      <c r="M1979" s="19" t="n"/>
      <c r="N1979" s="20" t="n"/>
      <c r="O1979" s="20" t="n"/>
    </row>
    <row r="1980">
      <c r="A1980" s="16" t="n">
        <v>1977</v>
      </c>
      <c r="B1980" s="16" t="inlineStr">
        <is>
          <t>2.7.5.20.5</t>
        </is>
      </c>
      <c r="C1980" s="18" t="inlineStr">
        <is>
          <t>Part 2 – Technical Systems</t>
        </is>
      </c>
      <c r="D1980" s="18" t="inlineStr">
        <is>
          <t>2.7 PRIVATE CLOUD TECHNICAL INFRASTRUCTURE</t>
        </is>
      </c>
      <c r="E1980" s="18" t="inlineStr">
        <is>
          <t>2.7.5 NETWORKS</t>
        </is>
      </c>
      <c r="F1980" s="18" t="inlineStr">
        <is>
          <t>The Switch and different modules used shall function in line rate and shall not have any port with oversubscription ratio applied</t>
        </is>
      </c>
      <c r="G1980" s="19" t="n"/>
      <c r="H1980" s="20" t="n"/>
      <c r="I1980" s="20" t="n"/>
      <c r="J1980" s="19" t="n"/>
      <c r="K1980" s="21" t="n"/>
      <c r="L1980" s="22">
        <f>IF(OR(J1980="",K1980=""),"",J1980*K1980)</f>
        <v/>
      </c>
      <c r="M1980" s="19" t="n"/>
      <c r="N1980" s="20" t="n"/>
      <c r="O1980" s="20" t="n"/>
    </row>
    <row r="1981">
      <c r="A1981" s="23" t="n">
        <v>1978</v>
      </c>
      <c r="B1981" s="23" t="inlineStr">
        <is>
          <t>2.7.5.20.6</t>
        </is>
      </c>
      <c r="C1981" s="25" t="inlineStr">
        <is>
          <t>Part 2 – Technical Systems</t>
        </is>
      </c>
      <c r="D1981" s="25" t="inlineStr">
        <is>
          <t>2.7 PRIVATE CLOUD TECHNICAL INFRASTRUCTURE</t>
        </is>
      </c>
      <c r="E1981" s="25" t="inlineStr">
        <is>
          <t>2.7.5 NETWORKS</t>
        </is>
      </c>
      <c r="F1981" s="25" t="inlineStr">
        <is>
          <t>Switch shall be compatible with SDN architecture of all the OEM in future without any additional cost / hardware</t>
        </is>
      </c>
      <c r="G1981" s="19" t="n"/>
      <c r="H1981" s="20" t="n"/>
      <c r="I1981" s="20" t="n"/>
      <c r="J1981" s="19" t="n"/>
      <c r="K1981" s="21" t="n"/>
      <c r="L1981" s="22">
        <f>IF(OR(J1981="",K1981=""),"",J1981*K1981)</f>
        <v/>
      </c>
      <c r="M1981" s="19" t="n"/>
      <c r="N1981" s="20" t="n"/>
      <c r="O1981" s="20" t="n"/>
    </row>
    <row r="1982">
      <c r="A1982" s="16" t="n">
        <v>1979</v>
      </c>
      <c r="B1982" s="16" t="inlineStr">
        <is>
          <t>2.7.5.20.7</t>
        </is>
      </c>
      <c r="C1982" s="18" t="inlineStr">
        <is>
          <t>Part 2 – Technical Systems</t>
        </is>
      </c>
      <c r="D1982" s="18" t="inlineStr">
        <is>
          <t>2.7 PRIVATE CLOUD TECHNICAL INFRASTRUCTURE</t>
        </is>
      </c>
      <c r="E1982" s="18" t="inlineStr">
        <is>
          <t>2.7.5 NETWORKS</t>
        </is>
      </c>
      <c r="F1982" s="18" t="inlineStr">
        <is>
          <t>Switch shall be compatible with all the required parameters of Spine &amp; leaf architecture</t>
        </is>
      </c>
      <c r="G1982" s="19" t="n"/>
      <c r="H1982" s="20" t="n"/>
      <c r="I1982" s="20" t="n"/>
      <c r="J1982" s="19" t="n"/>
      <c r="K1982" s="21" t="n"/>
      <c r="L1982" s="22">
        <f>IF(OR(J1982="",K1982=""),"",J1982*K1982)</f>
        <v/>
      </c>
      <c r="M1982" s="19" t="n"/>
      <c r="N1982" s="20" t="n"/>
      <c r="O1982" s="20" t="n"/>
    </row>
    <row r="1983">
      <c r="A1983" s="23" t="n">
        <v>1980</v>
      </c>
      <c r="B1983" s="23" t="inlineStr">
        <is>
          <t>2.7.5.20.8</t>
        </is>
      </c>
      <c r="C1983" s="25" t="inlineStr">
        <is>
          <t>Part 2 – Technical Systems</t>
        </is>
      </c>
      <c r="D1983" s="25" t="inlineStr">
        <is>
          <t>2.7 PRIVATE CLOUD TECHNICAL INFRASTRUCTURE</t>
        </is>
      </c>
      <c r="E1983" s="25" t="inlineStr">
        <is>
          <t>2.7.5 NETWORKS</t>
        </is>
      </c>
      <c r="F1983" s="25" t="inlineStr">
        <is>
          <t>Switch shall support Network Virtualization using Virtual Over Lay Network using VXLAN /NVGRE.</t>
        </is>
      </c>
      <c r="G1983" s="19" t="n"/>
      <c r="H1983" s="20" t="n"/>
      <c r="I1983" s="20" t="n"/>
      <c r="J1983" s="19" t="n"/>
      <c r="K1983" s="21" t="n"/>
      <c r="L1983" s="22">
        <f>IF(OR(J1983="",K1983=""),"",J1983*K1983)</f>
        <v/>
      </c>
      <c r="M1983" s="19" t="n"/>
      <c r="N1983" s="20" t="n"/>
      <c r="O1983" s="20" t="n"/>
    </row>
    <row r="1984">
      <c r="A1984" s="16" t="n">
        <v>1981</v>
      </c>
      <c r="B1984" s="16" t="inlineStr">
        <is>
          <t>2.7.5.20.9</t>
        </is>
      </c>
      <c r="C1984" s="18" t="inlineStr">
        <is>
          <t>Part 2 – Technical Systems</t>
        </is>
      </c>
      <c r="D1984" s="18" t="inlineStr">
        <is>
          <t>2.7 PRIVATE CLOUD TECHNICAL INFRASTRUCTURE</t>
        </is>
      </c>
      <c r="E1984" s="18" t="inlineStr">
        <is>
          <t>2.7.5 NETWORKS</t>
        </is>
      </c>
      <c r="F1984" s="18" t="inlineStr">
        <is>
          <t>Switch shall support VXLAN and EVPN or equivalent for supporting Spine - Leaf architecture to optimize the east - west traffic flow inside the data center.</t>
        </is>
      </c>
      <c r="G1984" s="19" t="n"/>
      <c r="H1984" s="20" t="n"/>
      <c r="I1984" s="20" t="n"/>
      <c r="J1984" s="19" t="n"/>
      <c r="K1984" s="21" t="n"/>
      <c r="L1984" s="22">
        <f>IF(OR(J1984="",K1984=""),"",J1984*K1984)</f>
        <v/>
      </c>
      <c r="M1984" s="19" t="n"/>
      <c r="N1984" s="20" t="n"/>
      <c r="O1984" s="20" t="n"/>
    </row>
    <row r="1985">
      <c r="A1985" s="23" t="n">
        <v>1982</v>
      </c>
      <c r="B1985" s="23" t="inlineStr">
        <is>
          <t>2.7.5.20.10</t>
        </is>
      </c>
      <c r="C1985" s="25" t="inlineStr">
        <is>
          <t>Part 2 – Technical Systems</t>
        </is>
      </c>
      <c r="D1985" s="25" t="inlineStr">
        <is>
          <t>2.7 PRIVATE CLOUD TECHNICAL INFRASTRUCTURE</t>
        </is>
      </c>
      <c r="E1985" s="25" t="inlineStr">
        <is>
          <t>2.7.5 NETWORKS</t>
        </is>
      </c>
      <c r="F1985" s="25" t="inlineStr">
        <is>
          <t>Switch shall support Open Flow/Open Day light/Open Stack controller</t>
        </is>
      </c>
      <c r="G1985" s="19" t="n"/>
      <c r="H1985" s="20" t="n"/>
      <c r="I1985" s="20" t="n"/>
      <c r="J1985" s="19" t="n"/>
      <c r="K1985" s="21" t="n"/>
      <c r="L1985" s="22">
        <f>IF(OR(J1985="",K1985=""),"",J1985*K1985)</f>
        <v/>
      </c>
      <c r="M1985" s="19" t="n"/>
      <c r="N1985" s="20" t="n"/>
      <c r="O1985" s="20" t="n"/>
    </row>
    <row r="1986">
      <c r="A1986" s="16" t="n">
        <v>1983</v>
      </c>
      <c r="B1986" s="16" t="inlineStr">
        <is>
          <t>2.7.5.20.11</t>
        </is>
      </c>
      <c r="C1986" s="18" t="inlineStr">
        <is>
          <t>Part 2 – Technical Systems</t>
        </is>
      </c>
      <c r="D1986" s="18" t="inlineStr">
        <is>
          <t>2.7 PRIVATE CLOUD TECHNICAL INFRASTRUCTURE</t>
        </is>
      </c>
      <c r="E1986" s="18" t="inlineStr">
        <is>
          <t>2.7.5 NETWORKS</t>
        </is>
      </c>
      <c r="F1986" s="18" t="inlineStr">
        <is>
          <t>Switch shall support Data Center Bridging</t>
        </is>
      </c>
      <c r="G1986" s="19" t="n"/>
      <c r="H1986" s="20" t="n"/>
      <c r="I1986" s="20" t="n"/>
      <c r="J1986" s="19" t="n"/>
      <c r="K1986" s="21" t="n"/>
      <c r="L1986" s="22">
        <f>IF(OR(J1986="",K1986=""),"",J1986*K1986)</f>
        <v/>
      </c>
      <c r="M1986" s="19" t="n"/>
      <c r="N1986" s="20" t="n"/>
      <c r="O1986" s="20" t="n"/>
    </row>
    <row r="1987">
      <c r="A1987" s="23" t="n">
        <v>1984</v>
      </c>
      <c r="B1987" s="23" t="inlineStr">
        <is>
          <t>2.7.5.20.12</t>
        </is>
      </c>
      <c r="C1987" s="25" t="inlineStr">
        <is>
          <t>Part 2 – Technical Systems</t>
        </is>
      </c>
      <c r="D1987" s="25" t="inlineStr">
        <is>
          <t>2.7 PRIVATE CLOUD TECHNICAL INFRASTRUCTURE</t>
        </is>
      </c>
      <c r="E1987" s="25" t="inlineStr">
        <is>
          <t>2.7.5 NETWORKS</t>
        </is>
      </c>
      <c r="F1987" s="25" t="inlineStr">
        <is>
          <t>Switch shall support multi-OEM hypervisor environment and shall be able to sense movement of VM and configure network automatically.</t>
        </is>
      </c>
      <c r="G1987" s="19" t="n"/>
      <c r="H1987" s="20" t="n"/>
      <c r="I1987" s="20" t="n"/>
      <c r="J1987" s="19" t="n"/>
      <c r="K1987" s="21" t="n"/>
      <c r="L1987" s="22">
        <f>IF(OR(J1987="",K1987=""),"",J1987*K1987)</f>
        <v/>
      </c>
      <c r="M1987" s="19" t="n"/>
      <c r="N1987" s="20" t="n"/>
      <c r="O1987" s="20" t="n"/>
    </row>
    <row r="1988">
      <c r="A1988" s="16" t="n">
        <v>1985</v>
      </c>
      <c r="B1988" s="17" t="inlineStr">
        <is>
          <t>2.7.5.21</t>
        </is>
      </c>
      <c r="C1988" s="18" t="inlineStr">
        <is>
          <t>Part 2 – Technical Systems</t>
        </is>
      </c>
      <c r="D1988" s="18" t="inlineStr">
        <is>
          <t>2.7 PRIVATE CLOUD TECHNICAL INFRASTRUCTURE</t>
        </is>
      </c>
      <c r="E1988" s="18" t="inlineStr">
        <is>
          <t>2.7.5 NETWORKS</t>
        </is>
      </c>
      <c r="F1988" s="18" t="inlineStr">
        <is>
          <t>The CONTRACTOR will supply, install and connect patch panels, and patch cables for their networking needs in the datacenter.</t>
        </is>
      </c>
      <c r="G1988" s="19" t="n"/>
      <c r="H1988" s="20" t="n"/>
      <c r="I1988" s="20" t="n"/>
      <c r="J1988" s="19" t="n"/>
      <c r="K1988" s="21" t="n"/>
      <c r="L1988" s="22">
        <f>IF(OR(J1988="",K1988=""),"",J1988*K1988)</f>
        <v/>
      </c>
      <c r="M1988" s="19" t="n"/>
      <c r="N1988" s="20" t="n"/>
      <c r="O1988" s="20" t="n"/>
    </row>
    <row r="1989">
      <c r="A1989" s="23" t="n">
        <v>1986</v>
      </c>
      <c r="B1989" s="24" t="inlineStr">
        <is>
          <t>2.7.5.22</t>
        </is>
      </c>
      <c r="C1989" s="25" t="inlineStr">
        <is>
          <t>Part 2 – Technical Systems</t>
        </is>
      </c>
      <c r="D1989" s="25" t="inlineStr">
        <is>
          <t>2.7 PRIVATE CLOUD TECHNICAL INFRASTRUCTURE</t>
        </is>
      </c>
      <c r="E1989" s="25" t="inlineStr">
        <is>
          <t>2.7.5 NETWORKS</t>
        </is>
      </c>
      <c r="F1989" s="25" t="inlineStr">
        <is>
          <t>The CONTRACTOR shall implement hardware-based highly available load balancers for each of the zones within the OSS911 center under the scope of this contract for:</t>
        </is>
      </c>
      <c r="G1989" s="19" t="n"/>
      <c r="H1989" s="20" t="n"/>
      <c r="I1989" s="20" t="n"/>
      <c r="J1989" s="19" t="n"/>
      <c r="K1989" s="21" t="n"/>
      <c r="L1989" s="22">
        <f>IF(OR(J1989="",K1989=""),"",J1989*K1989)</f>
        <v/>
      </c>
      <c r="M1989" s="19" t="n"/>
      <c r="N1989" s="20" t="n"/>
      <c r="O1989" s="20" t="n"/>
    </row>
    <row r="1990">
      <c r="A1990" s="16" t="n">
        <v>1987</v>
      </c>
      <c r="B1990" s="16" t="inlineStr">
        <is>
          <t>2.7.5.22.1</t>
        </is>
      </c>
      <c r="C1990" s="18" t="inlineStr">
        <is>
          <t>Part 2 – Technical Systems</t>
        </is>
      </c>
      <c r="D1990" s="18" t="inlineStr">
        <is>
          <t>2.7 PRIVATE CLOUD TECHNICAL INFRASTRUCTURE</t>
        </is>
      </c>
      <c r="E1990" s="18" t="inlineStr">
        <is>
          <t>2.7.5 NETWORKS</t>
        </is>
      </c>
      <c r="F1990" s="18" t="inlineStr">
        <is>
          <t>One pair for access to all datacenter solutions and services.</t>
        </is>
      </c>
      <c r="G1990" s="19" t="n"/>
      <c r="H1990" s="20" t="n"/>
      <c r="I1990" s="20" t="n"/>
      <c r="J1990" s="19" t="n"/>
      <c r="K1990" s="21" t="n"/>
      <c r="L1990" s="22">
        <f>IF(OR(J1990="",K1990=""),"",J1990*K1990)</f>
        <v/>
      </c>
      <c r="M1990" s="19" t="n"/>
      <c r="N1990" s="20" t="n"/>
      <c r="O1990" s="20" t="n"/>
    </row>
    <row r="1991">
      <c r="A1991" s="23" t="n">
        <v>1988</v>
      </c>
      <c r="B1991" s="23" t="inlineStr">
        <is>
          <t>2.7.5.22.2</t>
        </is>
      </c>
      <c r="C1991" s="25" t="inlineStr">
        <is>
          <t>Part 2 – Technical Systems</t>
        </is>
      </c>
      <c r="D1991" s="25" t="inlineStr">
        <is>
          <t>2.7 PRIVATE CLOUD TECHNICAL INFRASTRUCTURE</t>
        </is>
      </c>
      <c r="E1991" s="25" t="inlineStr">
        <is>
          <t>2.7.5 NETWORKS</t>
        </is>
      </c>
      <c r="F1991" s="25" t="inlineStr">
        <is>
          <t>One pair for all access to the wide area network via MiFON.</t>
        </is>
      </c>
      <c r="G1991" s="19" t="n"/>
      <c r="H1991" s="20" t="n"/>
      <c r="I1991" s="20" t="n"/>
      <c r="J1991" s="19" t="n"/>
      <c r="K1991" s="21" t="n"/>
      <c r="L1991" s="22">
        <f>IF(OR(J1991="",K1991=""),"",J1991*K1991)</f>
        <v/>
      </c>
      <c r="M1991" s="19" t="n"/>
      <c r="N1991" s="20" t="n"/>
      <c r="O1991" s="20" t="n"/>
    </row>
    <row r="1992">
      <c r="A1992" s="16" t="n">
        <v>1989</v>
      </c>
      <c r="B1992" s="16" t="inlineStr">
        <is>
          <t>2.7.5.22.3</t>
        </is>
      </c>
      <c r="C1992" s="18" t="inlineStr">
        <is>
          <t>Part 2 – Technical Systems</t>
        </is>
      </c>
      <c r="D1992" s="18" t="inlineStr">
        <is>
          <t>2.7 PRIVATE CLOUD TECHNICAL INFRASTRUCTURE</t>
        </is>
      </c>
      <c r="E1992" s="18" t="inlineStr">
        <is>
          <t>2.7.5 NETWORKS</t>
        </is>
      </c>
      <c r="F1992" s="18" t="inlineStr">
        <is>
          <t>One pair for all access to the DMZ.</t>
        </is>
      </c>
      <c r="G1992" s="19" t="n"/>
      <c r="H1992" s="20" t="n"/>
      <c r="I1992" s="20" t="n"/>
      <c r="J1992" s="19" t="n"/>
      <c r="K1992" s="21" t="n"/>
      <c r="L1992" s="22">
        <f>IF(OR(J1992="",K1992=""),"",J1992*K1992)</f>
        <v/>
      </c>
      <c r="M1992" s="19" t="n"/>
      <c r="N1992" s="20" t="n"/>
      <c r="O1992" s="20" t="n"/>
    </row>
    <row r="1993">
      <c r="A1993" s="23" t="n">
        <v>1990</v>
      </c>
      <c r="B1993" s="24" t="inlineStr">
        <is>
          <t>2.7.5.23</t>
        </is>
      </c>
      <c r="C1993" s="25" t="inlineStr">
        <is>
          <t>Part 2 – Technical Systems</t>
        </is>
      </c>
      <c r="D1993" s="25" t="inlineStr">
        <is>
          <t>2.7 PRIVATE CLOUD TECHNICAL INFRASTRUCTURE</t>
        </is>
      </c>
      <c r="E1993" s="25" t="inlineStr">
        <is>
          <t>2.7.5 NETWORKS</t>
        </is>
      </c>
      <c r="F1993" s="25" t="inlineStr">
        <is>
          <t>The CONTRACTOR shall provide a DHCP capability for the dynamic assignment of IP addresses within the OSS911 network.</t>
        </is>
      </c>
      <c r="G1993" s="19" t="n"/>
      <c r="H1993" s="20" t="n"/>
      <c r="I1993" s="20" t="n"/>
      <c r="J1993" s="19" t="n"/>
      <c r="K1993" s="21" t="n"/>
      <c r="L1993" s="22">
        <f>IF(OR(J1993="",K1993=""),"",J1993*K1993)</f>
        <v/>
      </c>
      <c r="M1993" s="19" t="n"/>
      <c r="N1993" s="20" t="n"/>
      <c r="O1993" s="20" t="n"/>
    </row>
    <row r="1994">
      <c r="A1994" s="16" t="n">
        <v>1991</v>
      </c>
      <c r="B1994" s="17" t="inlineStr">
        <is>
          <t>2.7.5.24</t>
        </is>
      </c>
      <c r="C1994" s="18" t="inlineStr">
        <is>
          <t>Part 2 – Technical Systems</t>
        </is>
      </c>
      <c r="D1994" s="18" t="inlineStr">
        <is>
          <t>2.7 PRIVATE CLOUD TECHNICAL INFRASTRUCTURE</t>
        </is>
      </c>
      <c r="E1994" s="18" t="inlineStr">
        <is>
          <t>2.7.5 NETWORKS</t>
        </is>
      </c>
      <c r="F1994" s="18" t="inlineStr">
        <is>
          <t>The CONTRACTOR shall provide a DNS capability for the resolution of names.</t>
        </is>
      </c>
      <c r="G1994" s="19" t="n"/>
      <c r="H1994" s="20" t="n"/>
      <c r="I1994" s="20" t="n"/>
      <c r="J1994" s="19" t="n"/>
      <c r="K1994" s="21" t="n"/>
      <c r="L1994" s="22">
        <f>IF(OR(J1994="",K1994=""),"",J1994*K1994)</f>
        <v/>
      </c>
      <c r="M1994" s="19" t="n"/>
      <c r="N1994" s="20" t="n"/>
      <c r="O1994" s="20" t="n"/>
    </row>
    <row r="1995">
      <c r="A1995" s="23" t="n">
        <v>1992</v>
      </c>
      <c r="B1995" s="24" t="inlineStr">
        <is>
          <t>2.7.5.25</t>
        </is>
      </c>
      <c r="C1995" s="25" t="inlineStr">
        <is>
          <t>Part 2 – Technical Systems</t>
        </is>
      </c>
      <c r="D1995" s="25" t="inlineStr">
        <is>
          <t>2.7 PRIVATE CLOUD TECHNICAL INFRASTRUCTURE</t>
        </is>
      </c>
      <c r="E1995" s="25" t="inlineStr">
        <is>
          <t>2.7.5 NETWORKS</t>
        </is>
      </c>
      <c r="F1995" s="25" t="inlineStr">
        <is>
          <t>The CONTRACTOR shall configure DNS and DHCP in highly available mode each with primary and secondary servers and with load balancing between the two.</t>
        </is>
      </c>
      <c r="G1995" s="19" t="n"/>
      <c r="H1995" s="20" t="n"/>
      <c r="I1995" s="20" t="n"/>
      <c r="J1995" s="19" t="n"/>
      <c r="K1995" s="21" t="n"/>
      <c r="L1995" s="22">
        <f>IF(OR(J1995="",K1995=""),"",J1995*K1995)</f>
        <v/>
      </c>
      <c r="M1995" s="19" t="n"/>
      <c r="N1995" s="20" t="n"/>
      <c r="O1995" s="20" t="n"/>
    </row>
    <row r="1996">
      <c r="A1996" s="16" t="n">
        <v>1993</v>
      </c>
      <c r="B1996" s="17" t="inlineStr">
        <is>
          <t>2.7.5.26</t>
        </is>
      </c>
      <c r="C1996" s="18" t="inlineStr">
        <is>
          <t>Part 2 – Technical Systems</t>
        </is>
      </c>
      <c r="D1996" s="18" t="inlineStr">
        <is>
          <t>2.7 PRIVATE CLOUD TECHNICAL INFRASTRUCTURE</t>
        </is>
      </c>
      <c r="E1996" s="18" t="inlineStr">
        <is>
          <t>2.7.5 NETWORKS</t>
        </is>
      </c>
      <c r="F1996" s="18" t="inlineStr">
        <is>
          <t>The CONTRACTOR shall supply 48-port access switches, aggregation switches and routers for use for NIC services local distribution within the OSS911 center as per the bill of quantity – these shall match the NIC specifications as mentioned on the MOI/NIC web site, and shall include all the required SFPs / GBICs and the necessary cables and accessories, and shall be based on products from vendors who are rated as leaders in the last released Gartner Magic Quadrant for the respective network function.</t>
        </is>
      </c>
      <c r="G1996" s="19" t="n"/>
      <c r="H1996" s="20" t="n"/>
      <c r="I1996" s="20" t="n"/>
      <c r="J1996" s="19" t="n"/>
      <c r="K1996" s="21" t="n"/>
      <c r="L1996" s="22">
        <f>IF(OR(J1996="",K1996=""),"",J1996*K1996)</f>
        <v/>
      </c>
      <c r="M1996" s="19" t="n"/>
      <c r="N1996" s="20" t="n"/>
      <c r="O1996" s="20" t="n"/>
    </row>
    <row r="1997">
      <c r="A1997" s="23" t="n">
        <v>1994</v>
      </c>
      <c r="B1997" s="24" t="inlineStr">
        <is>
          <t>2.7.5.27</t>
        </is>
      </c>
      <c r="C1997" s="25" t="inlineStr">
        <is>
          <t>Part 2 – Technical Systems</t>
        </is>
      </c>
      <c r="D1997" s="25" t="inlineStr">
        <is>
          <t>2.7 PRIVATE CLOUD TECHNICAL INFRASTRUCTURE</t>
        </is>
      </c>
      <c r="E1997" s="25" t="inlineStr">
        <is>
          <t>2.7.5 NETWORKS</t>
        </is>
      </c>
      <c r="F1997" s="25" t="inlineStr">
        <is>
          <t>Based on the design discussions with the MOI, the CONTRACTOR shall finalize the required models for the different access, aggregation, leaf and spine switches, and the different routers that will be deployed by the CONTRACTOR.</t>
        </is>
      </c>
      <c r="G1997" s="19" t="n"/>
      <c r="H1997" s="20" t="n"/>
      <c r="I1997" s="20" t="n"/>
      <c r="J1997" s="19" t="n"/>
      <c r="K1997" s="21" t="n"/>
      <c r="L1997" s="22">
        <f>IF(OR(J1997="",K1997=""),"",J1997*K1997)</f>
        <v/>
      </c>
      <c r="M1997" s="19" t="n"/>
      <c r="N1997" s="20" t="n"/>
      <c r="O1997" s="20" t="n"/>
    </row>
    <row r="1998">
      <c r="A1998" s="16" t="n">
        <v>1995</v>
      </c>
      <c r="B1998" s="17" t="inlineStr">
        <is>
          <t>2.7.6.1</t>
        </is>
      </c>
      <c r="C1998" s="18" t="inlineStr">
        <is>
          <t>Part 2 – Technical Systems</t>
        </is>
      </c>
      <c r="D1998" s="18" t="inlineStr">
        <is>
          <t>2.7 PRIVATE CLOUD TECHNICAL INFRASTRUCTURE</t>
        </is>
      </c>
      <c r="E1998" s="18" t="inlineStr">
        <is>
          <t>2.7.6 SECURITY</t>
        </is>
      </c>
      <c r="F1998" s="18" t="inlineStr">
        <is>
          <t>The CONTRACTOR shall implement security solutions that ensure a hardened Technical Infrastructure for all OSS911 center systems and infrastructure.</t>
        </is>
      </c>
      <c r="G1998" s="19" t="n"/>
      <c r="H1998" s="20" t="n"/>
      <c r="I1998" s="20" t="n"/>
      <c r="J1998" s="19" t="n"/>
      <c r="K1998" s="21" t="n"/>
      <c r="L1998" s="22">
        <f>IF(OR(J1998="",K1998=""),"",J1998*K1998)</f>
        <v/>
      </c>
      <c r="M1998" s="19" t="n"/>
      <c r="N1998" s="20" t="n"/>
      <c r="O1998" s="20" t="n"/>
    </row>
    <row r="1999">
      <c r="A1999" s="23" t="n">
        <v>1996</v>
      </c>
      <c r="B1999" s="24" t="inlineStr">
        <is>
          <t>2.7.6.2</t>
        </is>
      </c>
      <c r="C1999" s="25" t="inlineStr">
        <is>
          <t>Part 2 – Technical Systems</t>
        </is>
      </c>
      <c r="D1999" s="25" t="inlineStr">
        <is>
          <t>2.7 PRIVATE CLOUD TECHNICAL INFRASTRUCTURE</t>
        </is>
      </c>
      <c r="E1999" s="25" t="inlineStr">
        <is>
          <t>2.7.6 SECURITY</t>
        </is>
      </c>
      <c r="F1999" s="25" t="inlineStr">
        <is>
          <t>The BIDDER shall note that the various security solutions’ items in the BoQ are placeholders for all components of a solution. Other components as required by BIDDER’s security solution will be included in the line item for firewalls in the BoQ, and the detailed breakdown, and functions of the components will be explained in technical and commercial proposals.</t>
        </is>
      </c>
      <c r="G1999" s="19" t="n"/>
      <c r="H1999" s="20" t="n"/>
      <c r="I1999" s="20" t="n"/>
      <c r="J1999" s="19" t="n"/>
      <c r="K1999" s="21" t="n"/>
      <c r="L1999" s="22">
        <f>IF(OR(J1999="",K1999=""),"",J1999*K1999)</f>
        <v/>
      </c>
      <c r="M1999" s="19" t="n"/>
      <c r="N1999" s="20" t="n"/>
      <c r="O1999" s="20" t="n"/>
    </row>
    <row r="2000">
      <c r="A2000" s="16" t="n">
        <v>1997</v>
      </c>
      <c r="B2000" s="17" t="inlineStr">
        <is>
          <t>2.7.6.3</t>
        </is>
      </c>
      <c r="C2000" s="18" t="inlineStr">
        <is>
          <t>Part 2 – Technical Systems</t>
        </is>
      </c>
      <c r="D2000" s="18" t="inlineStr">
        <is>
          <t>2.7 PRIVATE CLOUD TECHNICAL INFRASTRUCTURE</t>
        </is>
      </c>
      <c r="E2000" s="18" t="inlineStr">
        <is>
          <t>2.7.6 SECURITY</t>
        </is>
      </c>
      <c r="F2000" s="18" t="inlineStr">
        <is>
          <t>The requirements outlined in this section are not exhaustive and MOI expects the BIDDERS to utilize their knowhow and experience with critical infrastructure protection to propose highly secure and hardened security solutions over and beyond the stated requirements here.</t>
        </is>
      </c>
      <c r="G2000" s="19" t="n"/>
      <c r="H2000" s="20" t="n"/>
      <c r="I2000" s="20" t="n"/>
      <c r="J2000" s="19" t="n"/>
      <c r="K2000" s="21" t="n"/>
      <c r="L2000" s="22">
        <f>IF(OR(J2000="",K2000=""),"",J2000*K2000)</f>
        <v/>
      </c>
      <c r="M2000" s="19" t="n"/>
      <c r="N2000" s="20" t="n"/>
      <c r="O2000" s="20" t="n"/>
    </row>
    <row r="2001">
      <c r="A2001" s="23" t="n">
        <v>1998</v>
      </c>
      <c r="B2001" s="24" t="inlineStr">
        <is>
          <t>2.7.6.4</t>
        </is>
      </c>
      <c r="C2001" s="25" t="inlineStr">
        <is>
          <t>Part 2 – Technical Systems</t>
        </is>
      </c>
      <c r="D2001" s="25" t="inlineStr">
        <is>
          <t>2.7 PRIVATE CLOUD TECHNICAL INFRASTRUCTURE</t>
        </is>
      </c>
      <c r="E2001" s="25" t="inlineStr">
        <is>
          <t>2.7.6 SECURITY</t>
        </is>
      </c>
      <c r="F2001" s="25" t="inlineStr">
        <is>
          <t>The CONTRACTOR shall provide any and all security certificates, hardware, software, tokens and any other equipment that is required to achieve a secure and hardened technical infrastructure.</t>
        </is>
      </c>
      <c r="G2001" s="19" t="n"/>
      <c r="H2001" s="20" t="n"/>
      <c r="I2001" s="20" t="n"/>
      <c r="J2001" s="19" t="n"/>
      <c r="K2001" s="21" t="n"/>
      <c r="L2001" s="22">
        <f>IF(OR(J2001="",K2001=""),"",J2001*K2001)</f>
        <v/>
      </c>
      <c r="M2001" s="19" t="n"/>
      <c r="N2001" s="20" t="n"/>
      <c r="O2001" s="20" t="n"/>
    </row>
    <row r="2002">
      <c r="A2002" s="16" t="n">
        <v>1999</v>
      </c>
      <c r="B2002" s="17" t="inlineStr">
        <is>
          <t>2.7.6.5</t>
        </is>
      </c>
      <c r="C2002" s="18" t="inlineStr">
        <is>
          <t>Part 2 – Technical Systems</t>
        </is>
      </c>
      <c r="D2002" s="18" t="inlineStr">
        <is>
          <t>2.7 PRIVATE CLOUD TECHNICAL INFRASTRUCTURE</t>
        </is>
      </c>
      <c r="E2002" s="18" t="inlineStr">
        <is>
          <t>2.7.6 SECURITY</t>
        </is>
      </c>
      <c r="F2002" s="18" t="inlineStr">
        <is>
          <t>The CONTRACTOR shall implement and demonstrate compliance to the cybersecurity controls from the most recent National Cybersecurity Authority of Kingdom of Saudi Arabia for all domains, subdomains, main controls and subcontrols therein unless explicitly waived for implementation by MOI, and in accordance with ISO 27001 for information security.</t>
        </is>
      </c>
      <c r="G2002" s="19" t="n"/>
      <c r="H2002" s="20" t="n"/>
      <c r="I2002" s="20" t="n"/>
      <c r="J2002" s="19" t="n"/>
      <c r="K2002" s="21" t="n"/>
      <c r="L2002" s="22">
        <f>IF(OR(J2002="",K2002=""),"",J2002*K2002)</f>
        <v/>
      </c>
      <c r="M2002" s="19" t="n"/>
      <c r="N2002" s="20" t="n"/>
      <c r="O2002" s="20" t="n"/>
    </row>
    <row r="2003">
      <c r="A2003" s="23" t="n">
        <v>2000</v>
      </c>
      <c r="B2003" s="24" t="inlineStr">
        <is>
          <t>2.7.6.6</t>
        </is>
      </c>
      <c r="C2003" s="25" t="inlineStr">
        <is>
          <t>Part 2 – Technical Systems</t>
        </is>
      </c>
      <c r="D2003" s="25" t="inlineStr">
        <is>
          <t>2.7 PRIVATE CLOUD TECHNICAL INFRASTRUCTURE</t>
        </is>
      </c>
      <c r="E2003" s="25" t="inlineStr">
        <is>
          <t>2.7.6 SECURITY</t>
        </is>
      </c>
      <c r="F2003" s="25" t="inlineStr">
        <is>
          <t>The CONTRACTOR shall implement security controls that are required for securing the OSS911 center systems, data and infrastructure and for providing information assurance.</t>
        </is>
      </c>
      <c r="G2003" s="19" t="n"/>
      <c r="H2003" s="20" t="n"/>
      <c r="I2003" s="20" t="n"/>
      <c r="J2003" s="19" t="n"/>
      <c r="K2003" s="21" t="n"/>
      <c r="L2003" s="22">
        <f>IF(OR(J2003="",K2003=""),"",J2003*K2003)</f>
        <v/>
      </c>
      <c r="M2003" s="19" t="n"/>
      <c r="N2003" s="20" t="n"/>
      <c r="O2003" s="20" t="n"/>
    </row>
    <row r="2004">
      <c r="A2004" s="16" t="n">
        <v>2001</v>
      </c>
      <c r="B2004" s="17" t="inlineStr">
        <is>
          <t>2.7.6.7</t>
        </is>
      </c>
      <c r="C2004" s="18" t="inlineStr">
        <is>
          <t>Part 2 – Technical Systems</t>
        </is>
      </c>
      <c r="D2004" s="18" t="inlineStr">
        <is>
          <t>2.7 PRIVATE CLOUD TECHNICAL INFRASTRUCTURE</t>
        </is>
      </c>
      <c r="E2004" s="18" t="inlineStr">
        <is>
          <t>2.7.6 SECURITY</t>
        </is>
      </c>
      <c r="F2004" s="18" t="inlineStr">
        <is>
          <t>The CONTRACTOR shall implement all of the following Center for Internet Security (CIS) Critical Security Controls:</t>
        </is>
      </c>
      <c r="G2004" s="19" t="n"/>
      <c r="H2004" s="20" t="n"/>
      <c r="I2004" s="20" t="n"/>
      <c r="J2004" s="19" t="n"/>
      <c r="K2004" s="21" t="n"/>
      <c r="L2004" s="22">
        <f>IF(OR(J2004="",K2004=""),"",J2004*K2004)</f>
        <v/>
      </c>
      <c r="M2004" s="19" t="n"/>
      <c r="N2004" s="20" t="n"/>
      <c r="O2004" s="20" t="n"/>
    </row>
    <row r="2005">
      <c r="A2005" s="23" t="n">
        <v>2002</v>
      </c>
      <c r="B2005" s="23" t="inlineStr">
        <is>
          <t>2.7.6.7.1</t>
        </is>
      </c>
      <c r="C2005" s="25" t="inlineStr">
        <is>
          <t>Part 2 – Technical Systems</t>
        </is>
      </c>
      <c r="D2005" s="25" t="inlineStr">
        <is>
          <t>2.7 PRIVATE CLOUD TECHNICAL INFRASTRUCTURE</t>
        </is>
      </c>
      <c r="E2005" s="25" t="inlineStr">
        <is>
          <t>2.7.6 SECURITY</t>
        </is>
      </c>
      <c r="F2005" s="25" t="inlineStr">
        <is>
          <t>Inventory of Authorized and Unauthorized Hardware Devices</t>
        </is>
      </c>
      <c r="G2005" s="19" t="n"/>
      <c r="H2005" s="20" t="n"/>
      <c r="I2005" s="20" t="n"/>
      <c r="J2005" s="19" t="n"/>
      <c r="K2005" s="21" t="n"/>
      <c r="L2005" s="22">
        <f>IF(OR(J2005="",K2005=""),"",J2005*K2005)</f>
        <v/>
      </c>
      <c r="M2005" s="19" t="n"/>
      <c r="N2005" s="20" t="n"/>
      <c r="O2005" s="20" t="n"/>
    </row>
    <row r="2006">
      <c r="A2006" s="16" t="n">
        <v>2003</v>
      </c>
      <c r="B2006" s="16" t="inlineStr">
        <is>
          <t>2.7.6.7.2</t>
        </is>
      </c>
      <c r="C2006" s="18" t="inlineStr">
        <is>
          <t>Part 2 – Technical Systems</t>
        </is>
      </c>
      <c r="D2006" s="18" t="inlineStr">
        <is>
          <t>2.7 PRIVATE CLOUD TECHNICAL INFRASTRUCTURE</t>
        </is>
      </c>
      <c r="E2006" s="18" t="inlineStr">
        <is>
          <t>2.7.6 SECURITY</t>
        </is>
      </c>
      <c r="F2006" s="18" t="inlineStr">
        <is>
          <t>Inventory of Authorized and Unauthorized Software</t>
        </is>
      </c>
      <c r="G2006" s="19" t="n"/>
      <c r="H2006" s="20" t="n"/>
      <c r="I2006" s="20" t="n"/>
      <c r="J2006" s="19" t="n"/>
      <c r="K2006" s="21" t="n"/>
      <c r="L2006" s="22">
        <f>IF(OR(J2006="",K2006=""),"",J2006*K2006)</f>
        <v/>
      </c>
      <c r="M2006" s="19" t="n"/>
      <c r="N2006" s="20" t="n"/>
      <c r="O2006" s="20" t="n"/>
    </row>
    <row r="2007">
      <c r="A2007" s="23" t="n">
        <v>2004</v>
      </c>
      <c r="B2007" s="23" t="inlineStr">
        <is>
          <t>2.7.6.7.3</t>
        </is>
      </c>
      <c r="C2007" s="25" t="inlineStr">
        <is>
          <t>Part 2 – Technical Systems</t>
        </is>
      </c>
      <c r="D2007" s="25" t="inlineStr">
        <is>
          <t>2.7 PRIVATE CLOUD TECHNICAL INFRASTRUCTURE</t>
        </is>
      </c>
      <c r="E2007" s="25" t="inlineStr">
        <is>
          <t>2.7.6 SECURITY</t>
        </is>
      </c>
      <c r="F2007" s="25" t="inlineStr">
        <is>
          <t>Secure Configurations for Hardware and Software on Mobile Devices, Laptops, Workstations and Servers</t>
        </is>
      </c>
      <c r="G2007" s="19" t="n"/>
      <c r="H2007" s="20" t="n"/>
      <c r="I2007" s="20" t="n"/>
      <c r="J2007" s="19" t="n"/>
      <c r="K2007" s="21" t="n"/>
      <c r="L2007" s="22">
        <f>IF(OR(J2007="",K2007=""),"",J2007*K2007)</f>
        <v/>
      </c>
      <c r="M2007" s="19" t="n"/>
      <c r="N2007" s="20" t="n"/>
      <c r="O2007" s="20" t="n"/>
    </row>
    <row r="2008">
      <c r="A2008" s="16" t="n">
        <v>2005</v>
      </c>
      <c r="B2008" s="16" t="inlineStr">
        <is>
          <t>2.7.6.7.4</t>
        </is>
      </c>
      <c r="C2008" s="18" t="inlineStr">
        <is>
          <t>Part 2 – Technical Systems</t>
        </is>
      </c>
      <c r="D2008" s="18" t="inlineStr">
        <is>
          <t>2.7 PRIVATE CLOUD TECHNICAL INFRASTRUCTURE</t>
        </is>
      </c>
      <c r="E2008" s="18" t="inlineStr">
        <is>
          <t>2.7.6 SECURITY</t>
        </is>
      </c>
      <c r="F2008" s="18" t="inlineStr">
        <is>
          <t>Continuous Vulnerability Assessment and Remediation</t>
        </is>
      </c>
      <c r="G2008" s="19" t="n"/>
      <c r="H2008" s="20" t="n"/>
      <c r="I2008" s="20" t="n"/>
      <c r="J2008" s="19" t="n"/>
      <c r="K2008" s="21" t="n"/>
      <c r="L2008" s="22">
        <f>IF(OR(J2008="",K2008=""),"",J2008*K2008)</f>
        <v/>
      </c>
      <c r="M2008" s="19" t="n"/>
      <c r="N2008" s="20" t="n"/>
      <c r="O2008" s="20" t="n"/>
    </row>
    <row r="2009">
      <c r="A2009" s="23" t="n">
        <v>2006</v>
      </c>
      <c r="B2009" s="23" t="inlineStr">
        <is>
          <t>2.7.6.7.5</t>
        </is>
      </c>
      <c r="C2009" s="25" t="inlineStr">
        <is>
          <t>Part 2 – Technical Systems</t>
        </is>
      </c>
      <c r="D2009" s="25" t="inlineStr">
        <is>
          <t>2.7 PRIVATE CLOUD TECHNICAL INFRASTRUCTURE</t>
        </is>
      </c>
      <c r="E2009" s="25" t="inlineStr">
        <is>
          <t>2.7.6 SECURITY</t>
        </is>
      </c>
      <c r="F2009" s="25" t="inlineStr">
        <is>
          <t>Malware Defenses</t>
        </is>
      </c>
      <c r="G2009" s="19" t="n"/>
      <c r="H2009" s="20" t="n"/>
      <c r="I2009" s="20" t="n"/>
      <c r="J2009" s="19" t="n"/>
      <c r="K2009" s="21" t="n"/>
      <c r="L2009" s="22">
        <f>IF(OR(J2009="",K2009=""),"",J2009*K2009)</f>
        <v/>
      </c>
      <c r="M2009" s="19" t="n"/>
      <c r="N2009" s="20" t="n"/>
      <c r="O2009" s="20" t="n"/>
    </row>
    <row r="2010">
      <c r="A2010" s="16" t="n">
        <v>2007</v>
      </c>
      <c r="B2010" s="16" t="inlineStr">
        <is>
          <t>2.7.6.7.6</t>
        </is>
      </c>
      <c r="C2010" s="18" t="inlineStr">
        <is>
          <t>Part 2 – Technical Systems</t>
        </is>
      </c>
      <c r="D2010" s="18" t="inlineStr">
        <is>
          <t>2.7 PRIVATE CLOUD TECHNICAL INFRASTRUCTURE</t>
        </is>
      </c>
      <c r="E2010" s="18" t="inlineStr">
        <is>
          <t>2.7.6 SECURITY</t>
        </is>
      </c>
      <c r="F2010" s="18" t="inlineStr">
        <is>
          <t>Application Software Security</t>
        </is>
      </c>
      <c r="G2010" s="19" t="n"/>
      <c r="H2010" s="20" t="n"/>
      <c r="I2010" s="20" t="n"/>
      <c r="J2010" s="19" t="n"/>
      <c r="K2010" s="21" t="n"/>
      <c r="L2010" s="22">
        <f>IF(OR(J2010="",K2010=""),"",J2010*K2010)</f>
        <v/>
      </c>
      <c r="M2010" s="19" t="n"/>
      <c r="N2010" s="20" t="n"/>
      <c r="O2010" s="20" t="n"/>
    </row>
    <row r="2011">
      <c r="A2011" s="23" t="n">
        <v>2008</v>
      </c>
      <c r="B2011" s="23" t="inlineStr">
        <is>
          <t>2.7.6.7.7</t>
        </is>
      </c>
      <c r="C2011" s="25" t="inlineStr">
        <is>
          <t>Part 2 – Technical Systems</t>
        </is>
      </c>
      <c r="D2011" s="25" t="inlineStr">
        <is>
          <t>2.7 PRIVATE CLOUD TECHNICAL INFRASTRUCTURE</t>
        </is>
      </c>
      <c r="E2011" s="25" t="inlineStr">
        <is>
          <t>2.7.6 SECURITY</t>
        </is>
      </c>
      <c r="F2011" s="25" t="inlineStr">
        <is>
          <t>Wireless Access Control</t>
        </is>
      </c>
      <c r="G2011" s="19" t="n"/>
      <c r="H2011" s="20" t="n"/>
      <c r="I2011" s="20" t="n"/>
      <c r="J2011" s="19" t="n"/>
      <c r="K2011" s="21" t="n"/>
      <c r="L2011" s="22">
        <f>IF(OR(J2011="",K2011=""),"",J2011*K2011)</f>
        <v/>
      </c>
      <c r="M2011" s="19" t="n"/>
      <c r="N2011" s="20" t="n"/>
      <c r="O2011" s="20" t="n"/>
    </row>
    <row r="2012">
      <c r="A2012" s="16" t="n">
        <v>2009</v>
      </c>
      <c r="B2012" s="16" t="inlineStr">
        <is>
          <t>2.7.6.7.8</t>
        </is>
      </c>
      <c r="C2012" s="18" t="inlineStr">
        <is>
          <t>Part 2 – Technical Systems</t>
        </is>
      </c>
      <c r="D2012" s="18" t="inlineStr">
        <is>
          <t>2.7 PRIVATE CLOUD TECHNICAL INFRASTRUCTURE</t>
        </is>
      </c>
      <c r="E2012" s="18" t="inlineStr">
        <is>
          <t>2.7.6 SECURITY</t>
        </is>
      </c>
      <c r="F2012" s="18" t="inlineStr">
        <is>
          <t>Data Recovery Capability</t>
        </is>
      </c>
      <c r="G2012" s="19" t="n"/>
      <c r="H2012" s="20" t="n"/>
      <c r="I2012" s="20" t="n"/>
      <c r="J2012" s="19" t="n"/>
      <c r="K2012" s="21" t="n"/>
      <c r="L2012" s="22">
        <f>IF(OR(J2012="",K2012=""),"",J2012*K2012)</f>
        <v/>
      </c>
      <c r="M2012" s="19" t="n"/>
      <c r="N2012" s="20" t="n"/>
      <c r="O2012" s="20" t="n"/>
    </row>
    <row r="2013">
      <c r="A2013" s="23" t="n">
        <v>2010</v>
      </c>
      <c r="B2013" s="23" t="inlineStr">
        <is>
          <t>2.7.6.7.9</t>
        </is>
      </c>
      <c r="C2013" s="25" t="inlineStr">
        <is>
          <t>Part 2 – Technical Systems</t>
        </is>
      </c>
      <c r="D2013" s="25" t="inlineStr">
        <is>
          <t>2.7 PRIVATE CLOUD TECHNICAL INFRASTRUCTURE</t>
        </is>
      </c>
      <c r="E2013" s="25" t="inlineStr">
        <is>
          <t>2.7.6 SECURITY</t>
        </is>
      </c>
      <c r="F2013" s="25" t="inlineStr">
        <is>
          <t>Security Skills Assessment and Appropriate Training to Fill Gaps</t>
        </is>
      </c>
      <c r="G2013" s="19" t="n"/>
      <c r="H2013" s="20" t="n"/>
      <c r="I2013" s="20" t="n"/>
      <c r="J2013" s="19" t="n"/>
      <c r="K2013" s="21" t="n"/>
      <c r="L2013" s="22">
        <f>IF(OR(J2013="",K2013=""),"",J2013*K2013)</f>
        <v/>
      </c>
      <c r="M2013" s="19" t="n"/>
      <c r="N2013" s="20" t="n"/>
      <c r="O2013" s="20" t="n"/>
    </row>
    <row r="2014">
      <c r="A2014" s="16" t="n">
        <v>2011</v>
      </c>
      <c r="B2014" s="16" t="inlineStr">
        <is>
          <t>2.7.6.7.10</t>
        </is>
      </c>
      <c r="C2014" s="18" t="inlineStr">
        <is>
          <t>Part 2 – Technical Systems</t>
        </is>
      </c>
      <c r="D2014" s="18" t="inlineStr">
        <is>
          <t>2.7 PRIVATE CLOUD TECHNICAL INFRASTRUCTURE</t>
        </is>
      </c>
      <c r="E2014" s="18" t="inlineStr">
        <is>
          <t>2.7.6 SECURITY</t>
        </is>
      </c>
      <c r="F2014" s="18" t="inlineStr">
        <is>
          <t>Secure Configurations for All Network Devices including Firewalls, Routers and Switches</t>
        </is>
      </c>
      <c r="G2014" s="19" t="n"/>
      <c r="H2014" s="20" t="n"/>
      <c r="I2014" s="20" t="n"/>
      <c r="J2014" s="19" t="n"/>
      <c r="K2014" s="21" t="n"/>
      <c r="L2014" s="22">
        <f>IF(OR(J2014="",K2014=""),"",J2014*K2014)</f>
        <v/>
      </c>
      <c r="M2014" s="19" t="n"/>
      <c r="N2014" s="20" t="n"/>
      <c r="O2014" s="20" t="n"/>
    </row>
    <row r="2015">
      <c r="A2015" s="23" t="n">
        <v>2012</v>
      </c>
      <c r="B2015" s="23" t="inlineStr">
        <is>
          <t>2.7.6.7.11</t>
        </is>
      </c>
      <c r="C2015" s="25" t="inlineStr">
        <is>
          <t>Part 2 – Technical Systems</t>
        </is>
      </c>
      <c r="D2015" s="25" t="inlineStr">
        <is>
          <t>2.7 PRIVATE CLOUD TECHNICAL INFRASTRUCTURE</t>
        </is>
      </c>
      <c r="E2015" s="25" t="inlineStr">
        <is>
          <t>2.7.6 SECURITY</t>
        </is>
      </c>
      <c r="F2015" s="25" t="inlineStr">
        <is>
          <t>Limitation and Control of Network Ports, Protocols and Services</t>
        </is>
      </c>
      <c r="G2015" s="19" t="n"/>
      <c r="H2015" s="20" t="n"/>
      <c r="I2015" s="20" t="n"/>
      <c r="J2015" s="19" t="n"/>
      <c r="K2015" s="21" t="n"/>
      <c r="L2015" s="22">
        <f>IF(OR(J2015="",K2015=""),"",J2015*K2015)</f>
        <v/>
      </c>
      <c r="M2015" s="19" t="n"/>
      <c r="N2015" s="20" t="n"/>
      <c r="O2015" s="20" t="n"/>
    </row>
    <row r="2016">
      <c r="A2016" s="16" t="n">
        <v>2013</v>
      </c>
      <c r="B2016" s="16" t="inlineStr">
        <is>
          <t>2.7.6.7.12</t>
        </is>
      </c>
      <c r="C2016" s="18" t="inlineStr">
        <is>
          <t>Part 2 – Technical Systems</t>
        </is>
      </c>
      <c r="D2016" s="18" t="inlineStr">
        <is>
          <t>2.7 PRIVATE CLOUD TECHNICAL INFRASTRUCTURE</t>
        </is>
      </c>
      <c r="E2016" s="18" t="inlineStr">
        <is>
          <t>2.7.6 SECURITY</t>
        </is>
      </c>
      <c r="F2016" s="18" t="inlineStr">
        <is>
          <t>Controlled Use of Administrative Privileges</t>
        </is>
      </c>
      <c r="G2016" s="19" t="n"/>
      <c r="H2016" s="20" t="n"/>
      <c r="I2016" s="20" t="n"/>
      <c r="J2016" s="19" t="n"/>
      <c r="K2016" s="21" t="n"/>
      <c r="L2016" s="22">
        <f>IF(OR(J2016="",K2016=""),"",J2016*K2016)</f>
        <v/>
      </c>
      <c r="M2016" s="19" t="n"/>
      <c r="N2016" s="20" t="n"/>
      <c r="O2016" s="20" t="n"/>
    </row>
    <row r="2017">
      <c r="A2017" s="23" t="n">
        <v>2014</v>
      </c>
      <c r="B2017" s="23" t="inlineStr">
        <is>
          <t>2.7.6.7.13</t>
        </is>
      </c>
      <c r="C2017" s="25" t="inlineStr">
        <is>
          <t>Part 2 – Technical Systems</t>
        </is>
      </c>
      <c r="D2017" s="25" t="inlineStr">
        <is>
          <t>2.7 PRIVATE CLOUD TECHNICAL INFRASTRUCTURE</t>
        </is>
      </c>
      <c r="E2017" s="25" t="inlineStr">
        <is>
          <t>2.7.6 SECURITY</t>
        </is>
      </c>
      <c r="F2017" s="25" t="inlineStr">
        <is>
          <t>Boundary Defense</t>
        </is>
      </c>
      <c r="G2017" s="19" t="n"/>
      <c r="H2017" s="20" t="n"/>
      <c r="I2017" s="20" t="n"/>
      <c r="J2017" s="19" t="n"/>
      <c r="K2017" s="21" t="n"/>
      <c r="L2017" s="22">
        <f>IF(OR(J2017="",K2017=""),"",J2017*K2017)</f>
        <v/>
      </c>
      <c r="M2017" s="19" t="n"/>
      <c r="N2017" s="20" t="n"/>
      <c r="O2017" s="20" t="n"/>
    </row>
    <row r="2018">
      <c r="A2018" s="16" t="n">
        <v>2015</v>
      </c>
      <c r="B2018" s="16" t="inlineStr">
        <is>
          <t>2.7.6.7.14</t>
        </is>
      </c>
      <c r="C2018" s="18" t="inlineStr">
        <is>
          <t>Part 2 – Technical Systems</t>
        </is>
      </c>
      <c r="D2018" s="18" t="inlineStr">
        <is>
          <t>2.7 PRIVATE CLOUD TECHNICAL INFRASTRUCTURE</t>
        </is>
      </c>
      <c r="E2018" s="18" t="inlineStr">
        <is>
          <t>2.7.6 SECURITY</t>
        </is>
      </c>
      <c r="F2018" s="18" t="inlineStr">
        <is>
          <t>Maintenance, Monitoring and Analysis of Audit Logs</t>
        </is>
      </c>
      <c r="G2018" s="19" t="n"/>
      <c r="H2018" s="20" t="n"/>
      <c r="I2018" s="20" t="n"/>
      <c r="J2018" s="19" t="n"/>
      <c r="K2018" s="21" t="n"/>
      <c r="L2018" s="22">
        <f>IF(OR(J2018="",K2018=""),"",J2018*K2018)</f>
        <v/>
      </c>
      <c r="M2018" s="19" t="n"/>
      <c r="N2018" s="20" t="n"/>
      <c r="O2018" s="20" t="n"/>
    </row>
    <row r="2019">
      <c r="A2019" s="23" t="n">
        <v>2016</v>
      </c>
      <c r="B2019" s="23" t="inlineStr">
        <is>
          <t>2.7.6.7.15</t>
        </is>
      </c>
      <c r="C2019" s="25" t="inlineStr">
        <is>
          <t>Part 2 – Technical Systems</t>
        </is>
      </c>
      <c r="D2019" s="25" t="inlineStr">
        <is>
          <t>2.7 PRIVATE CLOUD TECHNICAL INFRASTRUCTURE</t>
        </is>
      </c>
      <c r="E2019" s="25" t="inlineStr">
        <is>
          <t>2.7.6 SECURITY</t>
        </is>
      </c>
      <c r="F2019" s="25" t="inlineStr">
        <is>
          <t>Controlled access based on the Need to Know</t>
        </is>
      </c>
      <c r="G2019" s="19" t="n"/>
      <c r="H2019" s="20" t="n"/>
      <c r="I2019" s="20" t="n"/>
      <c r="J2019" s="19" t="n"/>
      <c r="K2019" s="21" t="n"/>
      <c r="L2019" s="22">
        <f>IF(OR(J2019="",K2019=""),"",J2019*K2019)</f>
        <v/>
      </c>
      <c r="M2019" s="19" t="n"/>
      <c r="N2019" s="20" t="n"/>
      <c r="O2019" s="20" t="n"/>
    </row>
    <row r="2020">
      <c r="A2020" s="16" t="n">
        <v>2017</v>
      </c>
      <c r="B2020" s="16" t="inlineStr">
        <is>
          <t>2.7.6.7.16</t>
        </is>
      </c>
      <c r="C2020" s="18" t="inlineStr">
        <is>
          <t>Part 2 – Technical Systems</t>
        </is>
      </c>
      <c r="D2020" s="18" t="inlineStr">
        <is>
          <t>2.7 PRIVATE CLOUD TECHNICAL INFRASTRUCTURE</t>
        </is>
      </c>
      <c r="E2020" s="18" t="inlineStr">
        <is>
          <t>2.7.6 SECURITY</t>
        </is>
      </c>
      <c r="F2020" s="18" t="inlineStr">
        <is>
          <t>Account Monitoring and Control</t>
        </is>
      </c>
      <c r="G2020" s="19" t="n"/>
      <c r="H2020" s="20" t="n"/>
      <c r="I2020" s="20" t="n"/>
      <c r="J2020" s="19" t="n"/>
      <c r="K2020" s="21" t="n"/>
      <c r="L2020" s="22">
        <f>IF(OR(J2020="",K2020=""),"",J2020*K2020)</f>
        <v/>
      </c>
      <c r="M2020" s="19" t="n"/>
      <c r="N2020" s="20" t="n"/>
      <c r="O2020" s="20" t="n"/>
    </row>
    <row r="2021">
      <c r="A2021" s="23" t="n">
        <v>2018</v>
      </c>
      <c r="B2021" s="23" t="inlineStr">
        <is>
          <t>2.7.6.7.17</t>
        </is>
      </c>
      <c r="C2021" s="25" t="inlineStr">
        <is>
          <t>Part 2 – Technical Systems</t>
        </is>
      </c>
      <c r="D2021" s="25" t="inlineStr">
        <is>
          <t>2.7 PRIVATE CLOUD TECHNICAL INFRASTRUCTURE</t>
        </is>
      </c>
      <c r="E2021" s="25" t="inlineStr">
        <is>
          <t>2.7.6 SECURITY</t>
        </is>
      </c>
      <c r="F2021" s="25" t="inlineStr">
        <is>
          <t>Data Protection</t>
        </is>
      </c>
      <c r="G2021" s="19" t="n"/>
      <c r="H2021" s="20" t="n"/>
      <c r="I2021" s="20" t="n"/>
      <c r="J2021" s="19" t="n"/>
      <c r="K2021" s="21" t="n"/>
      <c r="L2021" s="22">
        <f>IF(OR(J2021="",K2021=""),"",J2021*K2021)</f>
        <v/>
      </c>
      <c r="M2021" s="19" t="n"/>
      <c r="N2021" s="20" t="n"/>
      <c r="O2021" s="20" t="n"/>
    </row>
    <row r="2022">
      <c r="A2022" s="16" t="n">
        <v>2019</v>
      </c>
      <c r="B2022" s="16" t="inlineStr">
        <is>
          <t>2.7.6.7.18</t>
        </is>
      </c>
      <c r="C2022" s="18" t="inlineStr">
        <is>
          <t>Part 2 – Technical Systems</t>
        </is>
      </c>
      <c r="D2022" s="18" t="inlineStr">
        <is>
          <t>2.7 PRIVATE CLOUD TECHNICAL INFRASTRUCTURE</t>
        </is>
      </c>
      <c r="E2022" s="18" t="inlineStr">
        <is>
          <t>2.7.6 SECURITY</t>
        </is>
      </c>
      <c r="F2022" s="18" t="inlineStr">
        <is>
          <t>Incident Response and Management</t>
        </is>
      </c>
      <c r="G2022" s="19" t="n"/>
      <c r="H2022" s="20" t="n"/>
      <c r="I2022" s="20" t="n"/>
      <c r="J2022" s="19" t="n"/>
      <c r="K2022" s="21" t="n"/>
      <c r="L2022" s="22">
        <f>IF(OR(J2022="",K2022=""),"",J2022*K2022)</f>
        <v/>
      </c>
      <c r="M2022" s="19" t="n"/>
      <c r="N2022" s="20" t="n"/>
      <c r="O2022" s="20" t="n"/>
    </row>
    <row r="2023">
      <c r="A2023" s="23" t="n">
        <v>2020</v>
      </c>
      <c r="B2023" s="23" t="inlineStr">
        <is>
          <t>2.7.6.7.19</t>
        </is>
      </c>
      <c r="C2023" s="25" t="inlineStr">
        <is>
          <t>Part 2 – Technical Systems</t>
        </is>
      </c>
      <c r="D2023" s="25" t="inlineStr">
        <is>
          <t>2.7 PRIVATE CLOUD TECHNICAL INFRASTRUCTURE</t>
        </is>
      </c>
      <c r="E2023" s="25" t="inlineStr">
        <is>
          <t>2.7.6 SECURITY</t>
        </is>
      </c>
      <c r="F2023" s="25" t="inlineStr">
        <is>
          <t>Secure Network Engineering</t>
        </is>
      </c>
      <c r="G2023" s="19" t="n"/>
      <c r="H2023" s="20" t="n"/>
      <c r="I2023" s="20" t="n"/>
      <c r="J2023" s="19" t="n"/>
      <c r="K2023" s="21" t="n"/>
      <c r="L2023" s="22">
        <f>IF(OR(J2023="",K2023=""),"",J2023*K2023)</f>
        <v/>
      </c>
      <c r="M2023" s="19" t="n"/>
      <c r="N2023" s="20" t="n"/>
      <c r="O2023" s="20" t="n"/>
    </row>
    <row r="2024">
      <c r="A2024" s="16" t="n">
        <v>2021</v>
      </c>
      <c r="B2024" s="16" t="inlineStr">
        <is>
          <t>2.7.6.7.20</t>
        </is>
      </c>
      <c r="C2024" s="18" t="inlineStr">
        <is>
          <t>Part 2 – Technical Systems</t>
        </is>
      </c>
      <c r="D2024" s="18" t="inlineStr">
        <is>
          <t>2.7 PRIVATE CLOUD TECHNICAL INFRASTRUCTURE</t>
        </is>
      </c>
      <c r="E2024" s="18" t="inlineStr">
        <is>
          <t>2.7.6 SECURITY</t>
        </is>
      </c>
      <c r="F2024" s="18" t="inlineStr">
        <is>
          <t>Penetration Tests and Red Team Exercises</t>
        </is>
      </c>
      <c r="G2024" s="19" t="n"/>
      <c r="H2024" s="20" t="n"/>
      <c r="I2024" s="20" t="n"/>
      <c r="J2024" s="19" t="n"/>
      <c r="K2024" s="21" t="n"/>
      <c r="L2024" s="22">
        <f>IF(OR(J2024="",K2024=""),"",J2024*K2024)</f>
        <v/>
      </c>
      <c r="M2024" s="19" t="n"/>
      <c r="N2024" s="20" t="n"/>
      <c r="O2024" s="20" t="n"/>
    </row>
    <row r="2025">
      <c r="A2025" s="23" t="n">
        <v>2022</v>
      </c>
      <c r="B2025" s="24" t="inlineStr">
        <is>
          <t>2.7.6.8</t>
        </is>
      </c>
      <c r="C2025" s="25" t="inlineStr">
        <is>
          <t>Part 2 – Technical Systems</t>
        </is>
      </c>
      <c r="D2025" s="25" t="inlineStr">
        <is>
          <t>2.7 PRIVATE CLOUD TECHNICAL INFRASTRUCTURE</t>
        </is>
      </c>
      <c r="E2025" s="25" t="inlineStr">
        <is>
          <t>2.7.6 SECURITY</t>
        </is>
      </c>
      <c r="F2025" s="25" t="inlineStr">
        <is>
          <t>The BIDDERS shall note that the CONTRACTOR shall be provided with the official MOI security policy including the security controls compliance required. The requirements within the MOI security policy are reflected in the requirements of this RFP to a large extent. However, if by the award of the contract, newer MOI policy requirements surface, then the CONTRACTOR shall be required to implement these. Where there is a conflict between any stated requirement below and the MOI policy, the requirement from MOI policy shall take precedence.</t>
        </is>
      </c>
      <c r="G2025" s="19" t="n"/>
      <c r="H2025" s="20" t="n"/>
      <c r="I2025" s="20" t="n"/>
      <c r="J2025" s="19" t="n"/>
      <c r="K2025" s="21" t="n"/>
      <c r="L2025" s="22">
        <f>IF(OR(J2025="",K2025=""),"",J2025*K2025)</f>
        <v/>
      </c>
      <c r="M2025" s="19" t="n"/>
      <c r="N2025" s="20" t="n"/>
      <c r="O2025" s="20" t="n"/>
    </row>
    <row r="2026">
      <c r="A2026" s="16" t="n">
        <v>2023</v>
      </c>
      <c r="B2026" s="17" t="inlineStr">
        <is>
          <t>2.7.6.9</t>
        </is>
      </c>
      <c r="C2026" s="18" t="inlineStr">
        <is>
          <t>Part 2 – Technical Systems</t>
        </is>
      </c>
      <c r="D2026" s="18" t="inlineStr">
        <is>
          <t>2.7 PRIVATE CLOUD TECHNICAL INFRASTRUCTURE</t>
        </is>
      </c>
      <c r="E2026" s="18" t="inlineStr">
        <is>
          <t>2.7.6 SECURITY</t>
        </is>
      </c>
      <c r="F2026" s="18" t="inlineStr">
        <is>
          <t>All the unused input / output ports within all the devices (servers, networks, PCs, SAN) shall be disabled by default.</t>
        </is>
      </c>
      <c r="G2026" s="19" t="n"/>
      <c r="H2026" s="20" t="n"/>
      <c r="I2026" s="20" t="n"/>
      <c r="J2026" s="19" t="n"/>
      <c r="K2026" s="21" t="n"/>
      <c r="L2026" s="22">
        <f>IF(OR(J2026="",K2026=""),"",J2026*K2026)</f>
        <v/>
      </c>
      <c r="M2026" s="19" t="n"/>
      <c r="N2026" s="20" t="n"/>
      <c r="O2026" s="20" t="n"/>
    </row>
    <row r="2027">
      <c r="A2027" s="23" t="n">
        <v>2024</v>
      </c>
      <c r="B2027" s="24" t="inlineStr">
        <is>
          <t>2.7.6.10</t>
        </is>
      </c>
      <c r="C2027" s="25" t="inlineStr">
        <is>
          <t>Part 2 – Technical Systems</t>
        </is>
      </c>
      <c r="D2027" s="25" t="inlineStr">
        <is>
          <t>2.7 PRIVATE CLOUD TECHNICAL INFRASTRUCTURE</t>
        </is>
      </c>
      <c r="E2027" s="25" t="inlineStr">
        <is>
          <t>2.7.6 SECURITY</t>
        </is>
      </c>
      <c r="F2027" s="25" t="inlineStr">
        <is>
          <t>Workstations shall be capable of being screen locked and shall default to screen lock when left unattended for a pre-set period. Screen locks shall require a password to gain access.</t>
        </is>
      </c>
      <c r="G2027" s="19" t="n"/>
      <c r="H2027" s="20" t="n"/>
      <c r="I2027" s="20" t="n"/>
      <c r="J2027" s="19" t="n"/>
      <c r="K2027" s="21" t="n"/>
      <c r="L2027" s="22">
        <f>IF(OR(J2027="",K2027=""),"",J2027*K2027)</f>
        <v/>
      </c>
      <c r="M2027" s="19" t="n"/>
      <c r="N2027" s="20" t="n"/>
      <c r="O2027" s="20" t="n"/>
    </row>
    <row r="2028">
      <c r="A2028" s="16" t="n">
        <v>2025</v>
      </c>
      <c r="B2028" s="17" t="inlineStr">
        <is>
          <t>2.7.6.11</t>
        </is>
      </c>
      <c r="C2028" s="18" t="inlineStr">
        <is>
          <t>Part 2 – Technical Systems</t>
        </is>
      </c>
      <c r="D2028" s="18" t="inlineStr">
        <is>
          <t>2.7 PRIVATE CLOUD TECHNICAL INFRASTRUCTURE</t>
        </is>
      </c>
      <c r="E2028" s="18" t="inlineStr">
        <is>
          <t>2.7.6 SECURITY</t>
        </is>
      </c>
      <c r="F2028" s="18" t="inlineStr">
        <is>
          <t>The CONTRACTOR shall implement the following AI security controls unless it is agreed with the MOI that this control is not relevant for implementation in the OSS911 solutions as part of this contract:</t>
        </is>
      </c>
      <c r="G2028" s="19" t="n"/>
      <c r="H2028" s="20" t="n"/>
      <c r="I2028" s="20" t="n"/>
      <c r="J2028" s="19" t="n"/>
      <c r="K2028" s="21" t="n"/>
      <c r="L2028" s="22">
        <f>IF(OR(J2028="",K2028=""),"",J2028*K2028)</f>
        <v/>
      </c>
      <c r="M2028" s="19" t="n"/>
      <c r="N2028" s="20" t="n"/>
      <c r="O2028" s="20" t="n"/>
    </row>
    <row r="2029">
      <c r="A2029" s="23" t="n">
        <v>2026</v>
      </c>
      <c r="B2029" s="23" t="inlineStr">
        <is>
          <t>2.7.6.11.1</t>
        </is>
      </c>
      <c r="C2029" s="25" t="inlineStr">
        <is>
          <t>Part 2 – Technical Systems</t>
        </is>
      </c>
      <c r="D2029" s="25" t="inlineStr">
        <is>
          <t>2.7 PRIVATE CLOUD TECHNICAL INFRASTRUCTURE</t>
        </is>
      </c>
      <c r="E2029" s="25" t="inlineStr">
        <is>
          <t>2.7.6 SECURITY</t>
        </is>
      </c>
      <c r="F2029" s="25" t="inlineStr">
        <is>
          <t>Model integrity verification</t>
        </is>
      </c>
      <c r="G2029" s="19" t="n"/>
      <c r="H2029" s="20" t="n"/>
      <c r="I2029" s="20" t="n"/>
      <c r="J2029" s="19" t="n"/>
      <c r="K2029" s="21" t="n"/>
      <c r="L2029" s="22">
        <f>IF(OR(J2029="",K2029=""),"",J2029*K2029)</f>
        <v/>
      </c>
      <c r="M2029" s="19" t="n"/>
      <c r="N2029" s="20" t="n"/>
      <c r="O2029" s="20" t="n"/>
    </row>
    <row r="2030">
      <c r="A2030" s="16" t="n">
        <v>2027</v>
      </c>
      <c r="B2030" s="16" t="inlineStr">
        <is>
          <t>2.7.6.11.2</t>
        </is>
      </c>
      <c r="C2030" s="18" t="inlineStr">
        <is>
          <t>Part 2 – Technical Systems</t>
        </is>
      </c>
      <c r="D2030" s="18" t="inlineStr">
        <is>
          <t>2.7 PRIVATE CLOUD TECHNICAL INFRASTRUCTURE</t>
        </is>
      </c>
      <c r="E2030" s="18" t="inlineStr">
        <is>
          <t>2.7.6 SECURITY</t>
        </is>
      </c>
      <c r="F2030" s="18" t="inlineStr">
        <is>
          <t>Adversarial input detection</t>
        </is>
      </c>
      <c r="G2030" s="19" t="n"/>
      <c r="H2030" s="20" t="n"/>
      <c r="I2030" s="20" t="n"/>
      <c r="J2030" s="19" t="n"/>
      <c r="K2030" s="21" t="n"/>
      <c r="L2030" s="22">
        <f>IF(OR(J2030="",K2030=""),"",J2030*K2030)</f>
        <v/>
      </c>
      <c r="M2030" s="19" t="n"/>
      <c r="N2030" s="20" t="n"/>
      <c r="O2030" s="20" t="n"/>
    </row>
    <row r="2031">
      <c r="A2031" s="23" t="n">
        <v>2028</v>
      </c>
      <c r="B2031" s="23" t="inlineStr">
        <is>
          <t>2.7.6.11.3</t>
        </is>
      </c>
      <c r="C2031" s="25" t="inlineStr">
        <is>
          <t>Part 2 – Technical Systems</t>
        </is>
      </c>
      <c r="D2031" s="25" t="inlineStr">
        <is>
          <t>2.7 PRIVATE CLOUD TECHNICAL INFRASTRUCTURE</t>
        </is>
      </c>
      <c r="E2031" s="25" t="inlineStr">
        <is>
          <t>2.7.6 SECURITY</t>
        </is>
      </c>
      <c r="F2031" s="25" t="inlineStr">
        <is>
          <t>Training data poisoning prevention</t>
        </is>
      </c>
      <c r="G2031" s="19" t="n"/>
      <c r="H2031" s="20" t="n"/>
      <c r="I2031" s="20" t="n"/>
      <c r="J2031" s="19" t="n"/>
      <c r="K2031" s="21" t="n"/>
      <c r="L2031" s="22">
        <f>IF(OR(J2031="",K2031=""),"",J2031*K2031)</f>
        <v/>
      </c>
      <c r="M2031" s="19" t="n"/>
      <c r="N2031" s="20" t="n"/>
      <c r="O2031" s="20" t="n"/>
    </row>
    <row r="2032">
      <c r="A2032" s="16" t="n">
        <v>2029</v>
      </c>
      <c r="B2032" s="16" t="inlineStr">
        <is>
          <t>2.7.6.11.4</t>
        </is>
      </c>
      <c r="C2032" s="18" t="inlineStr">
        <is>
          <t>Part 2 – Technical Systems</t>
        </is>
      </c>
      <c r="D2032" s="18" t="inlineStr">
        <is>
          <t>2.7 PRIVATE CLOUD TECHNICAL INFRASTRUCTURE</t>
        </is>
      </c>
      <c r="E2032" s="18" t="inlineStr">
        <is>
          <t>2.7.6 SECURITY</t>
        </is>
      </c>
      <c r="F2032" s="18" t="inlineStr">
        <is>
          <t>Secure deployment pipeline</t>
        </is>
      </c>
      <c r="G2032" s="19" t="n"/>
      <c r="H2032" s="20" t="n"/>
      <c r="I2032" s="20" t="n"/>
      <c r="J2032" s="19" t="n"/>
      <c r="K2032" s="21" t="n"/>
      <c r="L2032" s="22">
        <f>IF(OR(J2032="",K2032=""),"",J2032*K2032)</f>
        <v/>
      </c>
      <c r="M2032" s="19" t="n"/>
      <c r="N2032" s="20" t="n"/>
      <c r="O2032" s="20" t="n"/>
    </row>
    <row r="2033">
      <c r="A2033" s="23" t="n">
        <v>2030</v>
      </c>
      <c r="B2033" s="24" t="inlineStr">
        <is>
          <t>2.7.6.12</t>
        </is>
      </c>
      <c r="C2033" s="25" t="inlineStr">
        <is>
          <t>Part 2 – Technical Systems</t>
        </is>
      </c>
      <c r="D2033" s="25" t="inlineStr">
        <is>
          <t>2.7 PRIVATE CLOUD TECHNICAL INFRASTRUCTURE</t>
        </is>
      </c>
      <c r="E2033" s="25" t="inlineStr">
        <is>
          <t>2.7.6 SECURITY</t>
        </is>
      </c>
      <c r="F2033" s="25" t="inlineStr">
        <is>
          <t>The CONTRACTOR shall design the security protection such that the protection is both extendable/customizable and prevents users from avoiding the protection (or shutting it off).</t>
        </is>
      </c>
      <c r="G2033" s="19" t="n"/>
      <c r="H2033" s="20" t="n"/>
      <c r="I2033" s="20" t="n"/>
      <c r="J2033" s="19" t="n"/>
      <c r="K2033" s="21" t="n"/>
      <c r="L2033" s="22">
        <f>IF(OR(J2033="",K2033=""),"",J2033*K2033)</f>
        <v/>
      </c>
      <c r="M2033" s="19" t="n"/>
      <c r="N2033" s="20" t="n"/>
      <c r="O2033" s="20" t="n"/>
    </row>
    <row r="2034">
      <c r="A2034" s="16" t="n">
        <v>2031</v>
      </c>
      <c r="B2034" s="17" t="inlineStr">
        <is>
          <t>2.7.6.13</t>
        </is>
      </c>
      <c r="C2034" s="18" t="inlineStr">
        <is>
          <t>Part 2 – Technical Systems</t>
        </is>
      </c>
      <c r="D2034" s="18" t="inlineStr">
        <is>
          <t>2.7 PRIVATE CLOUD TECHNICAL INFRASTRUCTURE</t>
        </is>
      </c>
      <c r="E2034" s="18" t="inlineStr">
        <is>
          <t>2.7.6 SECURITY</t>
        </is>
      </c>
      <c r="F2034" s="18" t="inlineStr">
        <is>
          <t>The security solution shall be configured by the CONTRACTOR to provide alerts to the system management tool based on different parameters exceeding predefined thresholds.</t>
        </is>
      </c>
      <c r="G2034" s="19" t="n"/>
      <c r="H2034" s="20" t="n"/>
      <c r="I2034" s="20" t="n"/>
      <c r="J2034" s="19" t="n"/>
      <c r="K2034" s="21" t="n"/>
      <c r="L2034" s="22">
        <f>IF(OR(J2034="",K2034=""),"",J2034*K2034)</f>
        <v/>
      </c>
      <c r="M2034" s="19" t="n"/>
      <c r="N2034" s="20" t="n"/>
      <c r="O2034" s="20" t="n"/>
    </row>
    <row r="2035">
      <c r="A2035" s="23" t="n">
        <v>2032</v>
      </c>
      <c r="B2035" s="24" t="inlineStr">
        <is>
          <t>2.7.6.14</t>
        </is>
      </c>
      <c r="C2035" s="25" t="inlineStr">
        <is>
          <t>Part 2 – Technical Systems</t>
        </is>
      </c>
      <c r="D2035" s="25" t="inlineStr">
        <is>
          <t>2.7 PRIVATE CLOUD TECHNICAL INFRASTRUCTURE</t>
        </is>
      </c>
      <c r="E2035" s="25" t="inlineStr">
        <is>
          <t>2.7.6 SECURITY</t>
        </is>
      </c>
      <c r="F2035" s="25" t="inlineStr">
        <is>
          <t>The CONTRACTOR shall remove all unnecessary protocols from all devices.</t>
        </is>
      </c>
      <c r="G2035" s="19" t="n"/>
      <c r="H2035" s="20" t="n"/>
      <c r="I2035" s="20" t="n"/>
      <c r="J2035" s="19" t="n"/>
      <c r="K2035" s="21" t="n"/>
      <c r="L2035" s="22">
        <f>IF(OR(J2035="",K2035=""),"",J2035*K2035)</f>
        <v/>
      </c>
      <c r="M2035" s="19" t="n"/>
      <c r="N2035" s="20" t="n"/>
      <c r="O2035" s="20" t="n"/>
    </row>
    <row r="2036">
      <c r="A2036" s="16" t="n">
        <v>2033</v>
      </c>
      <c r="B2036" s="17" t="inlineStr">
        <is>
          <t>2.7.6.15</t>
        </is>
      </c>
      <c r="C2036" s="18" t="inlineStr">
        <is>
          <t>Part 2 – Technical Systems</t>
        </is>
      </c>
      <c r="D2036" s="18" t="inlineStr">
        <is>
          <t>2.7 PRIVATE CLOUD TECHNICAL INFRASTRUCTURE</t>
        </is>
      </c>
      <c r="E2036" s="18" t="inlineStr">
        <is>
          <t>2.7.6 SECURITY</t>
        </is>
      </c>
      <c r="F2036" s="18" t="inlineStr">
        <is>
          <t>The CONTRACTOR shall configure the network equipment to close inactive sessions.</t>
        </is>
      </c>
      <c r="G2036" s="19" t="n"/>
      <c r="H2036" s="20" t="n"/>
      <c r="I2036" s="20" t="n"/>
      <c r="J2036" s="19" t="n"/>
      <c r="K2036" s="21" t="n"/>
      <c r="L2036" s="22">
        <f>IF(OR(J2036="",K2036=""),"",J2036*K2036)</f>
        <v/>
      </c>
      <c r="M2036" s="19" t="n"/>
      <c r="N2036" s="20" t="n"/>
      <c r="O2036" s="20" t="n"/>
    </row>
    <row r="2037">
      <c r="A2037" s="23" t="n">
        <v>2034</v>
      </c>
      <c r="B2037" s="24" t="inlineStr">
        <is>
          <t>2.7.6.16</t>
        </is>
      </c>
      <c r="C2037" s="25" t="inlineStr">
        <is>
          <t>Part 2 – Technical Systems</t>
        </is>
      </c>
      <c r="D2037" s="25" t="inlineStr">
        <is>
          <t>2.7 PRIVATE CLOUD TECHNICAL INFRASTRUCTURE</t>
        </is>
      </c>
      <c r="E2037" s="25" t="inlineStr">
        <is>
          <t>2.7.6 SECURITY</t>
        </is>
      </c>
      <c r="F2037" s="25" t="inlineStr">
        <is>
          <t>The CONTRACTOR shall configure the security solution with policy-based auditing of all OSS911 applications and systems to produce logs of all activities such that these logs can be analyzed with CONTRACTOR supplied tools for monitoring, alerting and reporting.</t>
        </is>
      </c>
      <c r="G2037" s="19" t="n"/>
      <c r="H2037" s="20" t="n"/>
      <c r="I2037" s="20" t="n"/>
      <c r="J2037" s="19" t="n"/>
      <c r="K2037" s="21" t="n"/>
      <c r="L2037" s="22">
        <f>IF(OR(J2037="",K2037=""),"",J2037*K2037)</f>
        <v/>
      </c>
      <c r="M2037" s="19" t="n"/>
      <c r="N2037" s="20" t="n"/>
      <c r="O2037" s="20" t="n"/>
    </row>
    <row r="2038">
      <c r="A2038" s="16" t="n">
        <v>2035</v>
      </c>
      <c r="B2038" s="17" t="inlineStr">
        <is>
          <t>2.7.6.17</t>
        </is>
      </c>
      <c r="C2038" s="18" t="inlineStr">
        <is>
          <t>Part 2 – Technical Systems</t>
        </is>
      </c>
      <c r="D2038" s="18" t="inlineStr">
        <is>
          <t>2.7 PRIVATE CLOUD TECHNICAL INFRASTRUCTURE</t>
        </is>
      </c>
      <c r="E2038" s="18" t="inlineStr">
        <is>
          <t>2.7.6 SECURITY</t>
        </is>
      </c>
      <c r="F2038" s="18" t="inlineStr">
        <is>
          <t>An antivirus solution shall be provided by the CONTRACTOR that shall be capable of monitoring, alerting and reporting on the status including the status of virus definitions being up-to-date</t>
        </is>
      </c>
      <c r="G2038" s="19" t="n"/>
      <c r="H2038" s="20" t="n"/>
      <c r="I2038" s="20" t="n"/>
      <c r="J2038" s="19" t="n"/>
      <c r="K2038" s="21" t="n"/>
      <c r="L2038" s="22">
        <f>IF(OR(J2038="",K2038=""),"",J2038*K2038)</f>
        <v/>
      </c>
      <c r="M2038" s="19" t="n"/>
      <c r="N2038" s="20" t="n"/>
      <c r="O2038" s="20" t="n"/>
    </row>
    <row r="2039">
      <c r="A2039" s="23" t="n">
        <v>2036</v>
      </c>
      <c r="B2039" s="24" t="inlineStr">
        <is>
          <t>2.7.6.18</t>
        </is>
      </c>
      <c r="C2039" s="25" t="inlineStr">
        <is>
          <t>Part 2 – Technical Systems</t>
        </is>
      </c>
      <c r="D2039" s="25" t="inlineStr">
        <is>
          <t>2.7 PRIVATE CLOUD TECHNICAL INFRASTRUCTURE</t>
        </is>
      </c>
      <c r="E2039" s="25" t="inlineStr">
        <is>
          <t>2.7.6 SECURITY</t>
        </is>
      </c>
      <c r="F2039" s="25" t="inlineStr">
        <is>
          <t>An anti-virus client license shall be delivered for each computer and server delivered under this RFP, using volume licensing method.</t>
        </is>
      </c>
      <c r="G2039" s="19" t="n"/>
      <c r="H2039" s="20" t="n"/>
      <c r="I2039" s="20" t="n"/>
      <c r="J2039" s="19" t="n"/>
      <c r="K2039" s="21" t="n"/>
      <c r="L2039" s="22">
        <f>IF(OR(J2039="",K2039=""),"",J2039*K2039)</f>
        <v/>
      </c>
      <c r="M2039" s="19" t="n"/>
      <c r="N2039" s="20" t="n"/>
      <c r="O2039" s="20" t="n"/>
    </row>
    <row r="2040">
      <c r="A2040" s="16" t="n">
        <v>2037</v>
      </c>
      <c r="B2040" s="17" t="inlineStr">
        <is>
          <t>2.7.6.19</t>
        </is>
      </c>
      <c r="C2040" s="18" t="inlineStr">
        <is>
          <t>Part 2 – Technical Systems</t>
        </is>
      </c>
      <c r="D2040" s="18" t="inlineStr">
        <is>
          <t>2.7 PRIVATE CLOUD TECHNICAL INFRASTRUCTURE</t>
        </is>
      </c>
      <c r="E2040" s="18" t="inlineStr">
        <is>
          <t>2.7.6 SECURITY</t>
        </is>
      </c>
      <c r="F2040" s="18" t="inlineStr">
        <is>
          <t>The anti-virus system solution shall provide real-time protection against any virus attacks without compromising the performance.</t>
        </is>
      </c>
      <c r="G2040" s="19" t="n"/>
      <c r="H2040" s="20" t="n"/>
      <c r="I2040" s="20" t="n"/>
      <c r="J2040" s="19" t="n"/>
      <c r="K2040" s="21" t="n"/>
      <c r="L2040" s="22">
        <f>IF(OR(J2040="",K2040=""),"",J2040*K2040)</f>
        <v/>
      </c>
      <c r="M2040" s="19" t="n"/>
      <c r="N2040" s="20" t="n"/>
      <c r="O2040" s="20" t="n"/>
    </row>
    <row r="2041">
      <c r="A2041" s="23" t="n">
        <v>2038</v>
      </c>
      <c r="B2041" s="24" t="inlineStr">
        <is>
          <t>2.7.6.20</t>
        </is>
      </c>
      <c r="C2041" s="25" t="inlineStr">
        <is>
          <t>Part 2 – Technical Systems</t>
        </is>
      </c>
      <c r="D2041" s="25" t="inlineStr">
        <is>
          <t>2.7 PRIVATE CLOUD TECHNICAL INFRASTRUCTURE</t>
        </is>
      </c>
      <c r="E2041" s="25" t="inlineStr">
        <is>
          <t>2.7.6 SECURITY</t>
        </is>
      </c>
      <c r="F2041" s="25" t="inlineStr">
        <is>
          <t>Any item which is not a core component of the OSS911 project servers shall be physically separated by firewalls and proxies that are configured such that full protection is provided to critical services.</t>
        </is>
      </c>
      <c r="G2041" s="19" t="n"/>
      <c r="H2041" s="20" t="n"/>
      <c r="I2041" s="20" t="n"/>
      <c r="J2041" s="19" t="n"/>
      <c r="K2041" s="21" t="n"/>
      <c r="L2041" s="22">
        <f>IF(OR(J2041="",K2041=""),"",J2041*K2041)</f>
        <v/>
      </c>
      <c r="M2041" s="19" t="n"/>
      <c r="N2041" s="20" t="n"/>
      <c r="O2041" s="20" t="n"/>
    </row>
    <row r="2042">
      <c r="A2042" s="16" t="n">
        <v>2039</v>
      </c>
      <c r="B2042" s="17" t="inlineStr">
        <is>
          <t>2.7.6.21</t>
        </is>
      </c>
      <c r="C2042" s="18" t="inlineStr">
        <is>
          <t>Part 2 – Technical Systems</t>
        </is>
      </c>
      <c r="D2042" s="18" t="inlineStr">
        <is>
          <t>2.7 PRIVATE CLOUD TECHNICAL INFRASTRUCTURE</t>
        </is>
      </c>
      <c r="E2042" s="18" t="inlineStr">
        <is>
          <t>2.7.6 SECURITY</t>
        </is>
      </c>
      <c r="F2042" s="18" t="inlineStr">
        <is>
          <t>The CONTRACTOR shall implement next generation, FIPS or equivalent certified firewalls that are of two types – midrange firewall and entry range firewalls.</t>
        </is>
      </c>
      <c r="G2042" s="19" t="n"/>
      <c r="H2042" s="20" t="n"/>
      <c r="I2042" s="20" t="n"/>
      <c r="J2042" s="19" t="n"/>
      <c r="K2042" s="21" t="n"/>
      <c r="L2042" s="22">
        <f>IF(OR(J2042="",K2042=""),"",J2042*K2042)</f>
        <v/>
      </c>
      <c r="M2042" s="19" t="n"/>
      <c r="N2042" s="20" t="n"/>
      <c r="O2042" s="20" t="n"/>
    </row>
    <row r="2043">
      <c r="A2043" s="23" t="n">
        <v>2040</v>
      </c>
      <c r="B2043" s="24" t="inlineStr">
        <is>
          <t>2.7.6.22</t>
        </is>
      </c>
      <c r="C2043" s="25" t="inlineStr">
        <is>
          <t>Part 2 – Technical Systems</t>
        </is>
      </c>
      <c r="D2043" s="25" t="inlineStr">
        <is>
          <t>2.7 PRIVATE CLOUD TECHNICAL INFRASTRUCTURE</t>
        </is>
      </c>
      <c r="E2043" s="25" t="inlineStr">
        <is>
          <t>2.7.6 SECURITY</t>
        </is>
      </c>
      <c r="F2043" s="25" t="inlineStr">
        <is>
          <t>Mid-range firewalls shall have at least 16*GE RJ45 ports, 6*GE SFP ports, 6*10GE SFP ports with 16G Memory, 30Mpps throughput at least.</t>
        </is>
      </c>
      <c r="G2043" s="19" t="n"/>
      <c r="H2043" s="20" t="n"/>
      <c r="I2043" s="20" t="n"/>
      <c r="J2043" s="19" t="n"/>
      <c r="K2043" s="21" t="n"/>
      <c r="L2043" s="22">
        <f>IF(OR(J2043="",K2043=""),"",J2043*K2043)</f>
        <v/>
      </c>
      <c r="M2043" s="19" t="n"/>
      <c r="N2043" s="20" t="n"/>
      <c r="O2043" s="20" t="n"/>
    </row>
    <row r="2044">
      <c r="A2044" s="16" t="n">
        <v>2041</v>
      </c>
      <c r="B2044" s="17" t="inlineStr">
        <is>
          <t>2.7.6.23</t>
        </is>
      </c>
      <c r="C2044" s="18" t="inlineStr">
        <is>
          <t>Part 2 – Technical Systems</t>
        </is>
      </c>
      <c r="D2044" s="18" t="inlineStr">
        <is>
          <t>2.7 PRIVATE CLOUD TECHNICAL INFRASTRUCTURE</t>
        </is>
      </c>
      <c r="E2044" s="18" t="inlineStr">
        <is>
          <t>2.7.6 SECURITY</t>
        </is>
      </c>
      <c r="F2044" s="18" t="inlineStr">
        <is>
          <t>All firewalls shall be modular, hardware appliance-based and shall be configured in load sharing and load balancing mode providing stateful failover.</t>
        </is>
      </c>
      <c r="G2044" s="19" t="n"/>
      <c r="H2044" s="20" t="n"/>
      <c r="I2044" s="20" t="n"/>
      <c r="J2044" s="19" t="n"/>
      <c r="K2044" s="21" t="n"/>
      <c r="L2044" s="22">
        <f>IF(OR(J2044="",K2044=""),"",J2044*K2044)</f>
        <v/>
      </c>
      <c r="M2044" s="19" t="n"/>
      <c r="N2044" s="20" t="n"/>
      <c r="O2044" s="20" t="n"/>
    </row>
    <row r="2045">
      <c r="A2045" s="23" t="n">
        <v>2042</v>
      </c>
      <c r="B2045" s="23" t="inlineStr">
        <is>
          <t>2.7.6.23.1</t>
        </is>
      </c>
      <c r="C2045" s="25" t="inlineStr">
        <is>
          <t>Part 2 – Technical Systems</t>
        </is>
      </c>
      <c r="D2045" s="25" t="inlineStr">
        <is>
          <t>2.7 PRIVATE CLOUD TECHNICAL INFRASTRUCTURE</t>
        </is>
      </c>
      <c r="E2045" s="25" t="inlineStr">
        <is>
          <t>2.7.6 SECURITY</t>
        </is>
      </c>
      <c r="F2045" s="25" t="inlineStr">
        <is>
          <t>Firewalls within a DMZ shall be from different vendors.</t>
        </is>
      </c>
      <c r="G2045" s="19" t="n"/>
      <c r="H2045" s="20" t="n"/>
      <c r="I2045" s="20" t="n"/>
      <c r="J2045" s="19" t="n"/>
      <c r="K2045" s="21" t="n"/>
      <c r="L2045" s="22">
        <f>IF(OR(J2045="",K2045=""),"",J2045*K2045)</f>
        <v/>
      </c>
      <c r="M2045" s="19" t="n"/>
      <c r="N2045" s="20" t="n"/>
      <c r="O2045" s="20" t="n"/>
    </row>
    <row r="2046">
      <c r="A2046" s="16" t="n">
        <v>2043</v>
      </c>
      <c r="B2046" s="16" t="inlineStr">
        <is>
          <t>2.7.6.23.2</t>
        </is>
      </c>
      <c r="C2046" s="18" t="inlineStr">
        <is>
          <t>Part 2 – Technical Systems</t>
        </is>
      </c>
      <c r="D2046" s="18" t="inlineStr">
        <is>
          <t>2.7 PRIVATE CLOUD TECHNICAL INFRASTRUCTURE</t>
        </is>
      </c>
      <c r="E2046" s="18" t="inlineStr">
        <is>
          <t>2.7.6 SECURITY</t>
        </is>
      </c>
      <c r="F2046" s="18" t="inlineStr">
        <is>
          <t>Firewalls shall support MD-5 and SHA-1 authentication.</t>
        </is>
      </c>
      <c r="G2046" s="19" t="n"/>
      <c r="H2046" s="20" t="n"/>
      <c r="I2046" s="20" t="n"/>
      <c r="J2046" s="19" t="n"/>
      <c r="K2046" s="21" t="n"/>
      <c r="L2046" s="22">
        <f>IF(OR(J2046="",K2046=""),"",J2046*K2046)</f>
        <v/>
      </c>
      <c r="M2046" s="19" t="n"/>
      <c r="N2046" s="20" t="n"/>
      <c r="O2046" s="20" t="n"/>
    </row>
    <row r="2047">
      <c r="A2047" s="23" t="n">
        <v>2044</v>
      </c>
      <c r="B2047" s="24" t="inlineStr">
        <is>
          <t>2.7.6.24</t>
        </is>
      </c>
      <c r="C2047" s="25" t="inlineStr">
        <is>
          <t>Part 2 – Technical Systems</t>
        </is>
      </c>
      <c r="D2047" s="25" t="inlineStr">
        <is>
          <t>2.7 PRIVATE CLOUD TECHNICAL INFRASTRUCTURE</t>
        </is>
      </c>
      <c r="E2047" s="25" t="inlineStr">
        <is>
          <t>2.7.6 SECURITY</t>
        </is>
      </c>
      <c r="F2047" s="25" t="inlineStr">
        <is>
          <t>The CONTRACTOR shall deliver a VPN solution with multifactor authentication as part of the firewall solution for secure remote access to OSS911 solutions by authorized users.</t>
        </is>
      </c>
      <c r="G2047" s="19" t="n"/>
      <c r="H2047" s="20" t="n"/>
      <c r="I2047" s="20" t="n"/>
      <c r="J2047" s="19" t="n"/>
      <c r="K2047" s="21" t="n"/>
      <c r="L2047" s="22">
        <f>IF(OR(J2047="",K2047=""),"",J2047*K2047)</f>
        <v/>
      </c>
      <c r="M2047" s="19" t="n"/>
      <c r="N2047" s="20" t="n"/>
      <c r="O2047" s="20" t="n"/>
    </row>
    <row r="2048">
      <c r="A2048" s="16" t="n">
        <v>2045</v>
      </c>
      <c r="B2048" s="17" t="inlineStr">
        <is>
          <t>2.7.6.25</t>
        </is>
      </c>
      <c r="C2048" s="18" t="inlineStr">
        <is>
          <t>Part 2 – Technical Systems</t>
        </is>
      </c>
      <c r="D2048" s="18" t="inlineStr">
        <is>
          <t>2.7 PRIVATE CLOUD TECHNICAL INFRASTRUCTURE</t>
        </is>
      </c>
      <c r="E2048" s="18" t="inlineStr">
        <is>
          <t>2.7.6 SECURITY</t>
        </is>
      </c>
      <c r="F2048" s="18" t="inlineStr">
        <is>
          <t>The CONTRACTOR shall implement Web Application Firewall “WAF” with HA cluster and a sandbox that are compatible with the installed firewalls.</t>
        </is>
      </c>
      <c r="G2048" s="19" t="n"/>
      <c r="H2048" s="20" t="n"/>
      <c r="I2048" s="20" t="n"/>
      <c r="J2048" s="19" t="n"/>
      <c r="K2048" s="21" t="n"/>
      <c r="L2048" s="22">
        <f>IF(OR(J2048="",K2048=""),"",J2048*K2048)</f>
        <v/>
      </c>
      <c r="M2048" s="19" t="n"/>
      <c r="N2048" s="20" t="n"/>
      <c r="O2048" s="20" t="n"/>
    </row>
    <row r="2049">
      <c r="A2049" s="23" t="n">
        <v>2046</v>
      </c>
      <c r="B2049" s="24" t="inlineStr">
        <is>
          <t>2.7.6.26</t>
        </is>
      </c>
      <c r="C2049" s="25" t="inlineStr">
        <is>
          <t>Part 2 – Technical Systems</t>
        </is>
      </c>
      <c r="D2049" s="25" t="inlineStr">
        <is>
          <t>2.7 PRIVATE CLOUD TECHNICAL INFRASTRUCTURE</t>
        </is>
      </c>
      <c r="E2049" s="25" t="inlineStr">
        <is>
          <t>2.7.6 SECURITY</t>
        </is>
      </c>
      <c r="F2049" s="25" t="inlineStr">
        <is>
          <t>The CONTRACTOR shall install a vulnerability scanner that is compatible with the installed firewalls, WAF and Sandbox.</t>
        </is>
      </c>
      <c r="G2049" s="19" t="n"/>
      <c r="H2049" s="20" t="n"/>
      <c r="I2049" s="20" t="n"/>
      <c r="J2049" s="19" t="n"/>
      <c r="K2049" s="21" t="n"/>
      <c r="L2049" s="22">
        <f>IF(OR(J2049="",K2049=""),"",J2049*K2049)</f>
        <v/>
      </c>
      <c r="M2049" s="19" t="n"/>
      <c r="N2049" s="20" t="n"/>
      <c r="O2049" s="20" t="n"/>
    </row>
    <row r="2050">
      <c r="A2050" s="16" t="n">
        <v>2047</v>
      </c>
      <c r="B2050" s="17" t="inlineStr">
        <is>
          <t>2.7.6.27</t>
        </is>
      </c>
      <c r="C2050" s="18" t="inlineStr">
        <is>
          <t>Part 2 – Technical Systems</t>
        </is>
      </c>
      <c r="D2050" s="18" t="inlineStr">
        <is>
          <t>2.7 PRIVATE CLOUD TECHNICAL INFRASTRUCTURE</t>
        </is>
      </c>
      <c r="E2050" s="18" t="inlineStr">
        <is>
          <t>2.7.6 SECURITY</t>
        </is>
      </c>
      <c r="F2050" s="18" t="inlineStr">
        <is>
          <t>The CONTRACTOR shall integrate the firewalls, the WAFs, the Sandbox and the vulnerability scanner for a hardened security posture.</t>
        </is>
      </c>
      <c r="G2050" s="19" t="n"/>
      <c r="H2050" s="20" t="n"/>
      <c r="I2050" s="20" t="n"/>
      <c r="J2050" s="19" t="n"/>
      <c r="K2050" s="21" t="n"/>
      <c r="L2050" s="22">
        <f>IF(OR(J2050="",K2050=""),"",J2050*K2050)</f>
        <v/>
      </c>
      <c r="M2050" s="19" t="n"/>
      <c r="N2050" s="20" t="n"/>
      <c r="O2050" s="20" t="n"/>
    </row>
    <row r="2051">
      <c r="A2051" s="23" t="n">
        <v>2048</v>
      </c>
      <c r="B2051" s="24" t="inlineStr">
        <is>
          <t>2.7.6.28</t>
        </is>
      </c>
      <c r="C2051" s="25" t="inlineStr">
        <is>
          <t>Part 2 – Technical Systems</t>
        </is>
      </c>
      <c r="D2051" s="25" t="inlineStr">
        <is>
          <t>2.7 PRIVATE CLOUD TECHNICAL INFRASTRUCTURE</t>
        </is>
      </c>
      <c r="E2051" s="25" t="inlineStr">
        <is>
          <t>2.7.6 SECURITY</t>
        </is>
      </c>
      <c r="F2051" s="25" t="inlineStr">
        <is>
          <t>The CONTRACTOR shall implement security solutions delivering the following features unless a feature is agreed with the MOI to be not applicable to the OSS911 solutions:</t>
        </is>
      </c>
      <c r="G2051" s="19" t="n"/>
      <c r="H2051" s="20" t="n"/>
      <c r="I2051" s="20" t="n"/>
      <c r="J2051" s="19" t="n"/>
      <c r="K2051" s="21" t="n"/>
      <c r="L2051" s="22">
        <f>IF(OR(J2051="",K2051=""),"",J2051*K2051)</f>
        <v/>
      </c>
      <c r="M2051" s="19" t="n"/>
      <c r="N2051" s="20" t="n"/>
      <c r="O2051" s="20" t="n"/>
    </row>
    <row r="2052">
      <c r="A2052" s="16" t="n">
        <v>2049</v>
      </c>
      <c r="B2052" s="16" t="inlineStr">
        <is>
          <t>2.7.6.28.1</t>
        </is>
      </c>
      <c r="C2052" s="18" t="inlineStr">
        <is>
          <t>Part 2 – Technical Systems</t>
        </is>
      </c>
      <c r="D2052" s="18" t="inlineStr">
        <is>
          <t>2.7 PRIVATE CLOUD TECHNICAL INFRASTRUCTURE</t>
        </is>
      </c>
      <c r="E2052" s="18" t="inlineStr">
        <is>
          <t>2.7.6 SECURITY</t>
        </is>
      </c>
      <c r="F2052" s="18" t="inlineStr">
        <is>
          <t>Web Security a. Automatic profiling (white list) b. Web server and application signatures (black list) c. IP Reputation d. IP Geolocation e. HTTP RFC compliance f. Native support for HTTP/2 g. OpenAPI 3.0 verification h. WebSocket protection and signature enforcement i. Man in the Browser (MiTB) protection j. AI-based machine learning</t>
        </is>
      </c>
      <c r="G2052" s="19" t="n"/>
      <c r="H2052" s="20" t="n"/>
      <c r="I2052" s="20" t="n"/>
      <c r="J2052" s="19" t="n"/>
      <c r="K2052" s="21" t="n"/>
      <c r="L2052" s="22">
        <f>IF(OR(J2052="",K2052=""),"",J2052*K2052)</f>
        <v/>
      </c>
      <c r="M2052" s="19" t="n"/>
      <c r="N2052" s="20" t="n"/>
      <c r="O2052" s="20" t="n"/>
    </row>
    <row r="2053">
      <c r="A2053" s="23" t="n">
        <v>2050</v>
      </c>
      <c r="B2053" s="23" t="inlineStr">
        <is>
          <t>2.7.6.28.2</t>
        </is>
      </c>
      <c r="C2053" s="25" t="inlineStr">
        <is>
          <t>Part 2 – Technical Systems</t>
        </is>
      </c>
      <c r="D2053" s="25" t="inlineStr">
        <is>
          <t>2.7 PRIVATE CLOUD TECHNICAL INFRASTRUCTURE</t>
        </is>
      </c>
      <c r="E2053" s="25" t="inlineStr">
        <is>
          <t>2.7.6 SECURITY</t>
        </is>
      </c>
      <c r="F2053" s="25" t="inlineStr">
        <is>
          <t>Application Attack Protection a. OWASP Top 10 b. Cross Site Scripting c. SQL Injection d. Cross Site Request Forgery e. Session Hijacking f. Built-in Vulnerability Scanner g. Third-party scanner integration (virtual patching) h. File upload scanning with AV and sandbox</t>
        </is>
      </c>
      <c r="G2053" s="19" t="n"/>
      <c r="H2053" s="20" t="n"/>
      <c r="I2053" s="20" t="n"/>
      <c r="J2053" s="19" t="n"/>
      <c r="K2053" s="21" t="n"/>
      <c r="L2053" s="22">
        <f>IF(OR(J2053="",K2053=""),"",J2053*K2053)</f>
        <v/>
      </c>
      <c r="M2053" s="19" t="n"/>
      <c r="N2053" s="20" t="n"/>
      <c r="O2053" s="20" t="n"/>
    </row>
    <row r="2054">
      <c r="A2054" s="16" t="n">
        <v>2051</v>
      </c>
      <c r="B2054" s="16" t="inlineStr">
        <is>
          <t>2.7.6.28.3</t>
        </is>
      </c>
      <c r="C2054" s="18" t="inlineStr">
        <is>
          <t>Part 2 – Technical Systems</t>
        </is>
      </c>
      <c r="D2054" s="18" t="inlineStr">
        <is>
          <t>2.7 PRIVATE CLOUD TECHNICAL INFRASTRUCTURE</t>
        </is>
      </c>
      <c r="E2054" s="18" t="inlineStr">
        <is>
          <t>2.7.6 SECURITY</t>
        </is>
      </c>
      <c r="F2054" s="18" t="inlineStr">
        <is>
          <t>Security Services a. Web services signatures b. XML and JSON protocol conformance c. Malware detection d. Virtual patching e. Protocol validation f. Brute force protection g. Cookie signing and encryption h. Threat scoring and weighting i. Syntax-based SQLi detection j. HTTP Header Security k. Custom error message and error code handling l. Operating system intrusion signatures m. Known threat and zero-day attack protection n. L4 Stateful Network Firewall o. DoS prevention p. Advanced correlation protection using multiple security elements q. Data leak prevention r. Web Defacement Protection</t>
        </is>
      </c>
      <c r="G2054" s="19" t="n"/>
      <c r="H2054" s="20" t="n"/>
      <c r="I2054" s="20" t="n"/>
      <c r="J2054" s="19" t="n"/>
      <c r="K2054" s="21" t="n"/>
      <c r="L2054" s="22">
        <f>IF(OR(J2054="",K2054=""),"",J2054*K2054)</f>
        <v/>
      </c>
      <c r="M2054" s="19" t="n"/>
      <c r="N2054" s="20" t="n"/>
      <c r="O2054" s="20" t="n"/>
    </row>
    <row r="2055">
      <c r="A2055" s="23" t="n">
        <v>2052</v>
      </c>
      <c r="B2055" s="23" t="inlineStr">
        <is>
          <t>2.7.6.28.4</t>
        </is>
      </c>
      <c r="C2055" s="25" t="inlineStr">
        <is>
          <t>Part 2 – Technical Systems</t>
        </is>
      </c>
      <c r="D2055" s="25" t="inlineStr">
        <is>
          <t>2.7 PRIVATE CLOUD TECHNICAL INFRASTRUCTURE</t>
        </is>
      </c>
      <c r="E2055" s="25" t="inlineStr">
        <is>
          <t>2.7.6 SECURITY</t>
        </is>
      </c>
      <c r="F2055" s="25" t="inlineStr">
        <is>
          <t>Application Delivery a. Layer 7 server load balancing b. URL Rewriting c. Content Routing d. HTTPS/SSL Offloading e. HTTP Compression f. Caching</t>
        </is>
      </c>
      <c r="G2055" s="19" t="n"/>
      <c r="H2055" s="20" t="n"/>
      <c r="I2055" s="20" t="n"/>
      <c r="J2055" s="19" t="n"/>
      <c r="K2055" s="21" t="n"/>
      <c r="L2055" s="22">
        <f>IF(OR(J2055="",K2055=""),"",J2055*K2055)</f>
        <v/>
      </c>
      <c r="M2055" s="19" t="n"/>
      <c r="N2055" s="20" t="n"/>
      <c r="O2055" s="20" t="n"/>
    </row>
    <row r="2056">
      <c r="A2056" s="16" t="n">
        <v>2053</v>
      </c>
      <c r="B2056" s="16" t="inlineStr">
        <is>
          <t>2.7.6.28.5</t>
        </is>
      </c>
      <c r="C2056" s="18" t="inlineStr">
        <is>
          <t>Part 2 – Technical Systems</t>
        </is>
      </c>
      <c r="D2056" s="18" t="inlineStr">
        <is>
          <t>2.7 PRIVATE CLOUD TECHNICAL INFRASTRUCTURE</t>
        </is>
      </c>
      <c r="E2056" s="18" t="inlineStr">
        <is>
          <t>2.7.6 SECURITY</t>
        </is>
      </c>
      <c r="F2056" s="18" t="inlineStr">
        <is>
          <t>Authentication a. Active and passive authentication b. Site Publishing and SSO c. RSA Access for 2-factor authentication d. LDAP, RADIUS, and SAML support e. SSL client certificate support f. CAPTCHA and Real Browser Enforcement (RBE)</t>
        </is>
      </c>
      <c r="G2056" s="19" t="n"/>
      <c r="H2056" s="20" t="n"/>
      <c r="I2056" s="20" t="n"/>
      <c r="J2056" s="19" t="n"/>
      <c r="K2056" s="21" t="n"/>
      <c r="L2056" s="22">
        <f>IF(OR(J2056="",K2056=""),"",J2056*K2056)</f>
        <v/>
      </c>
      <c r="M2056" s="19" t="n"/>
      <c r="N2056" s="20" t="n"/>
      <c r="O2056" s="20" t="n"/>
    </row>
    <row r="2057">
      <c r="A2057" s="23" t="n">
        <v>2054</v>
      </c>
      <c r="B2057" s="24" t="inlineStr">
        <is>
          <t>2.7.6.29</t>
        </is>
      </c>
      <c r="C2057" s="25" t="inlineStr">
        <is>
          <t>Part 2 – Technical Systems</t>
        </is>
      </c>
      <c r="D2057" s="25" t="inlineStr">
        <is>
          <t>2.7 PRIVATE CLOUD TECHNICAL INFRASTRUCTURE</t>
        </is>
      </c>
      <c r="E2057" s="25" t="inlineStr">
        <is>
          <t>2.7.6 SECURITY</t>
        </is>
      </c>
      <c r="F2057" s="25" t="inlineStr">
        <is>
          <t>The proposed vulnerability scanner shall provide the following:</t>
        </is>
      </c>
      <c r="G2057" s="19" t="n"/>
      <c r="H2057" s="20" t="n"/>
      <c r="I2057" s="20" t="n"/>
      <c r="J2057" s="19" t="n"/>
      <c r="K2057" s="21" t="n"/>
      <c r="L2057" s="22">
        <f>IF(OR(J2057="",K2057=""),"",J2057*K2057)</f>
        <v/>
      </c>
      <c r="M2057" s="19" t="n"/>
      <c r="N2057" s="20" t="n"/>
      <c r="O2057" s="20" t="n"/>
    </row>
    <row r="2058">
      <c r="A2058" s="16" t="n">
        <v>2055</v>
      </c>
      <c r="B2058" s="16" t="inlineStr">
        <is>
          <t>2.7.6.29.1</t>
        </is>
      </c>
      <c r="C2058" s="18" t="inlineStr">
        <is>
          <t>Part 2 – Technical Systems</t>
        </is>
      </c>
      <c r="D2058" s="18" t="inlineStr">
        <is>
          <t>2.7 PRIVATE CLOUD TECHNICAL INFRASTRUCTURE</t>
        </is>
      </c>
      <c r="E2058" s="18" t="inlineStr">
        <is>
          <t>2.7.6 SECURITY</t>
        </is>
      </c>
      <c r="F2058" s="18" t="inlineStr">
        <is>
          <t>Unlimited Web Scanning</t>
        </is>
      </c>
      <c r="G2058" s="19" t="n"/>
      <c r="H2058" s="20" t="n"/>
      <c r="I2058" s="20" t="n"/>
      <c r="J2058" s="19" t="n"/>
      <c r="K2058" s="21" t="n"/>
      <c r="L2058" s="22">
        <f>IF(OR(J2058="",K2058=""),"",J2058*K2058)</f>
        <v/>
      </c>
      <c r="M2058" s="19" t="n"/>
      <c r="N2058" s="20" t="n"/>
      <c r="O2058" s="20" t="n"/>
    </row>
    <row r="2059">
      <c r="A2059" s="23" t="n">
        <v>2056</v>
      </c>
      <c r="B2059" s="23" t="inlineStr">
        <is>
          <t>2.7.6.29.2</t>
        </is>
      </c>
      <c r="C2059" s="25" t="inlineStr">
        <is>
          <t>Part 2 – Technical Systems</t>
        </is>
      </c>
      <c r="D2059" s="25" t="inlineStr">
        <is>
          <t>2.7 PRIVATE CLOUD TECHNICAL INFRASTRUCTURE</t>
        </is>
      </c>
      <c r="E2059" s="25" t="inlineStr">
        <is>
          <t>2.7.6 SECURITY</t>
        </is>
      </c>
      <c r="F2059" s="25" t="inlineStr">
        <is>
          <t>DeepScan Crawler</t>
        </is>
      </c>
      <c r="G2059" s="19" t="n"/>
      <c r="H2059" s="20" t="n"/>
      <c r="I2059" s="20" t="n"/>
      <c r="J2059" s="19" t="n"/>
      <c r="K2059" s="21" t="n"/>
      <c r="L2059" s="22">
        <f>IF(OR(J2059="",K2059=""),"",J2059*K2059)</f>
        <v/>
      </c>
      <c r="M2059" s="19" t="n"/>
      <c r="N2059" s="20" t="n"/>
      <c r="O2059" s="20" t="n"/>
    </row>
    <row r="2060">
      <c r="A2060" s="16" t="n">
        <v>2057</v>
      </c>
      <c r="B2060" s="16" t="inlineStr">
        <is>
          <t>2.7.6.29.3</t>
        </is>
      </c>
      <c r="C2060" s="18" t="inlineStr">
        <is>
          <t>Part 2 – Technical Systems</t>
        </is>
      </c>
      <c r="D2060" s="18" t="inlineStr">
        <is>
          <t>2.7 PRIVATE CLOUD TECHNICAL INFRASTRUCTURE</t>
        </is>
      </c>
      <c r="E2060" s="18" t="inlineStr">
        <is>
          <t>2.7.6 SECURITY</t>
        </is>
      </c>
      <c r="F2060" s="18" t="inlineStr">
        <is>
          <t>Gray-box Vulnerability Testing</t>
        </is>
      </c>
      <c r="G2060" s="19" t="n"/>
      <c r="H2060" s="20" t="n"/>
      <c r="I2060" s="20" t="n"/>
      <c r="J2060" s="19" t="n"/>
      <c r="K2060" s="21" t="n"/>
      <c r="L2060" s="22">
        <f>IF(OR(J2060="",K2060=""),"",J2060*K2060)</f>
        <v/>
      </c>
      <c r="M2060" s="19" t="n"/>
      <c r="N2060" s="20" t="n"/>
      <c r="O2060" s="20" t="n"/>
    </row>
    <row r="2061">
      <c r="A2061" s="23" t="n">
        <v>2058</v>
      </c>
      <c r="B2061" s="23" t="inlineStr">
        <is>
          <t>2.7.6.29.4</t>
        </is>
      </c>
      <c r="C2061" s="25" t="inlineStr">
        <is>
          <t>Part 2 – Technical Systems</t>
        </is>
      </c>
      <c r="D2061" s="25" t="inlineStr">
        <is>
          <t>2.7 PRIVATE CLOUD TECHNICAL INFRASTRUCTURE</t>
        </is>
      </c>
      <c r="E2061" s="25" t="inlineStr">
        <is>
          <t>2.7.6 SECURITY</t>
        </is>
      </c>
      <c r="F2061" s="25" t="inlineStr">
        <is>
          <t>Out-of-band Vulnerability Testing</t>
        </is>
      </c>
      <c r="G2061" s="19" t="n"/>
      <c r="H2061" s="20" t="n"/>
      <c r="I2061" s="20" t="n"/>
      <c r="J2061" s="19" t="n"/>
      <c r="K2061" s="21" t="n"/>
      <c r="L2061" s="22">
        <f>IF(OR(J2061="",K2061=""),"",J2061*K2061)</f>
        <v/>
      </c>
      <c r="M2061" s="19" t="n"/>
      <c r="N2061" s="20" t="n"/>
      <c r="O2061" s="20" t="n"/>
    </row>
    <row r="2062">
      <c r="A2062" s="16" t="n">
        <v>2059</v>
      </c>
      <c r="B2062" s="16" t="inlineStr">
        <is>
          <t>2.7.6.29.5</t>
        </is>
      </c>
      <c r="C2062" s="18" t="inlineStr">
        <is>
          <t>Part 2 – Technical Systems</t>
        </is>
      </c>
      <c r="D2062" s="18" t="inlineStr">
        <is>
          <t>2.7 PRIVATE CLOUD TECHNICAL INFRASTRUCTURE</t>
        </is>
      </c>
      <c r="E2062" s="18" t="inlineStr">
        <is>
          <t>2.7.6 SECURITY</t>
        </is>
      </c>
      <c r="F2062" s="18" t="inlineStr">
        <is>
          <t>Login Sequence Recorder</t>
        </is>
      </c>
      <c r="G2062" s="19" t="n"/>
      <c r="H2062" s="20" t="n"/>
      <c r="I2062" s="20" t="n"/>
      <c r="J2062" s="19" t="n"/>
      <c r="K2062" s="21" t="n"/>
      <c r="L2062" s="22">
        <f>IF(OR(J2062="",K2062=""),"",J2062*K2062)</f>
        <v/>
      </c>
      <c r="M2062" s="19" t="n"/>
      <c r="N2062" s="20" t="n"/>
      <c r="O2062" s="20" t="n"/>
    </row>
    <row r="2063">
      <c r="A2063" s="23" t="n">
        <v>2060</v>
      </c>
      <c r="B2063" s="23" t="inlineStr">
        <is>
          <t>2.7.6.29.6</t>
        </is>
      </c>
      <c r="C2063" s="25" t="inlineStr">
        <is>
          <t>Part 2 – Technical Systems</t>
        </is>
      </c>
      <c r="D2063" s="25" t="inlineStr">
        <is>
          <t>2.7 PRIVATE CLOUD TECHNICAL INFRASTRUCTURE</t>
        </is>
      </c>
      <c r="E2063" s="25" t="inlineStr">
        <is>
          <t>2.7.6 SECURITY</t>
        </is>
      </c>
      <c r="F2063" s="25" t="inlineStr">
        <is>
          <t>Manual Intervention during Scan</t>
        </is>
      </c>
      <c r="G2063" s="19" t="n"/>
      <c r="H2063" s="20" t="n"/>
      <c r="I2063" s="20" t="n"/>
      <c r="J2063" s="19" t="n"/>
      <c r="K2063" s="21" t="n"/>
      <c r="L2063" s="22">
        <f>IF(OR(J2063="",K2063=""),"",J2063*K2063)</f>
        <v/>
      </c>
      <c r="M2063" s="19" t="n"/>
      <c r="N2063" s="20" t="n"/>
      <c r="O2063" s="20" t="n"/>
    </row>
    <row r="2064">
      <c r="A2064" s="16" t="n">
        <v>2061</v>
      </c>
      <c r="B2064" s="16" t="inlineStr">
        <is>
          <t>2.7.6.29.7</t>
        </is>
      </c>
      <c r="C2064" s="18" t="inlineStr">
        <is>
          <t>Part 2 – Technical Systems</t>
        </is>
      </c>
      <c r="D2064" s="18" t="inlineStr">
        <is>
          <t>2.7 PRIVATE CLOUD TECHNICAL INFRASTRUCTURE</t>
        </is>
      </c>
      <c r="E2064" s="18" t="inlineStr">
        <is>
          <t>2.7.6 SECURITY</t>
        </is>
      </c>
      <c r="F2064" s="18" t="inlineStr">
        <is>
          <t>Malware URL Detection</t>
        </is>
      </c>
      <c r="G2064" s="19" t="n"/>
      <c r="H2064" s="20" t="n"/>
      <c r="I2064" s="20" t="n"/>
      <c r="J2064" s="19" t="n"/>
      <c r="K2064" s="21" t="n"/>
      <c r="L2064" s="22">
        <f>IF(OR(J2064="",K2064=""),"",J2064*K2064)</f>
        <v/>
      </c>
      <c r="M2064" s="19" t="n"/>
      <c r="N2064" s="20" t="n"/>
      <c r="O2064" s="20" t="n"/>
    </row>
    <row r="2065">
      <c r="A2065" s="23" t="n">
        <v>2062</v>
      </c>
      <c r="B2065" s="23" t="inlineStr">
        <is>
          <t>2.7.6.29.8</t>
        </is>
      </c>
      <c r="C2065" s="25" t="inlineStr">
        <is>
          <t>Part 2 – Technical Systems</t>
        </is>
      </c>
      <c r="D2065" s="25" t="inlineStr">
        <is>
          <t>2.7 PRIVATE CLOUD TECHNICAL INFRASTRUCTURE</t>
        </is>
      </c>
      <c r="E2065" s="25" t="inlineStr">
        <is>
          <t>2.7.6 SECURITY</t>
        </is>
      </c>
      <c r="F2065" s="25" t="inlineStr">
        <is>
          <t>Manual Pen-testing Tool Suite</t>
        </is>
      </c>
      <c r="G2065" s="19" t="n"/>
      <c r="H2065" s="20" t="n"/>
      <c r="I2065" s="20" t="n"/>
      <c r="J2065" s="19" t="n"/>
      <c r="K2065" s="21" t="n"/>
      <c r="L2065" s="22">
        <f>IF(OR(J2065="",K2065=""),"",J2065*K2065)</f>
        <v/>
      </c>
      <c r="M2065" s="19" t="n"/>
      <c r="N2065" s="20" t="n"/>
      <c r="O2065" s="20" t="n"/>
    </row>
    <row r="2066">
      <c r="A2066" s="16" t="n">
        <v>2063</v>
      </c>
      <c r="B2066" s="16" t="inlineStr">
        <is>
          <t>2.7.6.29.9</t>
        </is>
      </c>
      <c r="C2066" s="18" t="inlineStr">
        <is>
          <t>Part 2 – Technical Systems</t>
        </is>
      </c>
      <c r="D2066" s="18" t="inlineStr">
        <is>
          <t>2.7 PRIVATE CLOUD TECHNICAL INFRASTRUCTURE</t>
        </is>
      </c>
      <c r="E2066" s="18" t="inlineStr">
        <is>
          <t>2.7.6 SECURITY</t>
        </is>
      </c>
      <c r="F2066" s="18" t="inlineStr">
        <is>
          <t>Scanning of Online Web Application Assets</t>
        </is>
      </c>
      <c r="G2066" s="19" t="n"/>
      <c r="H2066" s="20" t="n"/>
      <c r="I2066" s="20" t="n"/>
      <c r="J2066" s="19" t="n"/>
      <c r="K2066" s="21" t="n"/>
      <c r="L2066" s="22">
        <f>IF(OR(J2066="",K2066=""),"",J2066*K2066)</f>
        <v/>
      </c>
      <c r="M2066" s="19" t="n"/>
      <c r="N2066" s="20" t="n"/>
      <c r="O2066" s="20" t="n"/>
    </row>
    <row r="2067">
      <c r="A2067" s="23" t="n">
        <v>2064</v>
      </c>
      <c r="B2067" s="23" t="inlineStr">
        <is>
          <t>2.7.6.29.10</t>
        </is>
      </c>
      <c r="C2067" s="25" t="inlineStr">
        <is>
          <t>Part 2 – Technical Systems</t>
        </is>
      </c>
      <c r="D2067" s="25" t="inlineStr">
        <is>
          <t>2.7 PRIVATE CLOUD TECHNICAL INFRASTRUCTURE</t>
        </is>
      </c>
      <c r="E2067" s="25" t="inlineStr">
        <is>
          <t>2.7.6 SECURITY</t>
        </is>
      </c>
      <c r="F2067" s="25" t="inlineStr">
        <is>
          <t>Scanning of Internal Web Application assets</t>
        </is>
      </c>
      <c r="G2067" s="19" t="n"/>
      <c r="H2067" s="20" t="n"/>
      <c r="I2067" s="20" t="n"/>
      <c r="J2067" s="19" t="n"/>
      <c r="K2067" s="21" t="n"/>
      <c r="L2067" s="22">
        <f>IF(OR(J2067="",K2067=""),"",J2067*K2067)</f>
        <v/>
      </c>
      <c r="M2067" s="19" t="n"/>
      <c r="N2067" s="20" t="n"/>
      <c r="O2067" s="20" t="n"/>
    </row>
    <row r="2068">
      <c r="A2068" s="16" t="n">
        <v>2065</v>
      </c>
      <c r="B2068" s="16" t="inlineStr">
        <is>
          <t>2.7.6.29.11</t>
        </is>
      </c>
      <c r="C2068" s="18" t="inlineStr">
        <is>
          <t>Part 2 – Technical Systems</t>
        </is>
      </c>
      <c r="D2068" s="18" t="inlineStr">
        <is>
          <t>2.7 PRIVATE CLOUD TECHNICAL INFRASTRUCTURE</t>
        </is>
      </c>
      <c r="E2068" s="18" t="inlineStr">
        <is>
          <t>2.7.6 SECURITY</t>
        </is>
      </c>
      <c r="F2068" s="18" t="inlineStr">
        <is>
          <t>Key Reports (Affected Items, Quick, Developer, Executive)</t>
        </is>
      </c>
      <c r="G2068" s="19" t="n"/>
      <c r="H2068" s="20" t="n"/>
      <c r="I2068" s="20" t="n"/>
      <c r="J2068" s="19" t="n"/>
      <c r="K2068" s="21" t="n"/>
      <c r="L2068" s="22">
        <f>IF(OR(J2068="",K2068=""),"",J2068*K2068)</f>
        <v/>
      </c>
      <c r="M2068" s="19" t="n"/>
      <c r="N2068" s="20" t="n"/>
      <c r="O2068" s="20" t="n"/>
    </row>
    <row r="2069">
      <c r="A2069" s="23" t="n">
        <v>2066</v>
      </c>
      <c r="B2069" s="23" t="inlineStr">
        <is>
          <t>2.7.6.29.12</t>
        </is>
      </c>
      <c r="C2069" s="25" t="inlineStr">
        <is>
          <t>Part 2 – Technical Systems</t>
        </is>
      </c>
      <c r="D2069" s="25" t="inlineStr">
        <is>
          <t>2.7 PRIVATE CLOUD TECHNICAL INFRASTRUCTURE</t>
        </is>
      </c>
      <c r="E2069" s="25" t="inlineStr">
        <is>
          <t>2.7.6 SECURITY</t>
        </is>
      </c>
      <c r="F2069" s="25" t="inlineStr">
        <is>
          <t>OWASP TOP 10 Report</t>
        </is>
      </c>
      <c r="G2069" s="19" t="n"/>
      <c r="H2069" s="20" t="n"/>
      <c r="I2069" s="20" t="n"/>
      <c r="J2069" s="19" t="n"/>
      <c r="K2069" s="21" t="n"/>
      <c r="L2069" s="22">
        <f>IF(OR(J2069="",K2069=""),"",J2069*K2069)</f>
        <v/>
      </c>
      <c r="M2069" s="19" t="n"/>
      <c r="N2069" s="20" t="n"/>
      <c r="O2069" s="20" t="n"/>
    </row>
    <row r="2070">
      <c r="A2070" s="16" t="n">
        <v>2067</v>
      </c>
      <c r="B2070" s="16" t="inlineStr">
        <is>
          <t>2.7.6.29.13</t>
        </is>
      </c>
      <c r="C2070" s="18" t="inlineStr">
        <is>
          <t>Part 2 – Technical Systems</t>
        </is>
      </c>
      <c r="D2070" s="18" t="inlineStr">
        <is>
          <t>2.7 PRIVATE CLOUD TECHNICAL INFRASTRUCTURE</t>
        </is>
      </c>
      <c r="E2070" s="18" t="inlineStr">
        <is>
          <t>2.7.6 SECURITY</t>
        </is>
      </c>
      <c r="F2070" s="18" t="inlineStr">
        <is>
          <t>CVSS (Common Vulnerability Scoring System) for Severity</t>
        </is>
      </c>
      <c r="G2070" s="19" t="n"/>
      <c r="H2070" s="20" t="n"/>
      <c r="I2070" s="20" t="n"/>
      <c r="J2070" s="19" t="n"/>
      <c r="K2070" s="21" t="n"/>
      <c r="L2070" s="22">
        <f>IF(OR(J2070="",K2070=""),"",J2070*K2070)</f>
        <v/>
      </c>
      <c r="M2070" s="19" t="n"/>
      <c r="N2070" s="20" t="n"/>
      <c r="O2070" s="20" t="n"/>
    </row>
    <row r="2071">
      <c r="A2071" s="23" t="n">
        <v>2068</v>
      </c>
      <c r="B2071" s="23" t="inlineStr">
        <is>
          <t>2.7.6.29.14</t>
        </is>
      </c>
      <c r="C2071" s="25" t="inlineStr">
        <is>
          <t>Part 2 – Technical Systems</t>
        </is>
      </c>
      <c r="D2071" s="25" t="inlineStr">
        <is>
          <t>2.7 PRIVATE CLOUD TECHNICAL INFRASTRUCTURE</t>
        </is>
      </c>
      <c r="E2071" s="25" t="inlineStr">
        <is>
          <t>2.7.6 SECURITY</t>
        </is>
      </c>
      <c r="F2071" s="25" t="inlineStr">
        <is>
          <t>Remediation Advice</t>
        </is>
      </c>
      <c r="G2071" s="19" t="n"/>
      <c r="H2071" s="20" t="n"/>
      <c r="I2071" s="20" t="n"/>
      <c r="J2071" s="19" t="n"/>
      <c r="K2071" s="21" t="n"/>
      <c r="L2071" s="22">
        <f>IF(OR(J2071="",K2071=""),"",J2071*K2071)</f>
        <v/>
      </c>
      <c r="M2071" s="19" t="n"/>
      <c r="N2071" s="20" t="n"/>
      <c r="O2071" s="20" t="n"/>
    </row>
    <row r="2072">
      <c r="A2072" s="16" t="n">
        <v>2069</v>
      </c>
      <c r="B2072" s="17" t="inlineStr">
        <is>
          <t>2.7.6.30</t>
        </is>
      </c>
      <c r="C2072" s="18" t="inlineStr">
        <is>
          <t>Part 2 – Technical Systems</t>
        </is>
      </c>
      <c r="D2072" s="18" t="inlineStr">
        <is>
          <t>2.7 PRIVATE CLOUD TECHNICAL INFRASTRUCTURE</t>
        </is>
      </c>
      <c r="E2072" s="18" t="inlineStr">
        <is>
          <t>2.7.6 SECURITY</t>
        </is>
      </c>
      <c r="F2072" s="18" t="inlineStr">
        <is>
          <t>The CONTRACTOR shall implement centralized solutions that detects and prevents intrusions in each OSS911 center.</t>
        </is>
      </c>
      <c r="G2072" s="19" t="n"/>
      <c r="H2072" s="20" t="n"/>
      <c r="I2072" s="20" t="n"/>
      <c r="J2072" s="19" t="n"/>
      <c r="K2072" s="21" t="n"/>
      <c r="L2072" s="22">
        <f>IF(OR(J2072="",K2072=""),"",J2072*K2072)</f>
        <v/>
      </c>
      <c r="M2072" s="19" t="n"/>
      <c r="N2072" s="20" t="n"/>
      <c r="O2072" s="20" t="n"/>
    </row>
    <row r="2073">
      <c r="A2073" s="23" t="n">
        <v>2070</v>
      </c>
      <c r="B2073" s="24" t="inlineStr">
        <is>
          <t>2.7.6.31</t>
        </is>
      </c>
      <c r="C2073" s="25" t="inlineStr">
        <is>
          <t>Part 2 – Technical Systems</t>
        </is>
      </c>
      <c r="D2073" s="25" t="inlineStr">
        <is>
          <t>2.7 PRIVATE CLOUD TECHNICAL INFRASTRUCTURE</t>
        </is>
      </c>
      <c r="E2073" s="25" t="inlineStr">
        <is>
          <t>2.7.6 SECURITY</t>
        </is>
      </c>
      <c r="F2073" s="25" t="inlineStr">
        <is>
          <t>The CONTACTOR shall configure the intrusion detection system to be capable of proactively deciphering if the OSS911 network is getting compromised based on traffic patterns.</t>
        </is>
      </c>
      <c r="G2073" s="19" t="n"/>
      <c r="H2073" s="20" t="n"/>
      <c r="I2073" s="20" t="n"/>
      <c r="J2073" s="19" t="n"/>
      <c r="K2073" s="21" t="n"/>
      <c r="L2073" s="22">
        <f>IF(OR(J2073="",K2073=""),"",J2073*K2073)</f>
        <v/>
      </c>
      <c r="M2073" s="19" t="n"/>
      <c r="N2073" s="20" t="n"/>
      <c r="O2073" s="20" t="n"/>
    </row>
    <row r="2074">
      <c r="A2074" s="16" t="n">
        <v>2071</v>
      </c>
      <c r="B2074" s="17" t="inlineStr">
        <is>
          <t>2.7.6.32</t>
        </is>
      </c>
      <c r="C2074" s="18" t="inlineStr">
        <is>
          <t>Part 2 – Technical Systems</t>
        </is>
      </c>
      <c r="D2074" s="18" t="inlineStr">
        <is>
          <t>2.7 PRIVATE CLOUD TECHNICAL INFRASTRUCTURE</t>
        </is>
      </c>
      <c r="E2074" s="18" t="inlineStr">
        <is>
          <t>2.7.6 SECURITY</t>
        </is>
      </c>
      <c r="F2074" s="18" t="inlineStr">
        <is>
          <t>The CONTACTOR shall configure the intrusion prevention system to be capable of detecting and isolating any malicious traffic within OSS911 networks.</t>
        </is>
      </c>
      <c r="G2074" s="19" t="n"/>
      <c r="H2074" s="20" t="n"/>
      <c r="I2074" s="20" t="n"/>
      <c r="J2074" s="19" t="n"/>
      <c r="K2074" s="21" t="n"/>
      <c r="L2074" s="22">
        <f>IF(OR(J2074="",K2074=""),"",J2074*K2074)</f>
        <v/>
      </c>
      <c r="M2074" s="19" t="n"/>
      <c r="N2074" s="20" t="n"/>
      <c r="O2074" s="20" t="n"/>
    </row>
    <row r="2075">
      <c r="A2075" s="23" t="n">
        <v>2072</v>
      </c>
      <c r="B2075" s="24" t="inlineStr">
        <is>
          <t>2.7.6.33</t>
        </is>
      </c>
      <c r="C2075" s="25" t="inlineStr">
        <is>
          <t>Part 2 – Technical Systems</t>
        </is>
      </c>
      <c r="D2075" s="25" t="inlineStr">
        <is>
          <t>2.7 PRIVATE CLOUD TECHNICAL INFRASTRUCTURE</t>
        </is>
      </c>
      <c r="E2075" s="25" t="inlineStr">
        <is>
          <t>2.7.6 SECURITY</t>
        </is>
      </c>
      <c r="F2075" s="25" t="inlineStr">
        <is>
          <t>The CONTACTOR shall configure the intrusion solutions to be able to generate alarms if required.</t>
        </is>
      </c>
      <c r="G2075" s="19" t="n"/>
      <c r="H2075" s="20" t="n"/>
      <c r="I2075" s="20" t="n"/>
      <c r="J2075" s="19" t="n"/>
      <c r="K2075" s="21" t="n"/>
      <c r="L2075" s="22">
        <f>IF(OR(J2075="",K2075=""),"",J2075*K2075)</f>
        <v/>
      </c>
      <c r="M2075" s="19" t="n"/>
      <c r="N2075" s="20" t="n"/>
      <c r="O2075" s="20" t="n"/>
    </row>
    <row r="2076">
      <c r="A2076" s="16" t="n">
        <v>2073</v>
      </c>
      <c r="B2076" s="17" t="inlineStr">
        <is>
          <t>2.7.6.34</t>
        </is>
      </c>
      <c r="C2076" s="18" t="inlineStr">
        <is>
          <t>Part 2 – Technical Systems</t>
        </is>
      </c>
      <c r="D2076" s="18" t="inlineStr">
        <is>
          <t>2.7 PRIVATE CLOUD TECHNICAL INFRASTRUCTURE</t>
        </is>
      </c>
      <c r="E2076" s="18" t="inlineStr">
        <is>
          <t>2.7.6 SECURITY</t>
        </is>
      </c>
      <c r="F2076" s="18" t="inlineStr">
        <is>
          <t>The CONTRACTOR implemented security solutions, monitoring and reporting shall comply with National Institute of Standards and Technology (NIST) 800-137 standard or equivalent.</t>
        </is>
      </c>
      <c r="G2076" s="19" t="n"/>
      <c r="H2076" s="20" t="n"/>
      <c r="I2076" s="20" t="n"/>
      <c r="J2076" s="19" t="n"/>
      <c r="K2076" s="21" t="n"/>
      <c r="L2076" s="22">
        <f>IF(OR(J2076="",K2076=""),"",J2076*K2076)</f>
        <v/>
      </c>
      <c r="M2076" s="19" t="n"/>
      <c r="N2076" s="20" t="n"/>
      <c r="O2076" s="20" t="n"/>
    </row>
    <row r="2077">
      <c r="A2077" s="23" t="n">
        <v>2074</v>
      </c>
      <c r="B2077" s="24" t="inlineStr">
        <is>
          <t>2.7.6.35</t>
        </is>
      </c>
      <c r="C2077" s="25" t="inlineStr">
        <is>
          <t>Part 2 – Technical Systems</t>
        </is>
      </c>
      <c r="D2077" s="25" t="inlineStr">
        <is>
          <t>2.7 PRIVATE CLOUD TECHNICAL INFRASTRUCTURE</t>
        </is>
      </c>
      <c r="E2077" s="25" t="inlineStr">
        <is>
          <t>2.7.6 SECURITY</t>
        </is>
      </c>
      <c r="F2077" s="25" t="inlineStr">
        <is>
          <t>A network access control solution shall be implemented by the CONTRACTOR.</t>
        </is>
      </c>
      <c r="G2077" s="19" t="n"/>
      <c r="H2077" s="20" t="n"/>
      <c r="I2077" s="20" t="n"/>
      <c r="J2077" s="19" t="n"/>
      <c r="K2077" s="21" t="n"/>
      <c r="L2077" s="22">
        <f>IF(OR(J2077="",K2077=""),"",J2077*K2077)</f>
        <v/>
      </c>
      <c r="M2077" s="19" t="n"/>
      <c r="N2077" s="20" t="n"/>
      <c r="O2077" s="20" t="n"/>
    </row>
    <row r="2078">
      <c r="A2078" s="16" t="n">
        <v>2075</v>
      </c>
      <c r="B2078" s="17" t="inlineStr">
        <is>
          <t>2.7.6.36</t>
        </is>
      </c>
      <c r="C2078" s="18" t="inlineStr">
        <is>
          <t>Part 2 – Technical Systems</t>
        </is>
      </c>
      <c r="D2078" s="18" t="inlineStr">
        <is>
          <t>2.7 PRIVATE CLOUD TECHNICAL INFRASTRUCTURE</t>
        </is>
      </c>
      <c r="E2078" s="18" t="inlineStr">
        <is>
          <t>2.7.6 SECURITY</t>
        </is>
      </c>
      <c r="F2078" s="18" t="inlineStr">
        <is>
          <t>The CONTRACTOR shall implement security measures for encrypting OSS911 data in rest and transit, with the latest standards as agreed with the MOI, while delivering the availability and performance requirements.</t>
        </is>
      </c>
      <c r="G2078" s="19" t="n"/>
      <c r="H2078" s="20" t="n"/>
      <c r="I2078" s="20" t="n"/>
      <c r="J2078" s="19" t="n"/>
      <c r="K2078" s="21" t="n"/>
      <c r="L2078" s="22">
        <f>IF(OR(J2078="",K2078=""),"",J2078*K2078)</f>
        <v/>
      </c>
      <c r="M2078" s="19" t="n"/>
      <c r="N2078" s="20" t="n"/>
      <c r="O2078" s="20" t="n"/>
    </row>
    <row r="2079">
      <c r="A2079" s="23" t="n">
        <v>2076</v>
      </c>
      <c r="B2079" s="24" t="inlineStr">
        <is>
          <t>2.7.6.37</t>
        </is>
      </c>
      <c r="C2079" s="25" t="inlineStr">
        <is>
          <t>Part 2 – Technical Systems</t>
        </is>
      </c>
      <c r="D2079" s="25" t="inlineStr">
        <is>
          <t>2.7 PRIVATE CLOUD TECHNICAL INFRASTRUCTURE</t>
        </is>
      </c>
      <c r="E2079" s="25" t="inlineStr">
        <is>
          <t>2.7.6 SECURITY</t>
        </is>
      </c>
      <c r="F2079" s="25" t="inlineStr">
        <is>
          <t>The CONTRACTOR shall develop and implement security policies and technical procedures for handling all security related matters.</t>
        </is>
      </c>
      <c r="G2079" s="19" t="n"/>
      <c r="H2079" s="20" t="n"/>
      <c r="I2079" s="20" t="n"/>
      <c r="J2079" s="19" t="n"/>
      <c r="K2079" s="21" t="n"/>
      <c r="L2079" s="22">
        <f>IF(OR(J2079="",K2079=""),"",J2079*K2079)</f>
        <v/>
      </c>
      <c r="M2079" s="19" t="n"/>
      <c r="N2079" s="20" t="n"/>
      <c r="O2079" s="20" t="n"/>
    </row>
    <row r="2080">
      <c r="A2080" s="16" t="n">
        <v>2077</v>
      </c>
      <c r="B2080" s="17" t="inlineStr">
        <is>
          <t>2.7.6.38</t>
        </is>
      </c>
      <c r="C2080" s="18" t="inlineStr">
        <is>
          <t>Part 2 – Technical Systems</t>
        </is>
      </c>
      <c r="D2080" s="18" t="inlineStr">
        <is>
          <t>2.7 PRIVATE CLOUD TECHNICAL INFRASTRUCTURE</t>
        </is>
      </c>
      <c r="E2080" s="18" t="inlineStr">
        <is>
          <t>2.7.6 SECURITY</t>
        </is>
      </c>
      <c r="F2080" s="18" t="inlineStr">
        <is>
          <t>The management and monitoring system shall be implemented and configured by the CONTRACTOR to provide analytics on the security related aspects.</t>
        </is>
      </c>
      <c r="G2080" s="19" t="n"/>
      <c r="H2080" s="20" t="n"/>
      <c r="I2080" s="20" t="n"/>
      <c r="J2080" s="19" t="n"/>
      <c r="K2080" s="21" t="n"/>
      <c r="L2080" s="22">
        <f>IF(OR(J2080="",K2080=""),"",J2080*K2080)</f>
        <v/>
      </c>
      <c r="M2080" s="19" t="n"/>
      <c r="N2080" s="20" t="n"/>
      <c r="O2080" s="20" t="n"/>
    </row>
    <row r="2081">
      <c r="A2081" s="23" t="n">
        <v>2078</v>
      </c>
      <c r="B2081" s="24" t="inlineStr">
        <is>
          <t>2.7.6.39</t>
        </is>
      </c>
      <c r="C2081" s="25" t="inlineStr">
        <is>
          <t>Part 2 – Technical Systems</t>
        </is>
      </c>
      <c r="D2081" s="25" t="inlineStr">
        <is>
          <t>2.7 PRIVATE CLOUD TECHNICAL INFRASTRUCTURE</t>
        </is>
      </c>
      <c r="E2081" s="25" t="inlineStr">
        <is>
          <t>2.7.6 SECURITY</t>
        </is>
      </c>
      <c r="F2081" s="25" t="inlineStr">
        <is>
          <t>The CONTRACTOR shall implement a privileged access management (PAM) solution for the OSS911 center with multi-factor authentication with following capabilities:</t>
        </is>
      </c>
      <c r="G2081" s="19" t="n"/>
      <c r="H2081" s="20" t="n"/>
      <c r="I2081" s="20" t="n"/>
      <c r="J2081" s="19" t="n"/>
      <c r="K2081" s="21" t="n"/>
      <c r="L2081" s="22">
        <f>IF(OR(J2081="",K2081=""),"",J2081*K2081)</f>
        <v/>
      </c>
      <c r="M2081" s="19" t="n"/>
      <c r="N2081" s="20" t="n"/>
      <c r="O2081" s="20" t="n"/>
    </row>
    <row r="2082">
      <c r="A2082" s="16" t="n">
        <v>2079</v>
      </c>
      <c r="B2082" s="16" t="inlineStr">
        <is>
          <t>2.7.6.39.1</t>
        </is>
      </c>
      <c r="C2082" s="18" t="inlineStr">
        <is>
          <t>Part 2 – Technical Systems</t>
        </is>
      </c>
      <c r="D2082" s="18" t="inlineStr">
        <is>
          <t>2.7 PRIVATE CLOUD TECHNICAL INFRASTRUCTURE</t>
        </is>
      </c>
      <c r="E2082" s="18" t="inlineStr">
        <is>
          <t>2.7.6 SECURITY</t>
        </is>
      </c>
      <c r="F2082" s="18" t="inlineStr">
        <is>
          <t>The CONTRACTOR shall through the PAM solution provide secure, centralized control over all privileged access to business systems and underlying infrastructure (including servers, networks, databases, security devices, and endpoints).</t>
        </is>
      </c>
      <c r="G2082" s="19" t="n"/>
      <c r="H2082" s="20" t="n"/>
      <c r="I2082" s="20" t="n"/>
      <c r="J2082" s="19" t="n"/>
      <c r="K2082" s="21" t="n"/>
      <c r="L2082" s="22">
        <f>IF(OR(J2082="",K2082=""),"",J2082*K2082)</f>
        <v/>
      </c>
      <c r="M2082" s="19" t="n"/>
      <c r="N2082" s="20" t="n"/>
      <c r="O2082" s="20" t="n"/>
    </row>
    <row r="2083">
      <c r="A2083" s="23" t="n">
        <v>2080</v>
      </c>
      <c r="B2083" s="23" t="inlineStr">
        <is>
          <t>2.7.6.39.2</t>
        </is>
      </c>
      <c r="C2083" s="25" t="inlineStr">
        <is>
          <t>Part 2 – Technical Systems</t>
        </is>
      </c>
      <c r="D2083" s="25" t="inlineStr">
        <is>
          <t>2.7 PRIVATE CLOUD TECHNICAL INFRASTRUCTURE</t>
        </is>
      </c>
      <c r="E2083" s="25" t="inlineStr">
        <is>
          <t>2.7.6 SECURITY</t>
        </is>
      </c>
      <c r="F2083" s="25" t="inlineStr">
        <is>
          <t>The CONTRACTOR shall through the PAM solution, enforce multi-factor authentication, granular role-based access controls, and least-privilege principles.</t>
        </is>
      </c>
      <c r="G2083" s="19" t="n"/>
      <c r="H2083" s="20" t="n"/>
      <c r="I2083" s="20" t="n"/>
      <c r="J2083" s="19" t="n"/>
      <c r="K2083" s="21" t="n"/>
      <c r="L2083" s="22">
        <f>IF(OR(J2083="",K2083=""),"",J2083*K2083)</f>
        <v/>
      </c>
      <c r="M2083" s="19" t="n"/>
      <c r="N2083" s="20" t="n"/>
      <c r="O2083" s="20" t="n"/>
    </row>
    <row r="2084">
      <c r="A2084" s="16" t="n">
        <v>2081</v>
      </c>
      <c r="B2084" s="16" t="inlineStr">
        <is>
          <t>2.7.6.39.3</t>
        </is>
      </c>
      <c r="C2084" s="18" t="inlineStr">
        <is>
          <t>Part 2 – Technical Systems</t>
        </is>
      </c>
      <c r="D2084" s="18" t="inlineStr">
        <is>
          <t>2.7 PRIVATE CLOUD TECHNICAL INFRASTRUCTURE</t>
        </is>
      </c>
      <c r="E2084" s="18" t="inlineStr">
        <is>
          <t>2.7.6 SECURITY</t>
        </is>
      </c>
      <c r="F2084" s="18" t="inlineStr">
        <is>
          <t>The CONTRACTOR shall through the PAM solution broker and isolate all remote sessions without exposing credentials; and support credential vaulting with automatic rotation.</t>
        </is>
      </c>
      <c r="G2084" s="19" t="n"/>
      <c r="H2084" s="20" t="n"/>
      <c r="I2084" s="20" t="n"/>
      <c r="J2084" s="19" t="n"/>
      <c r="K2084" s="21" t="n"/>
      <c r="L2084" s="22">
        <f>IF(OR(J2084="",K2084=""),"",J2084*K2084)</f>
        <v/>
      </c>
      <c r="M2084" s="19" t="n"/>
      <c r="N2084" s="20" t="n"/>
      <c r="O2084" s="20" t="n"/>
    </row>
    <row r="2085">
      <c r="A2085" s="23" t="n">
        <v>2082</v>
      </c>
      <c r="B2085" s="23" t="inlineStr">
        <is>
          <t>2.7.6.39.4</t>
        </is>
      </c>
      <c r="C2085" s="25" t="inlineStr">
        <is>
          <t>Part 2 – Technical Systems</t>
        </is>
      </c>
      <c r="D2085" s="25" t="inlineStr">
        <is>
          <t>2.7 PRIVATE CLOUD TECHNICAL INFRASTRUCTURE</t>
        </is>
      </c>
      <c r="E2085" s="25" t="inlineStr">
        <is>
          <t>2.7.6 SECURITY</t>
        </is>
      </c>
      <c r="F2085" s="25" t="inlineStr">
        <is>
          <t>The CONTRACTOR shall through the PAM solution provide full session monitoring, recording, and audit logging for accountability and compliance, with real-time alerting on suspicious activities.</t>
        </is>
      </c>
      <c r="G2085" s="19" t="n"/>
      <c r="H2085" s="20" t="n"/>
      <c r="I2085" s="20" t="n"/>
      <c r="J2085" s="19" t="n"/>
      <c r="K2085" s="21" t="n"/>
      <c r="L2085" s="22">
        <f>IF(OR(J2085="",K2085=""),"",J2085*K2085)</f>
        <v/>
      </c>
      <c r="M2085" s="19" t="n"/>
      <c r="N2085" s="20" t="n"/>
      <c r="O2085" s="20" t="n"/>
    </row>
    <row r="2086">
      <c r="A2086" s="16" t="n">
        <v>2083</v>
      </c>
      <c r="B2086" s="16" t="inlineStr">
        <is>
          <t>2.7.6.39.5</t>
        </is>
      </c>
      <c r="C2086" s="18" t="inlineStr">
        <is>
          <t>Part 2 – Technical Systems</t>
        </is>
      </c>
      <c r="D2086" s="18" t="inlineStr">
        <is>
          <t>2.7 PRIVATE CLOUD TECHNICAL INFRASTRUCTURE</t>
        </is>
      </c>
      <c r="E2086" s="18" t="inlineStr">
        <is>
          <t>2.7.6 SECURITY</t>
        </is>
      </c>
      <c r="F2086" s="18" t="inlineStr">
        <is>
          <t>The CONTRACTOR shall integrate the PAM solution with existing identity and security tools, support approval workflows for access, and ensure all access is time-bound, policy-driven, and fully traceable.</t>
        </is>
      </c>
      <c r="G2086" s="19" t="n"/>
      <c r="H2086" s="20" t="n"/>
      <c r="I2086" s="20" t="n"/>
      <c r="J2086" s="19" t="n"/>
      <c r="K2086" s="21" t="n"/>
      <c r="L2086" s="22">
        <f>IF(OR(J2086="",K2086=""),"",J2086*K2086)</f>
        <v/>
      </c>
      <c r="M2086" s="19" t="n"/>
      <c r="N2086" s="20" t="n"/>
      <c r="O2086" s="20" t="n"/>
    </row>
    <row r="2087">
      <c r="A2087" s="23" t="n">
        <v>2084</v>
      </c>
      <c r="B2087" s="24" t="inlineStr">
        <is>
          <t>2.7.6.40</t>
        </is>
      </c>
      <c r="C2087" s="25" t="inlineStr">
        <is>
          <t>Part 2 – Technical Systems</t>
        </is>
      </c>
      <c r="D2087" s="25" t="inlineStr">
        <is>
          <t>2.7 PRIVATE CLOUD TECHNICAL INFRASTRUCTURE</t>
        </is>
      </c>
      <c r="E2087" s="25" t="inlineStr">
        <is>
          <t>2.7.6 SECURITY</t>
        </is>
      </c>
      <c r="F2087" s="25" t="inlineStr">
        <is>
          <t>The CONTRACTOR shall implement a security information and event management solution for the OSS911 center that is integrated with various OSS911 systems and solutions and that.</t>
        </is>
      </c>
      <c r="G2087" s="19" t="n"/>
      <c r="H2087" s="20" t="n"/>
      <c r="I2087" s="20" t="n"/>
      <c r="J2087" s="19" t="n"/>
      <c r="K2087" s="21" t="n"/>
      <c r="L2087" s="22">
        <f>IF(OR(J2087="",K2087=""),"",J2087*K2087)</f>
        <v/>
      </c>
      <c r="M2087" s="19" t="n"/>
      <c r="N2087" s="20" t="n"/>
      <c r="O2087" s="20" t="n"/>
    </row>
    <row r="2088">
      <c r="A2088" s="16" t="n">
        <v>2085</v>
      </c>
      <c r="B2088" s="16" t="inlineStr">
        <is>
          <t>2.7.6.40.1</t>
        </is>
      </c>
      <c r="C2088" s="18" t="inlineStr">
        <is>
          <t>Part 2 – Technical Systems</t>
        </is>
      </c>
      <c r="D2088" s="18" t="inlineStr">
        <is>
          <t>2.7 PRIVATE CLOUD TECHNICAL INFRASTRUCTURE</t>
        </is>
      </c>
      <c r="E2088" s="18" t="inlineStr">
        <is>
          <t>2.7.6 SECURITY</t>
        </is>
      </c>
      <c r="F2088" s="18" t="inlineStr">
        <is>
          <t>Ingests, normalizes, correlates, and securely stores logs and telemetry from all critical business systems and infrastructure components—including servers, networks, databases, endpoints, and security devices—in near real time.</t>
        </is>
      </c>
      <c r="G2088" s="19" t="n"/>
      <c r="H2088" s="20" t="n"/>
      <c r="I2088" s="20" t="n"/>
      <c r="J2088" s="19" t="n"/>
      <c r="K2088" s="21" t="n"/>
      <c r="L2088" s="22">
        <f>IF(OR(J2088="",K2088=""),"",J2088*K2088)</f>
        <v/>
      </c>
      <c r="M2088" s="19" t="n"/>
      <c r="N2088" s="20" t="n"/>
      <c r="O2088" s="20" t="n"/>
    </row>
    <row r="2089">
      <c r="A2089" s="23" t="n">
        <v>2086</v>
      </c>
      <c r="B2089" s="23" t="inlineStr">
        <is>
          <t>2.7.6.40.2</t>
        </is>
      </c>
      <c r="C2089" s="25" t="inlineStr">
        <is>
          <t>Part 2 – Technical Systems</t>
        </is>
      </c>
      <c r="D2089" s="25" t="inlineStr">
        <is>
          <t>2.7 PRIVATE CLOUD TECHNICAL INFRASTRUCTURE</t>
        </is>
      </c>
      <c r="E2089" s="25" t="inlineStr">
        <is>
          <t>2.7.6 SECURITY</t>
        </is>
      </c>
      <c r="F2089" s="25" t="inlineStr">
        <is>
          <t>Provides advanced analytics and correlation rules to detect anomalies, threats, and policy violations, and provides alerting.</t>
        </is>
      </c>
      <c r="G2089" s="19" t="n"/>
      <c r="H2089" s="20" t="n"/>
      <c r="I2089" s="20" t="n"/>
      <c r="J2089" s="19" t="n"/>
      <c r="K2089" s="21" t="n"/>
      <c r="L2089" s="22">
        <f>IF(OR(J2089="",K2089=""),"",J2089*K2089)</f>
        <v/>
      </c>
      <c r="M2089" s="19" t="n"/>
      <c r="N2089" s="20" t="n"/>
      <c r="O2089" s="20" t="n"/>
    </row>
    <row r="2090">
      <c r="A2090" s="16" t="n">
        <v>2087</v>
      </c>
      <c r="B2090" s="16" t="inlineStr">
        <is>
          <t>2.7.6.40.3</t>
        </is>
      </c>
      <c r="C2090" s="18" t="inlineStr">
        <is>
          <t>Part 2 – Technical Systems</t>
        </is>
      </c>
      <c r="D2090" s="18" t="inlineStr">
        <is>
          <t>2.7 PRIVATE CLOUD TECHNICAL INFRASTRUCTURE</t>
        </is>
      </c>
      <c r="E2090" s="18" t="inlineStr">
        <is>
          <t>2.7.6 SECURITY</t>
        </is>
      </c>
      <c r="F2090" s="18" t="inlineStr">
        <is>
          <t>Delivers customizable alerting with prioritization and automated response workflows.</t>
        </is>
      </c>
      <c r="G2090" s="19" t="n"/>
      <c r="H2090" s="20" t="n"/>
      <c r="I2090" s="20" t="n"/>
      <c r="J2090" s="19" t="n"/>
      <c r="K2090" s="21" t="n"/>
      <c r="L2090" s="22">
        <f>IF(OR(J2090="",K2090=""),"",J2090*K2090)</f>
        <v/>
      </c>
      <c r="M2090" s="19" t="n"/>
      <c r="N2090" s="20" t="n"/>
      <c r="O2090" s="20" t="n"/>
    </row>
    <row r="2091">
      <c r="A2091" s="23" t="n">
        <v>2088</v>
      </c>
      <c r="B2091" s="23" t="inlineStr">
        <is>
          <t>2.7.6.40.4</t>
        </is>
      </c>
      <c r="C2091" s="25" t="inlineStr">
        <is>
          <t>Part 2 – Technical Systems</t>
        </is>
      </c>
      <c r="D2091" s="25" t="inlineStr">
        <is>
          <t>2.7 PRIVATE CLOUD TECHNICAL INFRASTRUCTURE</t>
        </is>
      </c>
      <c r="E2091" s="25" t="inlineStr">
        <is>
          <t>2.7.6 SECURITY</t>
        </is>
      </c>
      <c r="F2091" s="25" t="inlineStr">
        <is>
          <t>Delivers comprehensive search, reporting, and dashboards for operational visibility and compliance.</t>
        </is>
      </c>
      <c r="G2091" s="19" t="n"/>
      <c r="H2091" s="20" t="n"/>
      <c r="I2091" s="20" t="n"/>
      <c r="J2091" s="19" t="n"/>
      <c r="K2091" s="21" t="n"/>
      <c r="L2091" s="22">
        <f>IF(OR(J2091="",K2091=""),"",J2091*K2091)</f>
        <v/>
      </c>
      <c r="M2091" s="19" t="n"/>
      <c r="N2091" s="20" t="n"/>
      <c r="O2091" s="20" t="n"/>
    </row>
    <row r="2092">
      <c r="A2092" s="16" t="n">
        <v>2089</v>
      </c>
      <c r="B2092" s="16" t="inlineStr">
        <is>
          <t>2.7.6.40.5</t>
        </is>
      </c>
      <c r="C2092" s="18" t="inlineStr">
        <is>
          <t>Part 2 – Technical Systems</t>
        </is>
      </c>
      <c r="D2092" s="18" t="inlineStr">
        <is>
          <t>2.7 PRIVATE CLOUD TECHNICAL INFRASTRUCTURE</t>
        </is>
      </c>
      <c r="E2092" s="18" t="inlineStr">
        <is>
          <t>2.7.6 SECURITY</t>
        </is>
      </c>
      <c r="F2092" s="18" t="inlineStr">
        <is>
          <t>Ensures scalability, high availability, and data integrity.</t>
        </is>
      </c>
      <c r="G2092" s="19" t="n"/>
      <c r="H2092" s="20" t="n"/>
      <c r="I2092" s="20" t="n"/>
      <c r="J2092" s="19" t="n"/>
      <c r="K2092" s="21" t="n"/>
      <c r="L2092" s="22">
        <f>IF(OR(J2092="",K2092=""),"",J2092*K2092)</f>
        <v/>
      </c>
      <c r="M2092" s="19" t="n"/>
      <c r="N2092" s="20" t="n"/>
      <c r="O2092" s="20" t="n"/>
    </row>
    <row r="2093">
      <c r="A2093" s="23" t="n">
        <v>2090</v>
      </c>
      <c r="B2093" s="23" t="inlineStr">
        <is>
          <t>2.7.6.40.6</t>
        </is>
      </c>
      <c r="C2093" s="25" t="inlineStr">
        <is>
          <t>Part 2 – Technical Systems</t>
        </is>
      </c>
      <c r="D2093" s="25" t="inlineStr">
        <is>
          <t>2.7 PRIVATE CLOUD TECHNICAL INFRASTRUCTURE</t>
        </is>
      </c>
      <c r="E2093" s="25" t="inlineStr">
        <is>
          <t>2.7.6 SECURITY</t>
        </is>
      </c>
      <c r="F2093" s="25" t="inlineStr">
        <is>
          <t>Integrates with other cybersecurity tools and identity systems.</t>
        </is>
      </c>
      <c r="G2093" s="19" t="n"/>
      <c r="H2093" s="20" t="n"/>
      <c r="I2093" s="20" t="n"/>
      <c r="J2093" s="19" t="n"/>
      <c r="K2093" s="21" t="n"/>
      <c r="L2093" s="22">
        <f>IF(OR(J2093="",K2093=""),"",J2093*K2093)</f>
        <v/>
      </c>
      <c r="M2093" s="19" t="n"/>
      <c r="N2093" s="20" t="n"/>
      <c r="O2093" s="20" t="n"/>
    </row>
    <row r="2094">
      <c r="A2094" s="16" t="n">
        <v>2091</v>
      </c>
      <c r="B2094" s="16" t="inlineStr">
        <is>
          <t>2.7.6.40.7</t>
        </is>
      </c>
      <c r="C2094" s="18" t="inlineStr">
        <is>
          <t>Part 2 – Technical Systems</t>
        </is>
      </c>
      <c r="D2094" s="18" t="inlineStr">
        <is>
          <t>2.7 PRIVATE CLOUD TECHNICAL INFRASTRUCTURE</t>
        </is>
      </c>
      <c r="E2094" s="18" t="inlineStr">
        <is>
          <t>2.7.6 SECURITY</t>
        </is>
      </c>
      <c r="F2094" s="18" t="inlineStr">
        <is>
          <t>Enforces role-based access control, audit trails, and retention policies aligned with NCA and MOI cybersecurity requirements.</t>
        </is>
      </c>
      <c r="G2094" s="19" t="n"/>
      <c r="H2094" s="20" t="n"/>
      <c r="I2094" s="20" t="n"/>
      <c r="J2094" s="19" t="n"/>
      <c r="K2094" s="21" t="n"/>
      <c r="L2094" s="22">
        <f>IF(OR(J2094="",K2094=""),"",J2094*K2094)</f>
        <v/>
      </c>
      <c r="M2094" s="19" t="n"/>
      <c r="N2094" s="20" t="n"/>
      <c r="O2094" s="20" t="n"/>
    </row>
    <row r="2095">
      <c r="A2095" s="23" t="n">
        <v>2092</v>
      </c>
      <c r="B2095" s="24" t="inlineStr">
        <is>
          <t>2.7.6.41</t>
        </is>
      </c>
      <c r="C2095" s="25" t="inlineStr">
        <is>
          <t>Part 2 – Technical Systems</t>
        </is>
      </c>
      <c r="D2095" s="25" t="inlineStr">
        <is>
          <t>2.7 PRIVATE CLOUD TECHNICAL INFRASTRUCTURE</t>
        </is>
      </c>
      <c r="E2095" s="25" t="inlineStr">
        <is>
          <t>2.7.6 SECURITY</t>
        </is>
      </c>
      <c r="F2095" s="25" t="inlineStr">
        <is>
          <t>The CONTRACTOR shall implement an asset management solution that is not limited to asset discovery and classification - it shall be able to actively discover, monitor, control and manage all active assets, and to have a barcode associated with each.</t>
        </is>
      </c>
      <c r="G2095" s="19" t="n"/>
      <c r="H2095" s="20" t="n"/>
      <c r="I2095" s="20" t="n"/>
      <c r="J2095" s="19" t="n"/>
      <c r="K2095" s="21" t="n"/>
      <c r="L2095" s="22">
        <f>IF(OR(J2095="",K2095=""),"",J2095*K2095)</f>
        <v/>
      </c>
      <c r="M2095" s="19" t="n"/>
      <c r="N2095" s="20" t="n"/>
      <c r="O2095" s="20" t="n"/>
    </row>
    <row r="2096">
      <c r="A2096" s="16" t="n">
        <v>2093</v>
      </c>
      <c r="B2096" s="17" t="inlineStr">
        <is>
          <t>2.7.6.42</t>
        </is>
      </c>
      <c r="C2096" s="18" t="inlineStr">
        <is>
          <t>Part 2 – Technical Systems</t>
        </is>
      </c>
      <c r="D2096" s="18" t="inlineStr">
        <is>
          <t>2.7 PRIVATE CLOUD TECHNICAL INFRASTRUCTURE</t>
        </is>
      </c>
      <c r="E2096" s="18" t="inlineStr">
        <is>
          <t>2.7.6 SECURITY</t>
        </is>
      </c>
      <c r="F2096" s="18" t="inlineStr">
        <is>
          <t>The CONTRACTOR shall implement an update and patch management solution for managing and distributing updates and patches for all software/firmware/operating systems delivered by the CONTRACTOR.</t>
        </is>
      </c>
      <c r="G2096" s="19" t="n"/>
      <c r="H2096" s="20" t="n"/>
      <c r="I2096" s="20" t="n"/>
      <c r="J2096" s="19" t="n"/>
      <c r="K2096" s="21" t="n"/>
      <c r="L2096" s="22">
        <f>IF(OR(J2096="",K2096=""),"",J2096*K2096)</f>
        <v/>
      </c>
      <c r="M2096" s="19" t="n"/>
      <c r="N2096" s="20" t="n"/>
      <c r="O2096" s="20" t="n"/>
    </row>
    <row r="2097">
      <c r="A2097" s="23" t="n">
        <v>2094</v>
      </c>
      <c r="B2097" s="24" t="inlineStr">
        <is>
          <t>2.7.6.43</t>
        </is>
      </c>
      <c r="C2097" s="25" t="inlineStr">
        <is>
          <t>Part 2 – Technical Systems</t>
        </is>
      </c>
      <c r="D2097" s="25" t="inlineStr">
        <is>
          <t>2.7 PRIVATE CLOUD TECHNICAL INFRASTRUCTURE</t>
        </is>
      </c>
      <c r="E2097" s="25" t="inlineStr">
        <is>
          <t>2.7.6 SECURITY</t>
        </is>
      </c>
      <c r="F2097" s="25" t="inlineStr">
        <is>
          <t>The CONTRACTOR shall provide complete, independent vulnerability solution for internal and external vulnerability assessment/testing and shall provide a comprehensive assessment report of their infrastructure, security and network systems that includes the risk and threat analysis, and for suitability of the CONTRACTOR proposed security architecture and mitigations for vulnerabilities and threats.</t>
        </is>
      </c>
      <c r="G2097" s="19" t="n"/>
      <c r="H2097" s="20" t="n"/>
      <c r="I2097" s="20" t="n"/>
      <c r="J2097" s="19" t="n"/>
      <c r="K2097" s="21" t="n"/>
      <c r="L2097" s="22">
        <f>IF(OR(J2097="",K2097=""),"",J2097*K2097)</f>
        <v/>
      </c>
      <c r="M2097" s="19" t="n"/>
      <c r="N2097" s="20" t="n"/>
      <c r="O2097" s="20" t="n"/>
    </row>
    <row r="2098">
      <c r="A2098" s="16" t="n">
        <v>2095</v>
      </c>
      <c r="B2098" s="17" t="inlineStr">
        <is>
          <t>2.7.6.44</t>
        </is>
      </c>
      <c r="C2098" s="18" t="inlineStr">
        <is>
          <t>Part 2 – Technical Systems</t>
        </is>
      </c>
      <c r="D2098" s="18" t="inlineStr">
        <is>
          <t>2.7 PRIVATE CLOUD TECHNICAL INFRASTRUCTURE</t>
        </is>
      </c>
      <c r="E2098" s="18" t="inlineStr">
        <is>
          <t>2.7.6 SECURITY</t>
        </is>
      </c>
      <c r="F2098" s="18" t="inlineStr">
        <is>
          <t>The CONTRACTOR shall deliver four rounds of penetration testing (from datacenter network and from external networks) during the first year of the contract with the exact schedule for each test to be decided by the MOI, while adhering to the below requirements:</t>
        </is>
      </c>
      <c r="G2098" s="19" t="n"/>
      <c r="H2098" s="20" t="n"/>
      <c r="I2098" s="20" t="n"/>
      <c r="J2098" s="19" t="n"/>
      <c r="K2098" s="21" t="n"/>
      <c r="L2098" s="22">
        <f>IF(OR(J2098="",K2098=""),"",J2098*K2098)</f>
        <v/>
      </c>
      <c r="M2098" s="19" t="n"/>
      <c r="N2098" s="20" t="n"/>
      <c r="O2098" s="20" t="n"/>
    </row>
    <row r="2099">
      <c r="A2099" s="23" t="n">
        <v>2096</v>
      </c>
      <c r="B2099" s="23" t="inlineStr">
        <is>
          <t>2.7.6.44.1</t>
        </is>
      </c>
      <c r="C2099" s="25" t="inlineStr">
        <is>
          <t>Part 2 – Technical Systems</t>
        </is>
      </c>
      <c r="D2099" s="25" t="inlineStr">
        <is>
          <t>2.7 PRIVATE CLOUD TECHNICAL INFRASTRUCTURE</t>
        </is>
      </c>
      <c r="E2099" s="25" t="inlineStr">
        <is>
          <t>2.7.6 SECURITY</t>
        </is>
      </c>
      <c r="F2099" s="25" t="inlineStr">
        <is>
          <t>The penetration testing will be conducted by a third-party that is approved by the MOI.</t>
        </is>
      </c>
      <c r="G2099" s="19" t="n"/>
      <c r="H2099" s="20" t="n"/>
      <c r="I2099" s="20" t="n"/>
      <c r="J2099" s="19" t="n"/>
      <c r="K2099" s="21" t="n"/>
      <c r="L2099" s="22">
        <f>IF(OR(J2099="",K2099=""),"",J2099*K2099)</f>
        <v/>
      </c>
      <c r="M2099" s="19" t="n"/>
      <c r="N2099" s="20" t="n"/>
      <c r="O2099" s="20" t="n"/>
    </row>
    <row r="2100">
      <c r="A2100" s="16" t="n">
        <v>2097</v>
      </c>
      <c r="B2100" s="16" t="inlineStr">
        <is>
          <t>2.7.6.44.2</t>
        </is>
      </c>
      <c r="C2100" s="18" t="inlineStr">
        <is>
          <t>Part 2 – Technical Systems</t>
        </is>
      </c>
      <c r="D2100" s="18" t="inlineStr">
        <is>
          <t>2.7 PRIVATE CLOUD TECHNICAL INFRASTRUCTURE</t>
        </is>
      </c>
      <c r="E2100" s="18" t="inlineStr">
        <is>
          <t>2.7.6 SECURITY</t>
        </is>
      </c>
      <c r="F2100" s="18" t="inlineStr">
        <is>
          <t>After each round of penetration testing, the CONTRACTOR shall submit within 3 business days a report identifying observations classified as high, medium and low according to their probable impact along with a clear mitigation plan for each.</t>
        </is>
      </c>
      <c r="G2100" s="19" t="n"/>
      <c r="H2100" s="20" t="n"/>
      <c r="I2100" s="20" t="n"/>
      <c r="J2100" s="19" t="n"/>
      <c r="K2100" s="21" t="n"/>
      <c r="L2100" s="22">
        <f>IF(OR(J2100="",K2100=""),"",J2100*K2100)</f>
        <v/>
      </c>
      <c r="M2100" s="19" t="n"/>
      <c r="N2100" s="20" t="n"/>
      <c r="O2100" s="20" t="n"/>
    </row>
    <row r="2101">
      <c r="A2101" s="23" t="n">
        <v>2098</v>
      </c>
      <c r="B2101" s="23" t="inlineStr">
        <is>
          <t>2.7.6.44.3</t>
        </is>
      </c>
      <c r="C2101" s="25" t="inlineStr">
        <is>
          <t>Part 2 – Technical Systems</t>
        </is>
      </c>
      <c r="D2101" s="25" t="inlineStr">
        <is>
          <t>2.7 PRIVATE CLOUD TECHNICAL INFRASTRUCTURE</t>
        </is>
      </c>
      <c r="E2101" s="25" t="inlineStr">
        <is>
          <t>2.7.6 SECURITY</t>
        </is>
      </c>
      <c r="F2101" s="25" t="inlineStr">
        <is>
          <t>For observations rated as high and medium impact, the CONTRACTOR shall mitigate the findings /vulnerabilities / observations within 5 calendar days which shall then lead to the conduct of a repeat penetration test that should confirm the fixing of the findings / vulnerabilities / observations. However, this repeat penetration test will be considered as part of the preceding penetration test round, and will not be considered a new round of penetration testing.</t>
        </is>
      </c>
      <c r="G2101" s="19" t="n"/>
      <c r="H2101" s="20" t="n"/>
      <c r="I2101" s="20" t="n"/>
      <c r="J2101" s="19" t="n"/>
      <c r="K2101" s="21" t="n"/>
      <c r="L2101" s="22">
        <f>IF(OR(J2101="",K2101=""),"",J2101*K2101)</f>
        <v/>
      </c>
      <c r="M2101" s="19" t="n"/>
      <c r="N2101" s="20" t="n"/>
      <c r="O2101" s="20" t="n"/>
    </row>
    <row r="2102">
      <c r="A2102" s="16" t="n">
        <v>2099</v>
      </c>
      <c r="B2102" s="16" t="inlineStr">
        <is>
          <t>2.7.6.44.4</t>
        </is>
      </c>
      <c r="C2102" s="18" t="inlineStr">
        <is>
          <t>Part 2 – Technical Systems</t>
        </is>
      </c>
      <c r="D2102" s="18" t="inlineStr">
        <is>
          <t>2.7 PRIVATE CLOUD TECHNICAL INFRASTRUCTURE</t>
        </is>
      </c>
      <c r="E2102" s="18" t="inlineStr">
        <is>
          <t>2.7.6 SECURITY</t>
        </is>
      </c>
      <c r="F2102" s="18" t="inlineStr">
        <is>
          <t>For observations rated as low impact, the CONTRACTOR shall mitigate the findings /vulnerabilities / observations within 10 calendar days and prior to the next round of penetration testing.</t>
        </is>
      </c>
      <c r="G2102" s="19" t="n"/>
      <c r="H2102" s="20" t="n"/>
      <c r="I2102" s="20" t="n"/>
      <c r="J2102" s="19" t="n"/>
      <c r="K2102" s="21" t="n"/>
      <c r="L2102" s="22">
        <f>IF(OR(J2102="",K2102=""),"",J2102*K2102)</f>
        <v/>
      </c>
      <c r="M2102" s="19" t="n"/>
      <c r="N2102" s="20" t="n"/>
      <c r="O2102" s="20" t="n"/>
    </row>
    <row r="2103">
      <c r="A2103" s="23" t="n">
        <v>2100</v>
      </c>
      <c r="B2103" s="24" t="inlineStr">
        <is>
          <t>2.7.6.45</t>
        </is>
      </c>
      <c r="C2103" s="25" t="inlineStr">
        <is>
          <t>Part 2 – Technical Systems</t>
        </is>
      </c>
      <c r="D2103" s="25" t="inlineStr">
        <is>
          <t>2.7 PRIVATE CLOUD TECHNICAL INFRASTRUCTURE</t>
        </is>
      </c>
      <c r="E2103" s="25" t="inlineStr">
        <is>
          <t>2.7.6 SECURITY</t>
        </is>
      </c>
      <c r="F2103" s="25" t="inlineStr">
        <is>
          <t>Prior to going-live of any solution that its exposed to the Internet, the CONTRACTOR shall conduct vulnerability assessment and penetration testing for the OSS911 solutions, and shall fix any identified vulnerabilities and observations prior to the launch of the solution for public use.</t>
        </is>
      </c>
      <c r="G2103" s="19" t="n"/>
      <c r="H2103" s="20" t="n"/>
      <c r="I2103" s="20" t="n"/>
      <c r="J2103" s="19" t="n"/>
      <c r="K2103" s="21" t="n"/>
      <c r="L2103" s="22">
        <f>IF(OR(J2103="",K2103=""),"",J2103*K2103)</f>
        <v/>
      </c>
      <c r="M2103" s="19" t="n"/>
      <c r="N2103" s="20" t="n"/>
      <c r="O2103" s="20" t="n"/>
    </row>
    <row r="2104">
      <c r="A2104" s="16" t="n">
        <v>2101</v>
      </c>
      <c r="B2104" s="17" t="inlineStr">
        <is>
          <t>2.7.6.46</t>
        </is>
      </c>
      <c r="C2104" s="18" t="inlineStr">
        <is>
          <t>Part 2 – Technical Systems</t>
        </is>
      </c>
      <c r="D2104" s="18" t="inlineStr">
        <is>
          <t>2.7 PRIVATE CLOUD TECHNICAL INFRASTRUCTURE</t>
        </is>
      </c>
      <c r="E2104" s="18" t="inlineStr">
        <is>
          <t>2.7.6 SECURITY</t>
        </is>
      </c>
      <c r="F2104" s="18" t="inlineStr">
        <is>
          <t>The CONTRACTOR shall provide detailed reports to authorized MOI personnel for any vulnerability assessment and penetration testing activity along with detailed mitigations.</t>
        </is>
      </c>
      <c r="G2104" s="19" t="n"/>
      <c r="H2104" s="20" t="n"/>
      <c r="I2104" s="20" t="n"/>
      <c r="J2104" s="19" t="n"/>
      <c r="K2104" s="21" t="n"/>
      <c r="L2104" s="22">
        <f>IF(OR(J2104="",K2104=""),"",J2104*K2104)</f>
        <v/>
      </c>
      <c r="M2104" s="19" t="n"/>
      <c r="N2104" s="20" t="n"/>
      <c r="O2104" s="20" t="n"/>
    </row>
    <row r="2105">
      <c r="A2105" s="23" t="n">
        <v>2102</v>
      </c>
      <c r="B2105" s="24" t="inlineStr">
        <is>
          <t>2.7.7.1</t>
        </is>
      </c>
      <c r="C2105" s="25" t="inlineStr">
        <is>
          <t>Part 2 – Technical Systems</t>
        </is>
      </c>
      <c r="D2105" s="25" t="inlineStr">
        <is>
          <t>2.7 PRIVATE CLOUD TECHNICAL INFRASTRUCTURE</t>
        </is>
      </c>
      <c r="E2105" s="25" t="inlineStr">
        <is>
          <t>2.7.7 DATA MIGRATION</t>
        </is>
      </c>
      <c r="F2105" s="25" t="inlineStr">
        <is>
          <t>As part of their CONTRACT implementation, the CONTRACTOR shall migrate the historical data in Makkah 911 center into the new OSS911 solution.</t>
        </is>
      </c>
      <c r="G2105" s="19" t="n"/>
      <c r="H2105" s="20" t="n"/>
      <c r="I2105" s="20" t="n"/>
      <c r="J2105" s="19" t="n"/>
      <c r="K2105" s="21" t="n"/>
      <c r="L2105" s="22">
        <f>IF(OR(J2105="",K2105=""),"",J2105*K2105)</f>
        <v/>
      </c>
      <c r="M2105" s="19" t="n"/>
      <c r="N2105" s="20" t="n"/>
      <c r="O2105" s="20" t="n"/>
    </row>
    <row r="2106">
      <c r="A2106" s="16" t="n">
        <v>2103</v>
      </c>
      <c r="B2106" s="17" t="inlineStr">
        <is>
          <t>2.7.7.2</t>
        </is>
      </c>
      <c r="C2106" s="18" t="inlineStr">
        <is>
          <t>Part 2 – Technical Systems</t>
        </is>
      </c>
      <c r="D2106" s="18" t="inlineStr">
        <is>
          <t>2.7 PRIVATE CLOUD TECHNICAL INFRASTRUCTURE</t>
        </is>
      </c>
      <c r="E2106" s="18" t="inlineStr">
        <is>
          <t>2.7.7 DATA MIGRATION</t>
        </is>
      </c>
      <c r="F2106" s="18" t="inlineStr">
        <is>
          <t>The CONTRACTOR shall ensure that during data migration is seamless and that there is no impact whatsoever to the operations, technology, systems and data in the existing Makkah 911 environment.</t>
        </is>
      </c>
      <c r="G2106" s="19" t="n"/>
      <c r="H2106" s="20" t="n"/>
      <c r="I2106" s="20" t="n"/>
      <c r="J2106" s="19" t="n"/>
      <c r="K2106" s="21" t="n"/>
      <c r="L2106" s="22">
        <f>IF(OR(J2106="",K2106=""),"",J2106*K2106)</f>
        <v/>
      </c>
      <c r="M2106" s="19" t="n"/>
      <c r="N2106" s="20" t="n"/>
      <c r="O2106" s="20" t="n"/>
    </row>
    <row r="2107">
      <c r="A2107" s="23" t="n">
        <v>2104</v>
      </c>
      <c r="B2107" s="24" t="inlineStr">
        <is>
          <t>2.7.7.3</t>
        </is>
      </c>
      <c r="C2107" s="25" t="inlineStr">
        <is>
          <t>Part 2 – Technical Systems</t>
        </is>
      </c>
      <c r="D2107" s="25" t="inlineStr">
        <is>
          <t>2.7 PRIVATE CLOUD TECHNICAL INFRASTRUCTURE</t>
        </is>
      </c>
      <c r="E2107" s="25" t="inlineStr">
        <is>
          <t>2.7.7 DATA MIGRATION</t>
        </is>
      </c>
      <c r="F2107" s="25" t="inlineStr">
        <is>
          <t>Further to their analysis of the existing Makkah 911 environment and within two months of the award of the contract, the CONTRACTOR shall submit to MoI a step- by-step data migration approach and plan and shall not commence the migration unless this plan is approved by the MoI.</t>
        </is>
      </c>
      <c r="G2107" s="19" t="n"/>
      <c r="H2107" s="20" t="n"/>
      <c r="I2107" s="20" t="n"/>
      <c r="J2107" s="19" t="n"/>
      <c r="K2107" s="21" t="n"/>
      <c r="L2107" s="22">
        <f>IF(OR(J2107="",K2107=""),"",J2107*K2107)</f>
        <v/>
      </c>
      <c r="M2107" s="19" t="n"/>
      <c r="N2107" s="20" t="n"/>
      <c r="O2107" s="20" t="n"/>
    </row>
    <row r="2108">
      <c r="A2108" s="16" t="n">
        <v>2105</v>
      </c>
      <c r="B2108" s="17" t="inlineStr">
        <is>
          <t>2.7.7.4</t>
        </is>
      </c>
      <c r="C2108" s="18" t="inlineStr">
        <is>
          <t>Part 2 – Technical Systems</t>
        </is>
      </c>
      <c r="D2108" s="18" t="inlineStr">
        <is>
          <t>2.7 PRIVATE CLOUD TECHNICAL INFRASTRUCTURE</t>
        </is>
      </c>
      <c r="E2108" s="18" t="inlineStr">
        <is>
          <t>2.7.7 DATA MIGRATION</t>
        </is>
      </c>
      <c r="F2108" s="18" t="inlineStr">
        <is>
          <t>The CONTRACTOR shall migrate all the datasets, records, metadata, system logs and access logs relevant to CAD, telephony, recording, reporting and management and the different databases therein.</t>
        </is>
      </c>
      <c r="G2108" s="19" t="n"/>
      <c r="H2108" s="20" t="n"/>
      <c r="I2108" s="20" t="n"/>
      <c r="J2108" s="19" t="n"/>
      <c r="K2108" s="21" t="n"/>
      <c r="L2108" s="22">
        <f>IF(OR(J2108="",K2108=""),"",J2108*K2108)</f>
        <v/>
      </c>
      <c r="M2108" s="19" t="n"/>
      <c r="N2108" s="20" t="n"/>
      <c r="O2108" s="20" t="n"/>
    </row>
    <row r="2109">
      <c r="A2109" s="23" t="n">
        <v>2106</v>
      </c>
      <c r="B2109" s="24" t="inlineStr">
        <is>
          <t>2.7.7.5</t>
        </is>
      </c>
      <c r="C2109" s="25" t="inlineStr">
        <is>
          <t>Part 2 – Technical Systems</t>
        </is>
      </c>
      <c r="D2109" s="25" t="inlineStr">
        <is>
          <t>2.7 PRIVATE CLOUD TECHNICAL INFRASTRUCTURE</t>
        </is>
      </c>
      <c r="E2109" s="25" t="inlineStr">
        <is>
          <t>2.7.7 DATA MIGRATION</t>
        </is>
      </c>
      <c r="F2109" s="25" t="inlineStr">
        <is>
          <t>The CONTRACTOR shall ensure that the migrated data is preserved with 100% fidelity including timestamps with original time zones, calls and events sequencing chronologically, calls and call detail records (CDRs), call recordings, ANI/ALI data, events (single and multiagency), units’ statuses and others, as determined by the MoI.</t>
        </is>
      </c>
      <c r="G2109" s="19" t="n"/>
      <c r="H2109" s="20" t="n"/>
      <c r="I2109" s="20" t="n"/>
      <c r="J2109" s="19" t="n"/>
      <c r="K2109" s="21" t="n"/>
      <c r="L2109" s="22">
        <f>IF(OR(J2109="",K2109=""),"",J2109*K2109)</f>
        <v/>
      </c>
      <c r="M2109" s="19" t="n"/>
      <c r="N2109" s="20" t="n"/>
      <c r="O2109" s="20" t="n"/>
    </row>
    <row r="2110">
      <c r="A2110" s="16" t="n">
        <v>2107</v>
      </c>
      <c r="B2110" s="17" t="inlineStr">
        <is>
          <t>2.7.7.6</t>
        </is>
      </c>
      <c r="C2110" s="18" t="inlineStr">
        <is>
          <t>Part 2 – Technical Systems</t>
        </is>
      </c>
      <c r="D2110" s="18" t="inlineStr">
        <is>
          <t>2.7 PRIVATE CLOUD TECHNICAL INFRASTRUCTURE</t>
        </is>
      </c>
      <c r="E2110" s="18" t="inlineStr">
        <is>
          <t>2.7.7 DATA MIGRATION</t>
        </is>
      </c>
      <c r="F2110" s="18" t="inlineStr">
        <is>
          <t>The CONTRACTOR shall ensure that during the migration there is no loss of data due to any rounding / truncation / alteration / format change.</t>
        </is>
      </c>
      <c r="G2110" s="19" t="n"/>
      <c r="H2110" s="20" t="n"/>
      <c r="I2110" s="20" t="n"/>
      <c r="J2110" s="19" t="n"/>
      <c r="K2110" s="21" t="n"/>
      <c r="L2110" s="22">
        <f>IF(OR(J2110="",K2110=""),"",J2110*K2110)</f>
        <v/>
      </c>
      <c r="M2110" s="19" t="n"/>
      <c r="N2110" s="20" t="n"/>
      <c r="O2110" s="20" t="n"/>
    </row>
    <row r="2111">
      <c r="A2111" s="23" t="n">
        <v>2108</v>
      </c>
      <c r="B2111" s="24" t="inlineStr">
        <is>
          <t>2.7.7.7</t>
        </is>
      </c>
      <c r="C2111" s="25" t="inlineStr">
        <is>
          <t>Part 2 – Technical Systems</t>
        </is>
      </c>
      <c r="D2111" s="25" t="inlineStr">
        <is>
          <t>2.7 PRIVATE CLOUD TECHNICAL INFRASTRUCTURE</t>
        </is>
      </c>
      <c r="E2111" s="25" t="inlineStr">
        <is>
          <t>2.7.7 DATA MIGRATION</t>
        </is>
      </c>
      <c r="F2111" s="25" t="inlineStr">
        <is>
          <t>The CONTRACTOR shall analyze the existing Makkah 911 environment datasets, datastore and data, and shall submit to the MoI documentation that explains the mapping of the different data elements and shall conduct the related workshops with the MoI team before arriving at a final and complete mapping of the data to the CONTRACTOR delivered systems and solutions.</t>
        </is>
      </c>
      <c r="G2111" s="19" t="n"/>
      <c r="H2111" s="20" t="n"/>
      <c r="I2111" s="20" t="n"/>
      <c r="J2111" s="19" t="n"/>
      <c r="K2111" s="21" t="n"/>
      <c r="L2111" s="22">
        <f>IF(OR(J2111="",K2111=""),"",J2111*K2111)</f>
        <v/>
      </c>
      <c r="M2111" s="19" t="n"/>
      <c r="N2111" s="20" t="n"/>
      <c r="O2111" s="20" t="n"/>
    </row>
    <row r="2112">
      <c r="A2112" s="16" t="n">
        <v>2109</v>
      </c>
      <c r="B2112" s="17" t="inlineStr">
        <is>
          <t>2.7.7.8</t>
        </is>
      </c>
      <c r="C2112" s="18" t="inlineStr">
        <is>
          <t>Part 2 – Technical Systems</t>
        </is>
      </c>
      <c r="D2112" s="18" t="inlineStr">
        <is>
          <t>2.7 PRIVATE CLOUD TECHNICAL INFRASTRUCTURE</t>
        </is>
      </c>
      <c r="E2112" s="18" t="inlineStr">
        <is>
          <t>2.7.7 DATA MIGRATION</t>
        </is>
      </c>
      <c r="F2112" s="18" t="inlineStr">
        <is>
          <t>Should data transformation be required, the CONTRACTOR shall submit to the MoI the transformation rules that preserve the business and operational meaning and relevance of the data.</t>
        </is>
      </c>
      <c r="G2112" s="19" t="n"/>
      <c r="H2112" s="20" t="n"/>
      <c r="I2112" s="20" t="n"/>
      <c r="J2112" s="19" t="n"/>
      <c r="K2112" s="21" t="n"/>
      <c r="L2112" s="22">
        <f>IF(OR(J2112="",K2112=""),"",J2112*K2112)</f>
        <v/>
      </c>
      <c r="M2112" s="19" t="n"/>
      <c r="N2112" s="20" t="n"/>
      <c r="O2112" s="20" t="n"/>
    </row>
    <row r="2113">
      <c r="A2113" s="23" t="n">
        <v>2110</v>
      </c>
      <c r="B2113" s="24" t="inlineStr">
        <is>
          <t>2.7.7.9</t>
        </is>
      </c>
      <c r="C2113" s="25" t="inlineStr">
        <is>
          <t>Part 2 – Technical Systems</t>
        </is>
      </c>
      <c r="D2113" s="25" t="inlineStr">
        <is>
          <t>2.7 PRIVATE CLOUD TECHNICAL INFRASTRUCTURE</t>
        </is>
      </c>
      <c r="E2113" s="25" t="inlineStr">
        <is>
          <t>2.7.7 DATA MIGRATION</t>
        </is>
      </c>
      <c r="F2113" s="25" t="inlineStr">
        <is>
          <t>The CONTRACTOR shall ensure that their solutions support the data structure (schema) evolution across historical datasets, including the ability to ingest, map, and normalize data originating from multiple schema versions over time for all the existing systems whose data shall be migrated into the CONTRACTOR delivered systems and solutions.</t>
        </is>
      </c>
      <c r="G2113" s="19" t="n"/>
      <c r="H2113" s="20" t="n"/>
      <c r="I2113" s="20" t="n"/>
      <c r="J2113" s="19" t="n"/>
      <c r="K2113" s="21" t="n"/>
      <c r="L2113" s="22">
        <f>IF(OR(J2113="",K2113=""),"",J2113*K2113)</f>
        <v/>
      </c>
      <c r="M2113" s="19" t="n"/>
      <c r="N2113" s="20" t="n"/>
      <c r="O2113" s="20" t="n"/>
    </row>
    <row r="2114">
      <c r="A2114" s="16" t="n">
        <v>2111</v>
      </c>
      <c r="B2114" s="17" t="inlineStr">
        <is>
          <t>2.7.7.10</t>
        </is>
      </c>
      <c r="C2114" s="18" t="inlineStr">
        <is>
          <t>Part 2 – Technical Systems</t>
        </is>
      </c>
      <c r="D2114" s="18" t="inlineStr">
        <is>
          <t>2.7 PRIVATE CLOUD TECHNICAL INFRASTRUCTURE</t>
        </is>
      </c>
      <c r="E2114" s="18" t="inlineStr">
        <is>
          <t>2.7.7 DATA MIGRATION</t>
        </is>
      </c>
      <c r="F2114" s="18" t="inlineStr">
        <is>
          <t>Further to the data migration activity, the CONTRACTOR shall undertake a complete data reconciliation and validation exercise at record-level without relying only on statistical sampling.</t>
        </is>
      </c>
      <c r="G2114" s="19" t="n"/>
      <c r="H2114" s="20" t="n"/>
      <c r="I2114" s="20" t="n"/>
      <c r="J2114" s="19" t="n"/>
      <c r="K2114" s="21" t="n"/>
      <c r="L2114" s="22">
        <f>IF(OR(J2114="",K2114=""),"",J2114*K2114)</f>
        <v/>
      </c>
      <c r="M2114" s="19" t="n"/>
      <c r="N2114" s="20" t="n"/>
      <c r="O2114" s="20" t="n"/>
    </row>
    <row r="2115">
      <c r="A2115" s="23" t="n">
        <v>2112</v>
      </c>
      <c r="B2115" s="24" t="inlineStr">
        <is>
          <t>2.7.7.11</t>
        </is>
      </c>
      <c r="C2115" s="25" t="inlineStr">
        <is>
          <t>Part 2 – Technical Systems</t>
        </is>
      </c>
      <c r="D2115" s="25" t="inlineStr">
        <is>
          <t>2.7 PRIVATE CLOUD TECHNICAL INFRASTRUCTURE</t>
        </is>
      </c>
      <c r="E2115" s="25" t="inlineStr">
        <is>
          <t>2.7.7 DATA MIGRATION</t>
        </is>
      </c>
      <c r="F2115" s="25" t="inlineStr">
        <is>
          <t>Further to the data migration activity, the CONTRACTOR shall undertake a complete functional validation exercise to verify calls and incidents information including but not limited to call distribution, handling and recording, events dispatch and closure, events chronology etc.</t>
        </is>
      </c>
      <c r="G2115" s="19" t="n"/>
      <c r="H2115" s="20" t="n"/>
      <c r="I2115" s="20" t="n"/>
      <c r="J2115" s="19" t="n"/>
      <c r="K2115" s="21" t="n"/>
      <c r="L2115" s="22">
        <f>IF(OR(J2115="",K2115=""),"",J2115*K2115)</f>
        <v/>
      </c>
      <c r="M2115" s="19" t="n"/>
      <c r="N2115" s="20" t="n"/>
      <c r="O2115" s="20" t="n"/>
    </row>
    <row r="2116">
      <c r="A2116" s="16" t="n">
        <v>2113</v>
      </c>
      <c r="B2116" s="17" t="inlineStr">
        <is>
          <t>2.7.7.12</t>
        </is>
      </c>
      <c r="C2116" s="18" t="inlineStr">
        <is>
          <t>Part 2 – Technical Systems</t>
        </is>
      </c>
      <c r="D2116" s="18" t="inlineStr">
        <is>
          <t>2.7 PRIVATE CLOUD TECHNICAL INFRASTRUCTURE</t>
        </is>
      </c>
      <c r="E2116" s="18" t="inlineStr">
        <is>
          <t>2.7.7 DATA MIGRATION</t>
        </is>
      </c>
      <c r="F2116" s="18" t="inlineStr">
        <is>
          <t>The CONTRACTOR shall submit to the MoI a complete audit record of the migration activity documenting clearly failures and/or exceptions, if any, and the measures planned to correct the failures.</t>
        </is>
      </c>
      <c r="G2116" s="19" t="n"/>
      <c r="H2116" s="20" t="n"/>
      <c r="I2116" s="20" t="n"/>
      <c r="J2116" s="19" t="n"/>
      <c r="K2116" s="21" t="n"/>
      <c r="L2116" s="22">
        <f>IF(OR(J2116="",K2116=""),"",J2116*K2116)</f>
        <v/>
      </c>
      <c r="M2116" s="19" t="n"/>
      <c r="N2116" s="20" t="n"/>
      <c r="O2116" s="20" t="n"/>
    </row>
    <row r="2117">
      <c r="A2117" s="23" t="n">
        <v>2114</v>
      </c>
      <c r="B2117" s="24" t="inlineStr">
        <is>
          <t>2.7.7.13</t>
        </is>
      </c>
      <c r="C2117" s="25" t="inlineStr">
        <is>
          <t>Part 2 – Technical Systems</t>
        </is>
      </c>
      <c r="D2117" s="25" t="inlineStr">
        <is>
          <t>2.7 PRIVATE CLOUD TECHNICAL INFRASTRUCTURE</t>
        </is>
      </c>
      <c r="E2117" s="25" t="inlineStr">
        <is>
          <t>2.7.7 DATA MIGRATION</t>
        </is>
      </c>
      <c r="F2117" s="25" t="inlineStr">
        <is>
          <t>Following the data migration and reconciliation activity, the CONTRACTOR shall ensure that the CONTRACTOR delivered systems and solutions deliver the capability for authorized users to query historical and new data seamlessly without manual intervention, and to produce reports consistently whether the data is historical or the current data.</t>
        </is>
      </c>
      <c r="G2117" s="19" t="n"/>
      <c r="H2117" s="20" t="n"/>
      <c r="I2117" s="20" t="n"/>
      <c r="J2117" s="19" t="n"/>
      <c r="K2117" s="21" t="n"/>
      <c r="L2117" s="22">
        <f>IF(OR(J2117="",K2117=""),"",J2117*K2117)</f>
        <v/>
      </c>
      <c r="M2117" s="19" t="n"/>
      <c r="N2117" s="20" t="n"/>
      <c r="O2117" s="20" t="n"/>
    </row>
    <row r="2118">
      <c r="A2118" s="16" t="n">
        <v>2115</v>
      </c>
      <c r="B2118" s="17" t="inlineStr">
        <is>
          <t>2.7.8.1</t>
        </is>
      </c>
      <c r="C2118" s="18" t="inlineStr">
        <is>
          <t>Part 2 – Technical Systems</t>
        </is>
      </c>
      <c r="D2118" s="18" t="inlineStr">
        <is>
          <t>2.7 PRIVATE CLOUD TECHNICAL INFRASTRUCTURE</t>
        </is>
      </c>
      <c r="E2118" s="18" t="inlineStr">
        <is>
          <t>2.7.8 TRANSITION TO CONTRACTOR DELIVERED SYSTEMS AND SOLUTIONS</t>
        </is>
      </c>
      <c r="F2118" s="18" t="inlineStr">
        <is>
          <t>Further to their analysis of the existing Makkah 911 environment and within two months of the award of the contract, the CONTRACTOR shall submit to the MoI their approach and plan to transition the Makkah 911 operations, to run from the contractor delivered systems and solutions.</t>
        </is>
      </c>
      <c r="G2118" s="19" t="n"/>
      <c r="H2118" s="20" t="n"/>
      <c r="I2118" s="20" t="n"/>
      <c r="J2118" s="19" t="n"/>
      <c r="K2118" s="21" t="n"/>
      <c r="L2118" s="22">
        <f>IF(OR(J2118="",K2118=""),"",J2118*K2118)</f>
        <v/>
      </c>
      <c r="M2118" s="19" t="n"/>
      <c r="N2118" s="20" t="n"/>
      <c r="O2118" s="20" t="n"/>
    </row>
    <row r="2119">
      <c r="A2119" s="23" t="n">
        <v>2116</v>
      </c>
      <c r="B2119" s="24" t="inlineStr">
        <is>
          <t>2.7.8.2</t>
        </is>
      </c>
      <c r="C2119" s="25" t="inlineStr">
        <is>
          <t>Part 2 – Technical Systems</t>
        </is>
      </c>
      <c r="D2119" s="25" t="inlineStr">
        <is>
          <t>2.7 PRIVATE CLOUD TECHNICAL INFRASTRUCTURE</t>
        </is>
      </c>
      <c r="E2119" s="25" t="inlineStr">
        <is>
          <t>2.7.8 TRANSITION TO CONTRACTOR DELIVERED SYSTEMS AND SOLUTIONS</t>
        </is>
      </c>
      <c r="F2119" s="25" t="inlineStr">
        <is>
          <t>The CONTRACTOR shall ensure that the cutover to the contractor-delivered solutions is seamless and without loss of any live calls and/or live incidents.</t>
        </is>
      </c>
      <c r="G2119" s="19" t="n"/>
      <c r="H2119" s="20" t="n"/>
      <c r="I2119" s="20" t="n"/>
      <c r="J2119" s="19" t="n"/>
      <c r="K2119" s="21" t="n"/>
      <c r="L2119" s="22">
        <f>IF(OR(J2119="",K2119=""),"",J2119*K2119)</f>
        <v/>
      </c>
      <c r="M2119" s="19" t="n"/>
      <c r="N2119" s="20" t="n"/>
      <c r="O2119" s="20" t="n"/>
    </row>
    <row r="2120">
      <c r="A2120" s="16" t="n">
        <v>2117</v>
      </c>
      <c r="B2120" s="17" t="inlineStr">
        <is>
          <t>2.7.8.3</t>
        </is>
      </c>
      <c r="C2120" s="18" t="inlineStr">
        <is>
          <t>Part 2 – Technical Systems</t>
        </is>
      </c>
      <c r="D2120" s="18" t="inlineStr">
        <is>
          <t>2.7 PRIVATE CLOUD TECHNICAL INFRASTRUCTURE</t>
        </is>
      </c>
      <c r="E2120" s="18" t="inlineStr">
        <is>
          <t>2.7.8 TRANSITION TO CONTRACTOR DELIVERED SYSTEMS AND SOLUTIONS</t>
        </is>
      </c>
      <c r="F2120" s="18" t="inlineStr">
        <is>
          <t>The CONTRACTOR shall ensure that the cutover to the contractor-delivered solutions does not result in any dropped calls.</t>
        </is>
      </c>
      <c r="G2120" s="19" t="n"/>
      <c r="H2120" s="20" t="n"/>
      <c r="I2120" s="20" t="n"/>
      <c r="J2120" s="19" t="n"/>
      <c r="K2120" s="21" t="n"/>
      <c r="L2120" s="22">
        <f>IF(OR(J2120="",K2120=""),"",J2120*K2120)</f>
        <v/>
      </c>
      <c r="M2120" s="19" t="n"/>
      <c r="N2120" s="20" t="n"/>
      <c r="O2120" s="20" t="n"/>
    </row>
    <row r="2121">
      <c r="A2121" s="23" t="n">
        <v>2118</v>
      </c>
      <c r="B2121" s="24" t="inlineStr">
        <is>
          <t>2.7.9.1</t>
        </is>
      </c>
      <c r="C2121" s="25" t="inlineStr">
        <is>
          <t>Part 2 – Technical Systems</t>
        </is>
      </c>
      <c r="D2121" s="25" t="inlineStr">
        <is>
          <t>2.7 PRIVATE CLOUD TECHNICAL INFRASTRUCTURE</t>
        </is>
      </c>
      <c r="E2121" s="25" t="inlineStr">
        <is>
          <t>2.7.9 DATA MANAGEMENT</t>
        </is>
      </c>
      <c r="F2121" s="25" t="inlineStr">
        <is>
          <t>As part of their CONTRACT implementation, the CONTRACTOR shall implement data governance by defining the different roles and responsibilities involved in data management and the ownership for the data vis-à-vis the defined roles.</t>
        </is>
      </c>
      <c r="G2121" s="19" t="n"/>
      <c r="H2121" s="20" t="n"/>
      <c r="I2121" s="20" t="n"/>
      <c r="J2121" s="19" t="n"/>
      <c r="K2121" s="21" t="n"/>
      <c r="L2121" s="22">
        <f>IF(OR(J2121="",K2121=""),"",J2121*K2121)</f>
        <v/>
      </c>
      <c r="M2121" s="19" t="n"/>
      <c r="N2121" s="20" t="n"/>
      <c r="O2121" s="20" t="n"/>
    </row>
    <row r="2122">
      <c r="A2122" s="16" t="n">
        <v>2119</v>
      </c>
      <c r="B2122" s="17" t="inlineStr">
        <is>
          <t>2.7.9.2</t>
        </is>
      </c>
      <c r="C2122" s="18" t="inlineStr">
        <is>
          <t>Part 2 – Technical Systems</t>
        </is>
      </c>
      <c r="D2122" s="18" t="inlineStr">
        <is>
          <t>2.7 PRIVATE CLOUD TECHNICAL INFRASTRUCTURE</t>
        </is>
      </c>
      <c r="E2122" s="18" t="inlineStr">
        <is>
          <t>2.7.9 DATA MANAGEMENT</t>
        </is>
      </c>
      <c r="F2122" s="18" t="inlineStr">
        <is>
          <t>The CONTRACTOR shall define and implement data governance policies, accesses and rules in accordance with the MOI and SDAIA policies for critical systems data, considering all OSS911 solutions data as critical data.</t>
        </is>
      </c>
      <c r="G2122" s="19" t="n"/>
      <c r="H2122" s="20" t="n"/>
      <c r="I2122" s="20" t="n"/>
      <c r="J2122" s="19" t="n"/>
      <c r="K2122" s="21" t="n"/>
      <c r="L2122" s="22">
        <f>IF(OR(J2122="",K2122=""),"",J2122*K2122)</f>
        <v/>
      </c>
      <c r="M2122" s="19" t="n"/>
      <c r="N2122" s="20" t="n"/>
      <c r="O2122" s="20" t="n"/>
    </row>
    <row r="2123">
      <c r="A2123" s="23" t="n">
        <v>2120</v>
      </c>
      <c r="B2123" s="24" t="inlineStr">
        <is>
          <t>2.7.9.3</t>
        </is>
      </c>
      <c r="C2123" s="25" t="inlineStr">
        <is>
          <t>Part 2 – Technical Systems</t>
        </is>
      </c>
      <c r="D2123" s="25" t="inlineStr">
        <is>
          <t>2.7 PRIVATE CLOUD TECHNICAL INFRASTRUCTURE</t>
        </is>
      </c>
      <c r="E2123" s="25" t="inlineStr">
        <is>
          <t>2.7.9 DATA MANAGEMENT</t>
        </is>
      </c>
      <c r="F2123" s="25" t="inlineStr">
        <is>
          <t>As part of the centralized data repository created and maintained by the CONTRACTOR for the duration of the contract, the CONTRACTOR shall deliver data quality management, data consistency and data cleansing, and provides metrics and reporting on data quality.</t>
        </is>
      </c>
      <c r="G2123" s="19" t="n"/>
      <c r="H2123" s="20" t="n"/>
      <c r="I2123" s="20" t="n"/>
      <c r="J2123" s="19" t="n"/>
      <c r="K2123" s="21" t="n"/>
      <c r="L2123" s="22">
        <f>IF(OR(J2123="",K2123=""),"",J2123*K2123)</f>
        <v/>
      </c>
      <c r="M2123" s="19" t="n"/>
      <c r="N2123" s="20" t="n"/>
      <c r="O2123" s="20" t="n"/>
    </row>
    <row r="2124">
      <c r="A2124" s="16" t="n">
        <v>2121</v>
      </c>
      <c r="B2124" s="17" t="inlineStr">
        <is>
          <t>2.7.9.4</t>
        </is>
      </c>
      <c r="C2124" s="18" t="inlineStr">
        <is>
          <t>Part 2 – Technical Systems</t>
        </is>
      </c>
      <c r="D2124" s="18" t="inlineStr">
        <is>
          <t>2.7 PRIVATE CLOUD TECHNICAL INFRASTRUCTURE</t>
        </is>
      </c>
      <c r="E2124" s="18" t="inlineStr">
        <is>
          <t>2.7.9 DATA MANAGEMENT</t>
        </is>
      </c>
      <c r="F2124" s="18" t="inlineStr">
        <is>
          <t>As part of their CONTRACT implementation, the CONTRACTOR shall implement data discovery capabilities that includes periodic automated scanning of all OSS911 databases and files to be able to extract meaningful metadata and to identify critical/sensitive data that aids in data classification.</t>
        </is>
      </c>
      <c r="G2124" s="19" t="n"/>
      <c r="H2124" s="20" t="n"/>
      <c r="I2124" s="20" t="n"/>
      <c r="J2124" s="19" t="n"/>
      <c r="K2124" s="21" t="n"/>
      <c r="L2124" s="22">
        <f>IF(OR(J2124="",K2124=""),"",J2124*K2124)</f>
        <v/>
      </c>
      <c r="M2124" s="19" t="n"/>
      <c r="N2124" s="20" t="n"/>
      <c r="O2124" s="20" t="n"/>
    </row>
    <row r="2125">
      <c r="A2125" s="23" t="n">
        <v>2122</v>
      </c>
      <c r="B2125" s="24" t="inlineStr">
        <is>
          <t>2.7.9.5</t>
        </is>
      </c>
      <c r="C2125" s="25" t="inlineStr">
        <is>
          <t>Part 2 – Technical Systems</t>
        </is>
      </c>
      <c r="D2125" s="25" t="inlineStr">
        <is>
          <t>2.7 PRIVATE CLOUD TECHNICAL INFRASTRUCTURE</t>
        </is>
      </c>
      <c r="E2125" s="25" t="inlineStr">
        <is>
          <t>2.7.9 DATA MANAGEMENT</t>
        </is>
      </c>
      <c r="F2125" s="25" t="inlineStr">
        <is>
          <t>The CONTRACTOR shall develop a data classification policy in conjunction with the MOI and shall have this policy approved by the MOI prior to implementing any database in production and training environments.</t>
        </is>
      </c>
      <c r="G2125" s="19" t="n"/>
      <c r="H2125" s="20" t="n"/>
      <c r="I2125" s="20" t="n"/>
      <c r="J2125" s="19" t="n"/>
      <c r="K2125" s="21" t="n"/>
      <c r="L2125" s="22">
        <f>IF(OR(J2125="",K2125=""),"",J2125*K2125)</f>
        <v/>
      </c>
      <c r="M2125" s="19" t="n"/>
      <c r="N2125" s="20" t="n"/>
      <c r="O2125" s="20" t="n"/>
    </row>
    <row r="2126">
      <c r="A2126" s="16" t="n">
        <v>2123</v>
      </c>
      <c r="B2126" s="17" t="inlineStr">
        <is>
          <t>2.7.9.6</t>
        </is>
      </c>
      <c r="C2126" s="18" t="inlineStr">
        <is>
          <t>Part 2 – Technical Systems</t>
        </is>
      </c>
      <c r="D2126" s="18" t="inlineStr">
        <is>
          <t>2.7 PRIVATE CLOUD TECHNICAL INFRASTRUCTURE</t>
        </is>
      </c>
      <c r="E2126" s="18" t="inlineStr">
        <is>
          <t>2.7.9 DATA MANAGEMENT</t>
        </is>
      </c>
      <c r="F2126" s="18" t="inlineStr">
        <is>
          <t>The CONTRACTOR shall classify all data as per the approved Data Classification Policy, irrespective of the data formats, and on all systems, and shall label according to the relevant KSA legal and regulatory frameworks as per the approved data classifications policy.</t>
        </is>
      </c>
      <c r="G2126" s="19" t="n"/>
      <c r="H2126" s="20" t="n"/>
      <c r="I2126" s="20" t="n"/>
      <c r="J2126" s="19" t="n"/>
      <c r="K2126" s="21" t="n"/>
      <c r="L2126" s="22">
        <f>IF(OR(J2126="",K2126=""),"",J2126*K2126)</f>
        <v/>
      </c>
      <c r="M2126" s="19" t="n"/>
      <c r="N2126" s="20" t="n"/>
      <c r="O2126" s="20" t="n"/>
    </row>
    <row r="2127">
      <c r="A2127" s="23" t="n">
        <v>2124</v>
      </c>
      <c r="B2127" s="24" t="inlineStr">
        <is>
          <t>2.7.9.7</t>
        </is>
      </c>
      <c r="C2127" s="25" t="inlineStr">
        <is>
          <t>Part 2 – Technical Systems</t>
        </is>
      </c>
      <c r="D2127" s="25" t="inlineStr">
        <is>
          <t>2.7 PRIVATE CLOUD TECHNICAL INFRASTRUCTURE</t>
        </is>
      </c>
      <c r="E2127" s="25" t="inlineStr">
        <is>
          <t>2.7.9 DATA MANAGEMENT</t>
        </is>
      </c>
      <c r="F2127" s="25" t="inlineStr">
        <is>
          <t>The CONTRACTOR shall implement a Data Loss Protection (DLP) solution that is centrally managed, and that secures, monitors and alerts on compromises on data and information security.</t>
        </is>
      </c>
      <c r="G2127" s="19" t="n"/>
      <c r="H2127" s="20" t="n"/>
      <c r="I2127" s="20" t="n"/>
      <c r="J2127" s="19" t="n"/>
      <c r="K2127" s="21" t="n"/>
      <c r="L2127" s="22">
        <f>IF(OR(J2127="",K2127=""),"",J2127*K2127)</f>
        <v/>
      </c>
      <c r="M2127" s="19" t="n"/>
      <c r="N2127" s="20" t="n"/>
      <c r="O2127" s="20" t="n"/>
    </row>
    <row r="2128">
      <c r="A2128" s="16" t="n">
        <v>2125</v>
      </c>
      <c r="B2128" s="17" t="inlineStr">
        <is>
          <t>2.7.9.8</t>
        </is>
      </c>
      <c r="C2128" s="18" t="inlineStr">
        <is>
          <t>Part 2 – Technical Systems</t>
        </is>
      </c>
      <c r="D2128" s="18" t="inlineStr">
        <is>
          <t>2.7 PRIVATE CLOUD TECHNICAL INFRASTRUCTURE</t>
        </is>
      </c>
      <c r="E2128" s="18" t="inlineStr">
        <is>
          <t>2.7.9 DATA MANAGEMENT</t>
        </is>
      </c>
      <c r="F2128" s="18" t="inlineStr">
        <is>
          <t>The CONTRACTOR shall configure the DLP solution for safeguarding all data exchanges including through REST APIs and SMS interfaces for data exposure, leakage and/or unauthorized transfer.</t>
        </is>
      </c>
      <c r="G2128" s="19" t="n"/>
      <c r="H2128" s="20" t="n"/>
      <c r="I2128" s="20" t="n"/>
      <c r="J2128" s="19" t="n"/>
      <c r="K2128" s="21" t="n"/>
      <c r="L2128" s="22">
        <f>IF(OR(J2128="",K2128=""),"",J2128*K2128)</f>
        <v/>
      </c>
      <c r="M2128" s="19" t="n"/>
      <c r="N2128" s="20" t="n"/>
      <c r="O2128" s="20" t="n"/>
    </row>
    <row r="2129">
      <c r="A2129" s="23" t="n">
        <v>2126</v>
      </c>
      <c r="B2129" s="24" t="inlineStr">
        <is>
          <t>2.7.9.9</t>
        </is>
      </c>
      <c r="C2129" s="25" t="inlineStr">
        <is>
          <t>Part 2 – Technical Systems</t>
        </is>
      </c>
      <c r="D2129" s="25" t="inlineStr">
        <is>
          <t>2.7 PRIVATE CLOUD TECHNICAL INFRASTRUCTURE</t>
        </is>
      </c>
      <c r="E2129" s="25" t="inlineStr">
        <is>
          <t>2.7.9 DATA MANAGEMENT</t>
        </is>
      </c>
      <c r="F2129" s="25" t="inlineStr">
        <is>
          <t>The CONTRACTOR shall configure the DLP solution for inspecting API and SMS payloads in real time and to redact, mask, encrypt or block fields, or deny entire transactions.</t>
        </is>
      </c>
      <c r="G2129" s="19" t="n"/>
      <c r="H2129" s="20" t="n"/>
      <c r="I2129" s="20" t="n"/>
      <c r="J2129" s="19" t="n"/>
      <c r="K2129" s="21" t="n"/>
      <c r="L2129" s="22">
        <f>IF(OR(J2129="",K2129=""),"",J2129*K2129)</f>
        <v/>
      </c>
      <c r="M2129" s="19" t="n"/>
      <c r="N2129" s="20" t="n"/>
      <c r="O2129" s="20" t="n"/>
    </row>
    <row r="2130">
      <c r="A2130" s="16" t="n">
        <v>2127</v>
      </c>
      <c r="B2130" s="17" t="inlineStr">
        <is>
          <t>2.7.9.10</t>
        </is>
      </c>
      <c r="C2130" s="18" t="inlineStr">
        <is>
          <t>Part 2 – Technical Systems</t>
        </is>
      </c>
      <c r="D2130" s="18" t="inlineStr">
        <is>
          <t>2.7 PRIVATE CLOUD TECHNICAL INFRASTRUCTURE</t>
        </is>
      </c>
      <c r="E2130" s="18" t="inlineStr">
        <is>
          <t>2.7.9 DATA MANAGEMENT</t>
        </is>
      </c>
      <c r="F2130" s="18" t="inlineStr">
        <is>
          <t>The CONTRACTOR shall create, monitor and maintain a DLP register for the different types of data and information to be exchanged internally and externally.</t>
        </is>
      </c>
      <c r="G2130" s="19" t="n"/>
      <c r="H2130" s="20" t="n"/>
      <c r="I2130" s="20" t="n"/>
      <c r="J2130" s="19" t="n"/>
      <c r="K2130" s="21" t="n"/>
      <c r="L2130" s="22">
        <f>IF(OR(J2130="",K2130=""),"",J2130*K2130)</f>
        <v/>
      </c>
      <c r="M2130" s="19" t="n"/>
      <c r="N2130" s="20" t="n"/>
      <c r="O2130" s="20" t="n"/>
    </row>
    <row r="2131">
      <c r="A2131" s="23" t="n">
        <v>2128</v>
      </c>
      <c r="B2131" s="24" t="inlineStr">
        <is>
          <t>2.7.9.11</t>
        </is>
      </c>
      <c r="C2131" s="25" t="inlineStr">
        <is>
          <t>Part 2 – Technical Systems</t>
        </is>
      </c>
      <c r="D2131" s="25" t="inlineStr">
        <is>
          <t>2.7 PRIVATE CLOUD TECHNICAL INFRASTRUCTURE</t>
        </is>
      </c>
      <c r="E2131" s="25" t="inlineStr">
        <is>
          <t>2.7.9 DATA MANAGEMENT</t>
        </is>
      </c>
      <c r="F2131" s="25" t="inlineStr">
        <is>
          <t>The CONTRACTOR shall submit this DLP register along with the data classification to the MOI for approval prior to implementing any data storage in production and training environments.</t>
        </is>
      </c>
      <c r="G2131" s="19" t="n"/>
      <c r="H2131" s="20" t="n"/>
      <c r="I2131" s="20" t="n"/>
      <c r="J2131" s="19" t="n"/>
      <c r="K2131" s="21" t="n"/>
      <c r="L2131" s="22">
        <f>IF(OR(J2131="",K2131=""),"",J2131*K2131)</f>
        <v/>
      </c>
      <c r="M2131" s="19" t="n"/>
      <c r="N2131" s="20" t="n"/>
      <c r="O2131" s="20" t="n"/>
    </row>
    <row r="2132">
      <c r="A2132" s="16" t="n">
        <v>2129</v>
      </c>
      <c r="B2132" s="17" t="inlineStr">
        <is>
          <t>2.7.9.12</t>
        </is>
      </c>
      <c r="C2132" s="18" t="inlineStr">
        <is>
          <t>Part 2 – Technical Systems</t>
        </is>
      </c>
      <c r="D2132" s="18" t="inlineStr">
        <is>
          <t>2.7 PRIVATE CLOUD TECHNICAL INFRASTRUCTURE</t>
        </is>
      </c>
      <c r="E2132" s="18" t="inlineStr">
        <is>
          <t>2.7.9 DATA MANAGEMENT</t>
        </is>
      </c>
      <c r="F2132" s="18" t="inlineStr">
        <is>
          <t>The CONTRACTOR shall create and maintain a list of vectors (networks, interfaces, applications etc.,) by which data and information contained in the DLP register can exit/transfer.</t>
        </is>
      </c>
      <c r="G2132" s="19" t="n"/>
      <c r="H2132" s="20" t="n"/>
      <c r="I2132" s="20" t="n"/>
      <c r="J2132" s="19" t="n"/>
      <c r="K2132" s="21" t="n"/>
      <c r="L2132" s="22">
        <f>IF(OR(J2132="",K2132=""),"",J2132*K2132)</f>
        <v/>
      </c>
      <c r="M2132" s="19" t="n"/>
      <c r="N2132" s="20" t="n"/>
      <c r="O2132" s="20" t="n"/>
    </row>
    <row r="2133">
      <c r="A2133" s="23" t="n">
        <v>2130</v>
      </c>
      <c r="B2133" s="24" t="inlineStr">
        <is>
          <t>2.7.9.13</t>
        </is>
      </c>
      <c r="C2133" s="25" t="inlineStr">
        <is>
          <t>Part 2 – Technical Systems</t>
        </is>
      </c>
      <c r="D2133" s="25" t="inlineStr">
        <is>
          <t>2.7 PRIVATE CLOUD TECHNICAL INFRASTRUCTURE</t>
        </is>
      </c>
      <c r="E2133" s="25" t="inlineStr">
        <is>
          <t>2.7.9 DATA MANAGEMENT</t>
        </is>
      </c>
      <c r="F2133" s="25" t="inlineStr">
        <is>
          <t>The CONTRACTOR shall configure the DLP solution to monitor and control the movement of data listed in the DLP register using a predefined approved set of rules.</t>
        </is>
      </c>
      <c r="G2133" s="19" t="n"/>
      <c r="H2133" s="20" t="n"/>
      <c r="I2133" s="20" t="n"/>
      <c r="J2133" s="19" t="n"/>
      <c r="K2133" s="21" t="n"/>
      <c r="L2133" s="22">
        <f>IF(OR(J2133="",K2133=""),"",J2133*K2133)</f>
        <v/>
      </c>
      <c r="M2133" s="19" t="n"/>
      <c r="N2133" s="20" t="n"/>
      <c r="O2133" s="20" t="n"/>
    </row>
    <row r="2134">
      <c r="A2134" s="16" t="n">
        <v>2131</v>
      </c>
      <c r="B2134" s="17" t="inlineStr">
        <is>
          <t>2.7.9.14</t>
        </is>
      </c>
      <c r="C2134" s="18" t="inlineStr">
        <is>
          <t>Part 2 – Technical Systems</t>
        </is>
      </c>
      <c r="D2134" s="18" t="inlineStr">
        <is>
          <t>2.7 PRIVATE CLOUD TECHNICAL INFRASTRUCTURE</t>
        </is>
      </c>
      <c r="E2134" s="18" t="inlineStr">
        <is>
          <t>2.7.9 DATA MANAGEMENT</t>
        </is>
      </c>
      <c r="F2134" s="18" t="inlineStr">
        <is>
          <t>The CONTRACTOR shall integrate the DLP solution with the CONTRACTOR deployed SIEM solution.</t>
        </is>
      </c>
      <c r="G2134" s="19" t="n"/>
      <c r="H2134" s="20" t="n"/>
      <c r="I2134" s="20" t="n"/>
      <c r="J2134" s="19" t="n"/>
      <c r="K2134" s="21" t="n"/>
      <c r="L2134" s="22">
        <f>IF(OR(J2134="",K2134=""),"",J2134*K2134)</f>
        <v/>
      </c>
      <c r="M2134" s="19" t="n"/>
      <c r="N2134" s="20" t="n"/>
      <c r="O2134" s="20" t="n"/>
    </row>
    <row r="2135">
      <c r="A2135" s="23" t="n">
        <v>2132</v>
      </c>
      <c r="B2135" s="24" t="inlineStr">
        <is>
          <t>2.7.9.15</t>
        </is>
      </c>
      <c r="C2135" s="25" t="inlineStr">
        <is>
          <t>Part 2 – Technical Systems</t>
        </is>
      </c>
      <c r="D2135" s="25" t="inlineStr">
        <is>
          <t>2.7 PRIVATE CLOUD TECHNICAL INFRASTRUCTURE</t>
        </is>
      </c>
      <c r="E2135" s="25" t="inlineStr">
        <is>
          <t>2.7.9 DATA MANAGEMENT</t>
        </is>
      </c>
      <c r="F2135" s="25" t="inlineStr">
        <is>
          <t>The CONTRACTOR shall implement context-aware controls for DLP for APIs including user role, consuming applications, end point location, transaction intent etc.</t>
        </is>
      </c>
      <c r="G2135" s="19" t="n"/>
      <c r="H2135" s="20" t="n"/>
      <c r="I2135" s="20" t="n"/>
      <c r="J2135" s="19" t="n"/>
      <c r="K2135" s="21" t="n"/>
      <c r="L2135" s="22">
        <f>IF(OR(J2135="",K2135=""),"",J2135*K2135)</f>
        <v/>
      </c>
      <c r="M2135" s="19" t="n"/>
      <c r="N2135" s="20" t="n"/>
      <c r="O2135" s="20" t="n"/>
    </row>
    <row r="2136">
      <c r="A2136" s="16" t="n">
        <v>2133</v>
      </c>
      <c r="B2136" s="17" t="inlineStr">
        <is>
          <t>2.7.10.1</t>
        </is>
      </c>
      <c r="C2136" s="18" t="inlineStr">
        <is>
          <t>Part 2 – Technical Systems</t>
        </is>
      </c>
      <c r="D2136" s="18" t="inlineStr">
        <is>
          <t>2.7 PRIVATE CLOUD TECHNICAL INFRASTRUCTURE</t>
        </is>
      </c>
      <c r="E2136" s="18" t="inlineStr">
        <is>
          <t>2.7.10 BACKUP</t>
        </is>
      </c>
      <c r="F2136" s="18" t="inlineStr">
        <is>
          <t>The CONTRACTOR shall supply a centralized backup solution that performs automated / unattended backup of all data using:</t>
        </is>
      </c>
      <c r="G2136" s="19" t="n"/>
      <c r="H2136" s="20" t="n"/>
      <c r="I2136" s="20" t="n"/>
      <c r="J2136" s="19" t="n"/>
      <c r="K2136" s="21" t="n"/>
      <c r="L2136" s="22">
        <f>IF(OR(J2136="",K2136=""),"",J2136*K2136)</f>
        <v/>
      </c>
      <c r="M2136" s="19" t="n"/>
      <c r="N2136" s="20" t="n"/>
      <c r="O2136" s="20" t="n"/>
    </row>
    <row r="2137">
      <c r="A2137" s="23" t="n">
        <v>2134</v>
      </c>
      <c r="B2137" s="23" t="inlineStr">
        <is>
          <t>2.7.10.1.1</t>
        </is>
      </c>
      <c r="C2137" s="25" t="inlineStr">
        <is>
          <t>Part 2 – Technical Systems</t>
        </is>
      </c>
      <c r="D2137" s="25" t="inlineStr">
        <is>
          <t>2.7 PRIVATE CLOUD TECHNICAL INFRASTRUCTURE</t>
        </is>
      </c>
      <c r="E2137" s="25" t="inlineStr">
        <is>
          <t>2.7.10 BACKUP</t>
        </is>
      </c>
      <c r="F2137" s="25" t="inlineStr">
        <is>
          <t>Network-based backup solution using removable rewritable media such as DVD / tapes that can be stored offline.</t>
        </is>
      </c>
      <c r="G2137" s="19" t="n"/>
      <c r="H2137" s="20" t="n"/>
      <c r="I2137" s="20" t="n"/>
      <c r="J2137" s="19" t="n"/>
      <c r="K2137" s="21" t="n"/>
      <c r="L2137" s="22">
        <f>IF(OR(J2137="",K2137=""),"",J2137*K2137)</f>
        <v/>
      </c>
      <c r="M2137" s="19" t="n"/>
      <c r="N2137" s="20" t="n"/>
      <c r="O2137" s="20" t="n"/>
    </row>
    <row r="2138">
      <c r="A2138" s="16" t="n">
        <v>2135</v>
      </c>
      <c r="B2138" s="16" t="inlineStr">
        <is>
          <t>2.7.10.1.2</t>
        </is>
      </c>
      <c r="C2138" s="18" t="inlineStr">
        <is>
          <t>Part 2 – Technical Systems</t>
        </is>
      </c>
      <c r="D2138" s="18" t="inlineStr">
        <is>
          <t>2.7 PRIVATE CLOUD TECHNICAL INFRASTRUCTURE</t>
        </is>
      </c>
      <c r="E2138" s="18" t="inlineStr">
        <is>
          <t>2.7.10 BACKUP</t>
        </is>
      </c>
      <c r="F2138" s="18" t="inlineStr">
        <is>
          <t>Online network backup solution to high-speed secondary storage such as storage arrays.</t>
        </is>
      </c>
      <c r="G2138" s="19" t="n"/>
      <c r="H2138" s="20" t="n"/>
      <c r="I2138" s="20" t="n"/>
      <c r="J2138" s="19" t="n"/>
      <c r="K2138" s="21" t="n"/>
      <c r="L2138" s="22">
        <f>IF(OR(J2138="",K2138=""),"",J2138*K2138)</f>
        <v/>
      </c>
      <c r="M2138" s="19" t="n"/>
      <c r="N2138" s="20" t="n"/>
      <c r="O2138" s="20" t="n"/>
    </row>
    <row r="2139">
      <c r="A2139" s="23" t="n">
        <v>2136</v>
      </c>
      <c r="B2139" s="24" t="inlineStr">
        <is>
          <t>2.7.10.2</t>
        </is>
      </c>
      <c r="C2139" s="25" t="inlineStr">
        <is>
          <t>Part 2 – Technical Systems</t>
        </is>
      </c>
      <c r="D2139" s="25" t="inlineStr">
        <is>
          <t>2.7 PRIVATE CLOUD TECHNICAL INFRASTRUCTURE</t>
        </is>
      </c>
      <c r="E2139" s="25" t="inlineStr">
        <is>
          <t>2.7.10 BACKUP</t>
        </is>
      </c>
      <c r="F2139" s="25" t="inlineStr">
        <is>
          <t>All backed up data shall be indexed, retrievable and restorable.</t>
        </is>
      </c>
      <c r="G2139" s="19" t="n"/>
      <c r="H2139" s="20" t="n"/>
      <c r="I2139" s="20" t="n"/>
      <c r="J2139" s="19" t="n"/>
      <c r="K2139" s="21" t="n"/>
      <c r="L2139" s="22">
        <f>IF(OR(J2139="",K2139=""),"",J2139*K2139)</f>
        <v/>
      </c>
      <c r="M2139" s="19" t="n"/>
      <c r="N2139" s="20" t="n"/>
      <c r="O2139" s="20" t="n"/>
    </row>
    <row r="2140">
      <c r="A2140" s="16" t="n">
        <v>2137</v>
      </c>
      <c r="B2140" s="17" t="inlineStr">
        <is>
          <t>2.7.10.3</t>
        </is>
      </c>
      <c r="C2140" s="18" t="inlineStr">
        <is>
          <t>Part 2 – Technical Systems</t>
        </is>
      </c>
      <c r="D2140" s="18" t="inlineStr">
        <is>
          <t>2.7 PRIVATE CLOUD TECHNICAL INFRASTRUCTURE</t>
        </is>
      </c>
      <c r="E2140" s="18" t="inlineStr">
        <is>
          <t>2.7.10 BACKUP</t>
        </is>
      </c>
      <c r="F2140" s="18" t="inlineStr">
        <is>
          <t>The BIDDER shall include as part of their proposal a suggested backup policy covering frequency of backups, backup windows, retention period, and rotation schemes.</t>
        </is>
      </c>
      <c r="G2140" s="19" t="n"/>
      <c r="H2140" s="20" t="n"/>
      <c r="I2140" s="20" t="n"/>
      <c r="J2140" s="19" t="n"/>
      <c r="K2140" s="21" t="n"/>
      <c r="L2140" s="22">
        <f>IF(OR(J2140="",K2140=""),"",J2140*K2140)</f>
        <v/>
      </c>
      <c r="M2140" s="19" t="n"/>
      <c r="N2140" s="20" t="n"/>
      <c r="O2140" s="20" t="n"/>
    </row>
    <row r="2141">
      <c r="A2141" s="23" t="n">
        <v>2138</v>
      </c>
      <c r="B2141" s="24" t="inlineStr">
        <is>
          <t>2.7.10.4</t>
        </is>
      </c>
      <c r="C2141" s="25" t="inlineStr">
        <is>
          <t>Part 2 – Technical Systems</t>
        </is>
      </c>
      <c r="D2141" s="25" t="inlineStr">
        <is>
          <t>2.7 PRIVATE CLOUD TECHNICAL INFRASTRUCTURE</t>
        </is>
      </c>
      <c r="E2141" s="25" t="inlineStr">
        <is>
          <t>2.7.10 BACKUP</t>
        </is>
      </c>
      <c r="F2141" s="25" t="inlineStr">
        <is>
          <t>At a minimum, the CONTRACTOR shall implement the following minimum retention periods as part of the backup solution:</t>
        </is>
      </c>
      <c r="G2141" s="19" t="n"/>
      <c r="H2141" s="20" t="n"/>
      <c r="I2141" s="20" t="n"/>
      <c r="J2141" s="19" t="n"/>
      <c r="K2141" s="21" t="n"/>
      <c r="L2141" s="22">
        <f>IF(OR(J2141="",K2141=""),"",J2141*K2141)</f>
        <v/>
      </c>
      <c r="M2141" s="19" t="n"/>
      <c r="N2141" s="20" t="n"/>
      <c r="O2141" s="20" t="n"/>
    </row>
    <row r="2142">
      <c r="A2142" s="16" t="n">
        <v>2139</v>
      </c>
      <c r="B2142" s="16" t="inlineStr">
        <is>
          <t>2.7.10.4.1</t>
        </is>
      </c>
      <c r="C2142" s="18" t="inlineStr">
        <is>
          <t>Part 2 – Technical Systems</t>
        </is>
      </c>
      <c r="D2142" s="18" t="inlineStr">
        <is>
          <t>2.7 PRIVATE CLOUD TECHNICAL INFRASTRUCTURE</t>
        </is>
      </c>
      <c r="E2142" s="18" t="inlineStr">
        <is>
          <t>2.7.10 BACKUP</t>
        </is>
      </c>
      <c r="F2142" s="18" t="inlineStr">
        <is>
          <t>Online for all critical data including all incidents voice and data for up to one year. Video to be included if video is related to an event.</t>
        </is>
      </c>
      <c r="G2142" s="19" t="n"/>
      <c r="H2142" s="20" t="n"/>
      <c r="I2142" s="20" t="n"/>
      <c r="J2142" s="19" t="n"/>
      <c r="K2142" s="21" t="n"/>
      <c r="L2142" s="22">
        <f>IF(OR(J2142="",K2142=""),"",J2142*K2142)</f>
        <v/>
      </c>
      <c r="M2142" s="19" t="n"/>
      <c r="N2142" s="20" t="n"/>
      <c r="O2142" s="20" t="n"/>
    </row>
    <row r="2143">
      <c r="A2143" s="23" t="n">
        <v>2140</v>
      </c>
      <c r="B2143" s="23" t="inlineStr">
        <is>
          <t>2.7.10.4.2</t>
        </is>
      </c>
      <c r="C2143" s="25" t="inlineStr">
        <is>
          <t>Part 2 – Technical Systems</t>
        </is>
      </c>
      <c r="D2143" s="25" t="inlineStr">
        <is>
          <t>2.7 PRIVATE CLOUD TECHNICAL INFRASTRUCTURE</t>
        </is>
      </c>
      <c r="E2143" s="25" t="inlineStr">
        <is>
          <t>2.7.10 BACKUP</t>
        </is>
      </c>
      <c r="F2143" s="25" t="inlineStr">
        <is>
          <t>Offline for all critical data including all incidents voice and data for up to five years.</t>
        </is>
      </c>
      <c r="G2143" s="19" t="n"/>
      <c r="H2143" s="20" t="n"/>
      <c r="I2143" s="20" t="n"/>
      <c r="J2143" s="19" t="n"/>
      <c r="K2143" s="21" t="n"/>
      <c r="L2143" s="22">
        <f>IF(OR(J2143="",K2143=""),"",J2143*K2143)</f>
        <v/>
      </c>
      <c r="M2143" s="19" t="n"/>
      <c r="N2143" s="20" t="n"/>
      <c r="O2143" s="20" t="n"/>
    </row>
    <row r="2144">
      <c r="A2144" s="16" t="n">
        <v>2141</v>
      </c>
      <c r="B2144" s="16" t="inlineStr">
        <is>
          <t>2.7.10.4.3</t>
        </is>
      </c>
      <c r="C2144" s="18" t="inlineStr">
        <is>
          <t>Part 2 – Technical Systems</t>
        </is>
      </c>
      <c r="D2144" s="18" t="inlineStr">
        <is>
          <t>2.7 PRIVATE CLOUD TECHNICAL INFRASTRUCTURE</t>
        </is>
      </c>
      <c r="E2144" s="18" t="inlineStr">
        <is>
          <t>2.7.10 BACKUP</t>
        </is>
      </c>
      <c r="F2144" s="18" t="inlineStr">
        <is>
          <t>Extended Offline for identified incidents voice and data for up to eight years.</t>
        </is>
      </c>
      <c r="G2144" s="19" t="n"/>
      <c r="H2144" s="20" t="n"/>
      <c r="I2144" s="20" t="n"/>
      <c r="J2144" s="19" t="n"/>
      <c r="K2144" s="21" t="n"/>
      <c r="L2144" s="22">
        <f>IF(OR(J2144="",K2144=""),"",J2144*K2144)</f>
        <v/>
      </c>
      <c r="M2144" s="19" t="n"/>
      <c r="N2144" s="20" t="n"/>
      <c r="O2144" s="20" t="n"/>
    </row>
    <row r="2145">
      <c r="A2145" s="23" t="n">
        <v>2142</v>
      </c>
      <c r="B2145" s="24" t="inlineStr">
        <is>
          <t>2.7.10.5</t>
        </is>
      </c>
      <c r="C2145" s="25" t="inlineStr">
        <is>
          <t>Part 2 – Technical Systems</t>
        </is>
      </c>
      <c r="D2145" s="25" t="inlineStr">
        <is>
          <t>2.7 PRIVATE CLOUD TECHNICAL INFRASTRUCTURE</t>
        </is>
      </c>
      <c r="E2145" s="25" t="inlineStr">
        <is>
          <t>2.7.10 BACKUP</t>
        </is>
      </c>
      <c r="F2145" s="25" t="inlineStr">
        <is>
          <t>Within the backup solution, the CONTRACTOR shall implement capability to tag data as ‘Not to be deleted’.</t>
        </is>
      </c>
      <c r="G2145" s="19" t="n"/>
      <c r="H2145" s="20" t="n"/>
      <c r="I2145" s="20" t="n"/>
      <c r="J2145" s="19" t="n"/>
      <c r="K2145" s="21" t="n"/>
      <c r="L2145" s="22">
        <f>IF(OR(J2145="",K2145=""),"",J2145*K2145)</f>
        <v/>
      </c>
      <c r="M2145" s="19" t="n"/>
      <c r="N2145" s="20" t="n"/>
      <c r="O2145" s="20" t="n"/>
    </row>
    <row r="2146">
      <c r="A2146" s="16" t="n">
        <v>2143</v>
      </c>
      <c r="B2146" s="17" t="inlineStr">
        <is>
          <t>2.7.10.6</t>
        </is>
      </c>
      <c r="C2146" s="18" t="inlineStr">
        <is>
          <t>Part 2 – Technical Systems</t>
        </is>
      </c>
      <c r="D2146" s="18" t="inlineStr">
        <is>
          <t>2.7 PRIVATE CLOUD TECHNICAL INFRASTRUCTURE</t>
        </is>
      </c>
      <c r="E2146" s="18" t="inlineStr">
        <is>
          <t>2.7.10 BACKUP</t>
        </is>
      </c>
      <c r="F2146" s="18" t="inlineStr">
        <is>
          <t>The CONTRACTOR shall implement the backup solution on open architecture and formats, and without any proprietary data formats – allowing data on any format on any operating system(s) to be restored to any other operating system.</t>
        </is>
      </c>
      <c r="G2146" s="19" t="n"/>
      <c r="H2146" s="20" t="n"/>
      <c r="I2146" s="20" t="n"/>
      <c r="J2146" s="19" t="n"/>
      <c r="K2146" s="21" t="n"/>
      <c r="L2146" s="22">
        <f>IF(OR(J2146="",K2146=""),"",J2146*K2146)</f>
        <v/>
      </c>
      <c r="M2146" s="19" t="n"/>
      <c r="N2146" s="20" t="n"/>
      <c r="O2146" s="20" t="n"/>
    </row>
    <row r="2147">
      <c r="A2147" s="23" t="n">
        <v>2144</v>
      </c>
      <c r="B2147" s="24" t="inlineStr">
        <is>
          <t>2.7.10.7</t>
        </is>
      </c>
      <c r="C2147" s="25" t="inlineStr">
        <is>
          <t>Part 2 – Technical Systems</t>
        </is>
      </c>
      <c r="D2147" s="25" t="inlineStr">
        <is>
          <t>2.7 PRIVATE CLOUD TECHNICAL INFRASTRUCTURE</t>
        </is>
      </c>
      <c r="E2147" s="25" t="inlineStr">
        <is>
          <t>2.7.10 BACKUP</t>
        </is>
      </c>
      <c r="F2147" s="25" t="inlineStr">
        <is>
          <t>At the end of each month of live operations starting with the live operation of the first agency, the CONTRACTOR shall deliver tapes containing backup of all operational systems and data that maybe available for each OSS911 center to be offsited by the MOI, and shall implement a tape labeling and rotation scheme that allows monthly tapes offsiting for disaster recovery for the duration of the contract.</t>
        </is>
      </c>
      <c r="G2147" s="19" t="n"/>
      <c r="H2147" s="20" t="n"/>
      <c r="I2147" s="20" t="n"/>
      <c r="J2147" s="19" t="n"/>
      <c r="K2147" s="21" t="n"/>
      <c r="L2147" s="22">
        <f>IF(OR(J2147="",K2147=""),"",J2147*K2147)</f>
        <v/>
      </c>
      <c r="M2147" s="19" t="n"/>
      <c r="N2147" s="20" t="n"/>
      <c r="O2147" s="20" t="n"/>
    </row>
    <row r="2148">
      <c r="A2148" s="16" t="n">
        <v>2145</v>
      </c>
      <c r="B2148" s="17" t="inlineStr">
        <is>
          <t>2.7.11.1</t>
        </is>
      </c>
      <c r="C2148" s="18" t="inlineStr">
        <is>
          <t>Part 2 – Technical Systems</t>
        </is>
      </c>
      <c r="D2148" s="18" t="inlineStr">
        <is>
          <t>2.7 PRIVATE CLOUD TECHNICAL INFRASTRUCTURE</t>
        </is>
      </c>
      <c r="E2148" s="18" t="inlineStr">
        <is>
          <t>2.7.11 INFRASTRUCTURE, SYSTEM AND APPLICATIONS MANAGEMENT TOOL</t>
        </is>
      </c>
      <c r="F2148" s="18" t="inlineStr">
        <is>
          <t>The CONTRACTOR shall implement a GUI-based centralized infrastructure management tool and a system and applications management tool to manage the PCs, servers, networks, security, databases, camera feeds, interfaces, integrations and applications in production and training environments across all OSS911 center.</t>
        </is>
      </c>
      <c r="G2148" s="19" t="n"/>
      <c r="H2148" s="20" t="n"/>
      <c r="I2148" s="20" t="n"/>
      <c r="J2148" s="19" t="n"/>
      <c r="K2148" s="21" t="n"/>
      <c r="L2148" s="22">
        <f>IF(OR(J2148="",K2148=""),"",J2148*K2148)</f>
        <v/>
      </c>
      <c r="M2148" s="19" t="n"/>
      <c r="N2148" s="20" t="n"/>
      <c r="O2148" s="20" t="n"/>
    </row>
    <row r="2149">
      <c r="A2149" s="23" t="n">
        <v>2146</v>
      </c>
      <c r="B2149" s="24" t="inlineStr">
        <is>
          <t>2.7.11.2</t>
        </is>
      </c>
      <c r="C2149" s="25" t="inlineStr">
        <is>
          <t>Part 2 – Technical Systems</t>
        </is>
      </c>
      <c r="D2149" s="25" t="inlineStr">
        <is>
          <t>2.7 PRIVATE CLOUD TECHNICAL INFRASTRUCTURE</t>
        </is>
      </c>
      <c r="E2149" s="25" t="inlineStr">
        <is>
          <t>2.7.11 INFRASTRUCTURE, SYSTEM AND APPLICATIONS MANAGEMENT TOOL</t>
        </is>
      </c>
      <c r="F2149" s="25" t="inlineStr">
        <is>
          <t>These tools shall be configured by the CONTRACTOR to provide performance data and threshold-based alerts for real time performance monitoring, service level monitoring, reporting, version control and historical trending for all manageable elements with documented deployment and rollback procedures.</t>
        </is>
      </c>
      <c r="G2149" s="19" t="n"/>
      <c r="H2149" s="20" t="n"/>
      <c r="I2149" s="20" t="n"/>
      <c r="J2149" s="19" t="n"/>
      <c r="K2149" s="21" t="n"/>
      <c r="L2149" s="22">
        <f>IF(OR(J2149="",K2149=""),"",J2149*K2149)</f>
        <v/>
      </c>
      <c r="M2149" s="19" t="n"/>
      <c r="N2149" s="20" t="n"/>
      <c r="O2149" s="20" t="n"/>
    </row>
    <row r="2150">
      <c r="A2150" s="16" t="n">
        <v>2147</v>
      </c>
      <c r="B2150" s="17" t="inlineStr">
        <is>
          <t>2.7.11.3</t>
        </is>
      </c>
      <c r="C2150" s="18" t="inlineStr">
        <is>
          <t>Part 2 – Technical Systems</t>
        </is>
      </c>
      <c r="D2150" s="18" t="inlineStr">
        <is>
          <t>2.7 PRIVATE CLOUD TECHNICAL INFRASTRUCTURE</t>
        </is>
      </c>
      <c r="E2150" s="18" t="inlineStr">
        <is>
          <t>2.7.11 INFRASTRUCTURE, SYSTEM AND APPLICATIONS MANAGEMENT TOOL</t>
        </is>
      </c>
      <c r="F2150" s="18" t="inlineStr">
        <is>
          <t>The CONTRACTOR shall implement centralized monitoring, management, logging and alerting for all technical infrastructure, applications, and services and integrations.</t>
        </is>
      </c>
      <c r="G2150" s="19" t="n"/>
      <c r="H2150" s="20" t="n"/>
      <c r="I2150" s="20" t="n"/>
      <c r="J2150" s="19" t="n"/>
      <c r="K2150" s="21" t="n"/>
      <c r="L2150" s="22">
        <f>IF(OR(J2150="",K2150=""),"",J2150*K2150)</f>
        <v/>
      </c>
      <c r="M2150" s="19" t="n"/>
      <c r="N2150" s="20" t="n"/>
      <c r="O2150" s="20" t="n"/>
    </row>
    <row r="2151">
      <c r="A2151" s="23" t="n">
        <v>2148</v>
      </c>
      <c r="B2151" s="24" t="inlineStr">
        <is>
          <t>2.7.11.4</t>
        </is>
      </c>
      <c r="C2151" s="25" t="inlineStr">
        <is>
          <t>Part 2 – Technical Systems</t>
        </is>
      </c>
      <c r="D2151" s="25" t="inlineStr">
        <is>
          <t>2.7 PRIVATE CLOUD TECHNICAL INFRASTRUCTURE</t>
        </is>
      </c>
      <c r="E2151" s="25" t="inlineStr">
        <is>
          <t>2.7.11 INFRASTRUCTURE, SYSTEM AND APPLICATIONS MANAGEMENT TOOL</t>
        </is>
      </c>
      <c r="F2151" s="25" t="inlineStr">
        <is>
          <t>The CONTRACTOR shall configure alarms and events to be sent to the centralized management and monitoring servers and to be integrated with the SIEM solution provided by the CONTRACTOR.</t>
        </is>
      </c>
      <c r="G2151" s="19" t="n"/>
      <c r="H2151" s="20" t="n"/>
      <c r="I2151" s="20" t="n"/>
      <c r="J2151" s="19" t="n"/>
      <c r="K2151" s="21" t="n"/>
      <c r="L2151" s="22">
        <f>IF(OR(J2151="",K2151=""),"",J2151*K2151)</f>
        <v/>
      </c>
      <c r="M2151" s="19" t="n"/>
      <c r="N2151" s="20" t="n"/>
      <c r="O2151" s="20" t="n"/>
    </row>
    <row r="2152">
      <c r="A2152" s="16" t="n">
        <v>2149</v>
      </c>
      <c r="B2152" s="17" t="inlineStr">
        <is>
          <t>2.7.11.5</t>
        </is>
      </c>
      <c r="C2152" s="18" t="inlineStr">
        <is>
          <t>Part 2 – Technical Systems</t>
        </is>
      </c>
      <c r="D2152" s="18" t="inlineStr">
        <is>
          <t>2.7 PRIVATE CLOUD TECHNICAL INFRASTRUCTURE</t>
        </is>
      </c>
      <c r="E2152" s="18" t="inlineStr">
        <is>
          <t>2.7.11 INFRASTRUCTURE, SYSTEM AND APPLICATIONS MANAGEMENT TOOL</t>
        </is>
      </c>
      <c r="F2152" s="18" t="inlineStr">
        <is>
          <t>Within each OSS911 center datacenter, the CONTRACTOR shall furnish an alarm management screen to provide a continuously updating display of the alerts and alarms.</t>
        </is>
      </c>
      <c r="G2152" s="19" t="n"/>
      <c r="H2152" s="20" t="n"/>
      <c r="I2152" s="20" t="n"/>
      <c r="J2152" s="19" t="n"/>
      <c r="K2152" s="21" t="n"/>
      <c r="L2152" s="22">
        <f>IF(OR(J2152="",K2152=""),"",J2152*K2152)</f>
        <v/>
      </c>
      <c r="M2152" s="19" t="n"/>
      <c r="N2152" s="20" t="n"/>
      <c r="O2152" s="20" t="n"/>
    </row>
    <row r="2153">
      <c r="A2153" s="23" t="n">
        <v>2150</v>
      </c>
      <c r="B2153" s="24" t="inlineStr">
        <is>
          <t>2.7.11.6</t>
        </is>
      </c>
      <c r="C2153" s="25" t="inlineStr">
        <is>
          <t>Part 2 – Technical Systems</t>
        </is>
      </c>
      <c r="D2153" s="25" t="inlineStr">
        <is>
          <t>2.7 PRIVATE CLOUD TECHNICAL INFRASTRUCTURE</t>
        </is>
      </c>
      <c r="E2153" s="25" t="inlineStr">
        <is>
          <t>2.7.11 INFRASTRUCTURE, SYSTEM AND APPLICATIONS MANAGEMENT TOOL</t>
        </is>
      </c>
      <c r="F2153" s="25" t="inlineStr">
        <is>
          <t>The CONTRACTOR shall configure the management and monitoring solutions to be capable of auditing each of the Technical Infrastructure to identify the following:</t>
        </is>
      </c>
      <c r="G2153" s="19" t="n"/>
      <c r="H2153" s="20" t="n"/>
      <c r="I2153" s="20" t="n"/>
      <c r="J2153" s="19" t="n"/>
      <c r="K2153" s="21" t="n"/>
      <c r="L2153" s="22">
        <f>IF(OR(J2153="",K2153=""),"",J2153*K2153)</f>
        <v/>
      </c>
      <c r="M2153" s="19" t="n"/>
      <c r="N2153" s="20" t="n"/>
      <c r="O2153" s="20" t="n"/>
    </row>
    <row r="2154">
      <c r="A2154" s="16" t="n">
        <v>2151</v>
      </c>
      <c r="B2154" s="16" t="inlineStr">
        <is>
          <t>2.7.11.6.1</t>
        </is>
      </c>
      <c r="C2154" s="18" t="inlineStr">
        <is>
          <t>Part 2 – Technical Systems</t>
        </is>
      </c>
      <c r="D2154" s="18" t="inlineStr">
        <is>
          <t>2.7 PRIVATE CLOUD TECHNICAL INFRASTRUCTURE</t>
        </is>
      </c>
      <c r="E2154" s="18" t="inlineStr">
        <is>
          <t>2.7.11 INFRASTRUCTURE, SYSTEM AND APPLICATIONS MANAGEMENT TOOL</t>
        </is>
      </c>
      <c r="F2154" s="18" t="inlineStr">
        <is>
          <t>Any changes that have been made to certain parameters (e.g., a system administrator password changed, a new user added)</t>
        </is>
      </c>
      <c r="G2154" s="19" t="n"/>
      <c r="H2154" s="20" t="n"/>
      <c r="I2154" s="20" t="n"/>
      <c r="J2154" s="19" t="n"/>
      <c r="K2154" s="21" t="n"/>
      <c r="L2154" s="22">
        <f>IF(OR(J2154="",K2154=""),"",J2154*K2154)</f>
        <v/>
      </c>
      <c r="M2154" s="19" t="n"/>
      <c r="N2154" s="20" t="n"/>
      <c r="O2154" s="20" t="n"/>
    </row>
    <row r="2155">
      <c r="A2155" s="23" t="n">
        <v>2152</v>
      </c>
      <c r="B2155" s="23" t="inlineStr">
        <is>
          <t>2.7.11.6.2</t>
        </is>
      </c>
      <c r="C2155" s="25" t="inlineStr">
        <is>
          <t>Part 2 – Technical Systems</t>
        </is>
      </c>
      <c r="D2155" s="25" t="inlineStr">
        <is>
          <t>2.7 PRIVATE CLOUD TECHNICAL INFRASTRUCTURE</t>
        </is>
      </c>
      <c r="E2155" s="25" t="inlineStr">
        <is>
          <t>2.7.11 INFRASTRUCTURE, SYSTEM AND APPLICATIONS MANAGEMENT TOOL</t>
        </is>
      </c>
      <c r="F2155" s="25" t="inlineStr">
        <is>
          <t>To identify all configuration changes made within a time interval</t>
        </is>
      </c>
      <c r="G2155" s="19" t="n"/>
      <c r="H2155" s="20" t="n"/>
      <c r="I2155" s="20" t="n"/>
      <c r="J2155" s="19" t="n"/>
      <c r="K2155" s="21" t="n"/>
      <c r="L2155" s="22">
        <f>IF(OR(J2155="",K2155=""),"",J2155*K2155)</f>
        <v/>
      </c>
      <c r="M2155" s="19" t="n"/>
      <c r="N2155" s="20" t="n"/>
      <c r="O2155" s="20" t="n"/>
    </row>
    <row r="2156">
      <c r="A2156" s="16" t="n">
        <v>2153</v>
      </c>
      <c r="B2156" s="16" t="inlineStr">
        <is>
          <t>2.7.11.6.3</t>
        </is>
      </c>
      <c r="C2156" s="18" t="inlineStr">
        <is>
          <t>Part 2 – Technical Systems</t>
        </is>
      </c>
      <c r="D2156" s="18" t="inlineStr">
        <is>
          <t>2.7 PRIVATE CLOUD TECHNICAL INFRASTRUCTURE</t>
        </is>
      </c>
      <c r="E2156" s="18" t="inlineStr">
        <is>
          <t>2.7.11 INFRASTRUCTURE, SYSTEM AND APPLICATIONS MANAGEMENT TOOL</t>
        </is>
      </c>
      <c r="F2156" s="18" t="inlineStr">
        <is>
          <t>To identify the person responsible for making changes</t>
        </is>
      </c>
      <c r="G2156" s="19" t="n"/>
      <c r="H2156" s="20" t="n"/>
      <c r="I2156" s="20" t="n"/>
      <c r="J2156" s="19" t="n"/>
      <c r="K2156" s="21" t="n"/>
      <c r="L2156" s="22">
        <f>IF(OR(J2156="",K2156=""),"",J2156*K2156)</f>
        <v/>
      </c>
      <c r="M2156" s="19" t="n"/>
      <c r="N2156" s="20" t="n"/>
      <c r="O2156" s="20" t="n"/>
    </row>
    <row r="2157">
      <c r="A2157" s="23" t="n">
        <v>2154</v>
      </c>
      <c r="B2157" s="24" t="inlineStr">
        <is>
          <t>2.7.11.7</t>
        </is>
      </c>
      <c r="C2157" s="25" t="inlineStr">
        <is>
          <t>Part 2 – Technical Systems</t>
        </is>
      </c>
      <c r="D2157" s="25" t="inlineStr">
        <is>
          <t>2.7 PRIVATE CLOUD TECHNICAL INFRASTRUCTURE</t>
        </is>
      </c>
      <c r="E2157" s="25" t="inlineStr">
        <is>
          <t>2.7.11 INFRASTRUCTURE, SYSTEM AND APPLICATIONS MANAGEMENT TOOL</t>
        </is>
      </c>
      <c r="F2157" s="25" t="inlineStr">
        <is>
          <t>The CONTRACTOR shall configure the management and monitoring system to collect, analyze and summarize management data from various OSS911 systems, applications and services for performance management.</t>
        </is>
      </c>
      <c r="G2157" s="19" t="n"/>
      <c r="H2157" s="20" t="n"/>
      <c r="I2157" s="20" t="n"/>
      <c r="J2157" s="19" t="n"/>
      <c r="K2157" s="21" t="n"/>
      <c r="L2157" s="22">
        <f>IF(OR(J2157="",K2157=""),"",J2157*K2157)</f>
        <v/>
      </c>
      <c r="M2157" s="19" t="n"/>
      <c r="N2157" s="20" t="n"/>
      <c r="O2157" s="20" t="n"/>
    </row>
    <row r="2158">
      <c r="A2158" s="16" t="n">
        <v>2155</v>
      </c>
      <c r="B2158" s="17" t="inlineStr">
        <is>
          <t>2.7.11.8</t>
        </is>
      </c>
      <c r="C2158" s="18" t="inlineStr">
        <is>
          <t>Part 2 – Technical Systems</t>
        </is>
      </c>
      <c r="D2158" s="18" t="inlineStr">
        <is>
          <t>2.7 PRIVATE CLOUD TECHNICAL INFRASTRUCTURE</t>
        </is>
      </c>
      <c r="E2158" s="18" t="inlineStr">
        <is>
          <t>2.7.11 INFRASTRUCTURE, SYSTEM AND APPLICATIONS MANAGEMENT TOOL</t>
        </is>
      </c>
      <c r="F2158" s="18" t="inlineStr">
        <is>
          <t>The CONTRACTOR shall configure the management and monitoring solution to provide at a minimum the following performance report:</t>
        </is>
      </c>
      <c r="G2158" s="19" t="n"/>
      <c r="H2158" s="20" t="n"/>
      <c r="I2158" s="20" t="n"/>
      <c r="J2158" s="19" t="n"/>
      <c r="K2158" s="21" t="n"/>
      <c r="L2158" s="22">
        <f>IF(OR(J2158="",K2158=""),"",J2158*K2158)</f>
        <v/>
      </c>
      <c r="M2158" s="19" t="n"/>
      <c r="N2158" s="20" t="n"/>
      <c r="O2158" s="20" t="n"/>
    </row>
    <row r="2159">
      <c r="A2159" s="23" t="n">
        <v>2156</v>
      </c>
      <c r="B2159" s="23" t="inlineStr">
        <is>
          <t>2.7.11.8.1</t>
        </is>
      </c>
      <c r="C2159" s="25" t="inlineStr">
        <is>
          <t>Part 2 – Technical Systems</t>
        </is>
      </c>
      <c r="D2159" s="25" t="inlineStr">
        <is>
          <t>2.7 PRIVATE CLOUD TECHNICAL INFRASTRUCTURE</t>
        </is>
      </c>
      <c r="E2159" s="25" t="inlineStr">
        <is>
          <t>2.7.11 INFRASTRUCTURE, SYSTEM AND APPLICATIONS MANAGEMENT TOOL</t>
        </is>
      </c>
      <c r="F2159" s="25" t="inlineStr">
        <is>
          <t>An Executive Summary report that gives an overall view of a group of elements, showing volume and other important metrics for the Technical Infrastructure being viewed.</t>
        </is>
      </c>
      <c r="G2159" s="19" t="n"/>
      <c r="H2159" s="20" t="n"/>
      <c r="I2159" s="20" t="n"/>
      <c r="J2159" s="19" t="n"/>
      <c r="K2159" s="21" t="n"/>
      <c r="L2159" s="22">
        <f>IF(OR(J2159="",K2159=""),"",J2159*K2159)</f>
        <v/>
      </c>
      <c r="M2159" s="19" t="n"/>
      <c r="N2159" s="20" t="n"/>
      <c r="O2159" s="20" t="n"/>
    </row>
    <row r="2160">
      <c r="A2160" s="16" t="n">
        <v>2157</v>
      </c>
      <c r="B2160" s="16" t="inlineStr">
        <is>
          <t>2.7.11.8.2</t>
        </is>
      </c>
      <c r="C2160" s="18" t="inlineStr">
        <is>
          <t>Part 2 – Technical Systems</t>
        </is>
      </c>
      <c r="D2160" s="18" t="inlineStr">
        <is>
          <t>2.7 PRIVATE CLOUD TECHNICAL INFRASTRUCTURE</t>
        </is>
      </c>
      <c r="E2160" s="18" t="inlineStr">
        <is>
          <t>2.7.11 INFRASTRUCTURE, SYSTEM AND APPLICATIONS MANAGEMENT TOOL</t>
        </is>
      </c>
      <c r="F2160" s="18" t="inlineStr">
        <is>
          <t>Capacity Planning report which provides a view of under- and-over-utilized elements.</t>
        </is>
      </c>
      <c r="G2160" s="19" t="n"/>
      <c r="H2160" s="20" t="n"/>
      <c r="I2160" s="20" t="n"/>
      <c r="J2160" s="19" t="n"/>
      <c r="K2160" s="21" t="n"/>
      <c r="L2160" s="22">
        <f>IF(OR(J2160="",K2160=""),"",J2160*K2160)</f>
        <v/>
      </c>
      <c r="M2160" s="19" t="n"/>
      <c r="N2160" s="20" t="n"/>
      <c r="O2160" s="20" t="n"/>
    </row>
    <row r="2161">
      <c r="A2161" s="23" t="n">
        <v>2158</v>
      </c>
      <c r="B2161" s="23" t="inlineStr">
        <is>
          <t>2.7.11.8.3</t>
        </is>
      </c>
      <c r="C2161" s="25" t="inlineStr">
        <is>
          <t>Part 2 – Technical Systems</t>
        </is>
      </c>
      <c r="D2161" s="25" t="inlineStr">
        <is>
          <t>2.7 PRIVATE CLOUD TECHNICAL INFRASTRUCTURE</t>
        </is>
      </c>
      <c r="E2161" s="25" t="inlineStr">
        <is>
          <t>2.7.11 INFRASTRUCTURE, SYSTEM AND APPLICATIONS MANAGEMENT TOOL</t>
        </is>
      </c>
      <c r="F2161" s="25" t="inlineStr">
        <is>
          <t>Service Level report that shows the Technical Infrastructure and applications with metrics used to monitor SLAs such as availability, response times, etc.</t>
        </is>
      </c>
      <c r="G2161" s="19" t="n"/>
      <c r="H2161" s="20" t="n"/>
      <c r="I2161" s="20" t="n"/>
      <c r="J2161" s="19" t="n"/>
      <c r="K2161" s="21" t="n"/>
      <c r="L2161" s="22">
        <f>IF(OR(J2161="",K2161=""),"",J2161*K2161)</f>
        <v/>
      </c>
      <c r="M2161" s="19" t="n"/>
      <c r="N2161" s="20" t="n"/>
      <c r="O2161" s="20" t="n"/>
    </row>
    <row r="2162">
      <c r="A2162" s="16" t="n">
        <v>2159</v>
      </c>
      <c r="B2162" s="16" t="inlineStr">
        <is>
          <t>2.7.11.8.4</t>
        </is>
      </c>
      <c r="C2162" s="18" t="inlineStr">
        <is>
          <t>Part 2 – Technical Systems</t>
        </is>
      </c>
      <c r="D2162" s="18" t="inlineStr">
        <is>
          <t>2.7 PRIVATE CLOUD TECHNICAL INFRASTRUCTURE</t>
        </is>
      </c>
      <c r="E2162" s="18" t="inlineStr">
        <is>
          <t>2.7.11 INFRASTRUCTURE, SYSTEM AND APPLICATIONS MANAGEMENT TOOL</t>
        </is>
      </c>
      <c r="F2162" s="18" t="inlineStr">
        <is>
          <t>Applications performance report including average and peak response times, error rates, concurrent users, requests per second, queries per second etc.</t>
        </is>
      </c>
      <c r="G2162" s="19" t="n"/>
      <c r="H2162" s="20" t="n"/>
      <c r="I2162" s="20" t="n"/>
      <c r="J2162" s="19" t="n"/>
      <c r="K2162" s="21" t="n"/>
      <c r="L2162" s="22">
        <f>IF(OR(J2162="",K2162=""),"",J2162*K2162)</f>
        <v/>
      </c>
      <c r="M2162" s="19" t="n"/>
      <c r="N2162" s="20" t="n"/>
      <c r="O2162" s="20" t="n"/>
    </row>
    <row r="2163">
      <c r="A2163" s="23" t="n">
        <v>2160</v>
      </c>
      <c r="B2163" s="24" t="inlineStr">
        <is>
          <t>2.7.11.9</t>
        </is>
      </c>
      <c r="C2163" s="25" t="inlineStr">
        <is>
          <t>Part 2 – Technical Systems</t>
        </is>
      </c>
      <c r="D2163" s="25" t="inlineStr">
        <is>
          <t>2.7 PRIVATE CLOUD TECHNICAL INFRASTRUCTURE</t>
        </is>
      </c>
      <c r="E2163" s="25" t="inlineStr">
        <is>
          <t>2.7.11 INFRASTRUCTURE, SYSTEM AND APPLICATIONS MANAGEMENT TOOL</t>
        </is>
      </c>
      <c r="F2163" s="25" t="inlineStr">
        <is>
          <t>The system and application management solution shall be integrated by the CONTRACTOR with the solution for service level agreement monitoring and threshold alert reporting.</t>
        </is>
      </c>
      <c r="G2163" s="19" t="n"/>
      <c r="H2163" s="20" t="n"/>
      <c r="I2163" s="20" t="n"/>
      <c r="J2163" s="19" t="n"/>
      <c r="K2163" s="21" t="n"/>
      <c r="L2163" s="22">
        <f>IF(OR(J2163="",K2163=""),"",J2163*K2163)</f>
        <v/>
      </c>
      <c r="M2163" s="19" t="n"/>
      <c r="N2163" s="20" t="n"/>
      <c r="O2163" s="20" t="n"/>
    </row>
    <row r="2164">
      <c r="A2164" s="16" t="n">
        <v>2161</v>
      </c>
      <c r="B2164" s="17" t="inlineStr">
        <is>
          <t>2.7.11.10</t>
        </is>
      </c>
      <c r="C2164" s="18" t="inlineStr">
        <is>
          <t>Part 2 – Technical Systems</t>
        </is>
      </c>
      <c r="D2164" s="18" t="inlineStr">
        <is>
          <t>2.7 PRIVATE CLOUD TECHNICAL INFRASTRUCTURE</t>
        </is>
      </c>
      <c r="E2164" s="18" t="inlineStr">
        <is>
          <t>2.7.11 INFRASTRUCTURE, SYSTEM AND APPLICATIONS MANAGEMENT TOOL</t>
        </is>
      </c>
      <c r="F2164" s="18" t="inlineStr">
        <is>
          <t>As part of the monitoring, alerting and reporting, the CONTRACTOR shall be responsible to provide their own solutions for dispersing the alerts to authorized personnel using Email and SMS notifications. Such solutions shall be submitted to the MOI for their approval prior to their usage.</t>
        </is>
      </c>
      <c r="G2164" s="19" t="n"/>
      <c r="H2164" s="20" t="n"/>
      <c r="I2164" s="20" t="n"/>
      <c r="J2164" s="19" t="n"/>
      <c r="K2164" s="21" t="n"/>
      <c r="L2164" s="22">
        <f>IF(OR(J2164="",K2164=""),"",J2164*K2164)</f>
        <v/>
      </c>
      <c r="M2164" s="19" t="n"/>
      <c r="N2164" s="20" t="n"/>
      <c r="O2164" s="20" t="n"/>
    </row>
    <row r="2165">
      <c r="A2165" s="23" t="n">
        <v>2162</v>
      </c>
      <c r="B2165" s="24" t="inlineStr">
        <is>
          <t>2.7.12.1</t>
        </is>
      </c>
      <c r="C2165" s="25" t="inlineStr">
        <is>
          <t>Part 2 – Technical Systems</t>
        </is>
      </c>
      <c r="D2165" s="25" t="inlineStr">
        <is>
          <t>2.7 PRIVATE CLOUD TECHNICAL INFRASTRUCTURE</t>
        </is>
      </c>
      <c r="E2165" s="25" t="inlineStr">
        <is>
          <t>2.7.12 DATACENTER SOLUTION, DCIM AND RACKS</t>
        </is>
      </c>
      <c r="F2165" s="25" t="inlineStr">
        <is>
          <t>The BIDDER shall conduct the site surveys to understand the details of the datacenters and telecom rooms in the OSS911 center.</t>
        </is>
      </c>
      <c r="G2165" s="19" t="n"/>
      <c r="H2165" s="20" t="n"/>
      <c r="I2165" s="20" t="n"/>
      <c r="J2165" s="19" t="n"/>
      <c r="K2165" s="21" t="n"/>
      <c r="L2165" s="22">
        <f>IF(OR(J2165="",K2165=""),"",J2165*K2165)</f>
        <v/>
      </c>
      <c r="M2165" s="19" t="n"/>
      <c r="N2165" s="20" t="n"/>
      <c r="O2165" s="20" t="n"/>
    </row>
    <row r="2166">
      <c r="A2166" s="16" t="n">
        <v>2163</v>
      </c>
      <c r="B2166" s="17" t="inlineStr">
        <is>
          <t>2.7.12.2</t>
        </is>
      </c>
      <c r="C2166" s="18" t="inlineStr">
        <is>
          <t>Part 2 – Technical Systems</t>
        </is>
      </c>
      <c r="D2166" s="18" t="inlineStr">
        <is>
          <t>2.7 PRIVATE CLOUD TECHNICAL INFRASTRUCTURE</t>
        </is>
      </c>
      <c r="E2166" s="18" t="inlineStr">
        <is>
          <t>2.7.12 DATACENTER SOLUTION, DCIM AND RACKS</t>
        </is>
      </c>
      <c r="F2166" s="18" t="inlineStr">
        <is>
          <t>The CONTRACTOR shall supply and install full height 42U-48U 19” racks with sufficient height, load capacity and airflow to support high- density AI compute infrastructure, in the MOI identified datacenters, to house all equipment meeting the following criteria and shall integrate them with the DCIM solution by including all the intelligent PDUs within and all the sensors:</t>
        </is>
      </c>
      <c r="G2166" s="19" t="n"/>
      <c r="H2166" s="20" t="n"/>
      <c r="I2166" s="20" t="n"/>
      <c r="J2166" s="19" t="n"/>
      <c r="K2166" s="21" t="n"/>
      <c r="L2166" s="22">
        <f>IF(OR(J2166="",K2166=""),"",J2166*K2166)</f>
        <v/>
      </c>
      <c r="M2166" s="19" t="n"/>
      <c r="N2166" s="20" t="n"/>
      <c r="O2166" s="20" t="n"/>
    </row>
    <row r="2167">
      <c r="A2167" s="23" t="n">
        <v>2164</v>
      </c>
      <c r="B2167" s="23" t="inlineStr">
        <is>
          <t>2.7.12.2.1</t>
        </is>
      </c>
      <c r="C2167" s="25" t="inlineStr">
        <is>
          <t>Part 2 – Technical Systems</t>
        </is>
      </c>
      <c r="D2167" s="25" t="inlineStr">
        <is>
          <t>2.7 PRIVATE CLOUD TECHNICAL INFRASTRUCTURE</t>
        </is>
      </c>
      <c r="E2167" s="25" t="inlineStr">
        <is>
          <t>2.7.12 DATACENTER SOLUTION, DCIM AND RACKS</t>
        </is>
      </c>
      <c r="F2167" s="25" t="inlineStr">
        <is>
          <t>Shall provide standard 19” rack mounting options for equipment.</t>
        </is>
      </c>
      <c r="G2167" s="19" t="n"/>
      <c r="H2167" s="20" t="n"/>
      <c r="I2167" s="20" t="n"/>
      <c r="J2167" s="19" t="n"/>
      <c r="K2167" s="21" t="n"/>
      <c r="L2167" s="22">
        <f>IF(OR(J2167="",K2167=""),"",J2167*K2167)</f>
        <v/>
      </c>
      <c r="M2167" s="19" t="n"/>
      <c r="N2167" s="20" t="n"/>
      <c r="O2167" s="20" t="n"/>
    </row>
    <row r="2168">
      <c r="A2168" s="16" t="n">
        <v>2165</v>
      </c>
      <c r="B2168" s="16" t="inlineStr">
        <is>
          <t>2.7.12.2.2</t>
        </is>
      </c>
      <c r="C2168" s="18" t="inlineStr">
        <is>
          <t>Part 2 – Technical Systems</t>
        </is>
      </c>
      <c r="D2168" s="18" t="inlineStr">
        <is>
          <t>2.7 PRIVATE CLOUD TECHNICAL INFRASTRUCTURE</t>
        </is>
      </c>
      <c r="E2168" s="18" t="inlineStr">
        <is>
          <t>2.7.12 DATACENTER SOLUTION, DCIM AND RACKS</t>
        </is>
      </c>
      <c r="F2168" s="18" t="inlineStr">
        <is>
          <t>Mounting rails shall be adjustable.</t>
        </is>
      </c>
      <c r="G2168" s="19" t="n"/>
      <c r="H2168" s="20" t="n"/>
      <c r="I2168" s="20" t="n"/>
      <c r="J2168" s="19" t="n"/>
      <c r="K2168" s="21" t="n"/>
      <c r="L2168" s="22">
        <f>IF(OR(J2168="",K2168=""),"",J2168*K2168)</f>
        <v/>
      </c>
      <c r="M2168" s="19" t="n"/>
      <c r="N2168" s="20" t="n"/>
      <c r="O2168" s="20" t="n"/>
    </row>
    <row r="2169">
      <c r="A2169" s="23" t="n">
        <v>2166</v>
      </c>
      <c r="B2169" s="23" t="inlineStr">
        <is>
          <t>2.7.12.2.3</t>
        </is>
      </c>
      <c r="C2169" s="25" t="inlineStr">
        <is>
          <t>Part 2 – Technical Systems</t>
        </is>
      </c>
      <c r="D2169" s="25" t="inlineStr">
        <is>
          <t>2.7 PRIVATE CLOUD TECHNICAL INFRASTRUCTURE</t>
        </is>
      </c>
      <c r="E2169" s="25" t="inlineStr">
        <is>
          <t>2.7.12 DATACENTER SOLUTION, DCIM AND RACKS</t>
        </is>
      </c>
      <c r="F2169" s="25" t="inlineStr">
        <is>
          <t>Equipment cabinet layouts shall be provided for this design.</t>
        </is>
      </c>
      <c r="G2169" s="19" t="n"/>
      <c r="H2169" s="20" t="n"/>
      <c r="I2169" s="20" t="n"/>
      <c r="J2169" s="19" t="n"/>
      <c r="K2169" s="21" t="n"/>
      <c r="L2169" s="22">
        <f>IF(OR(J2169="",K2169=""),"",J2169*K2169)</f>
        <v/>
      </c>
      <c r="M2169" s="19" t="n"/>
      <c r="N2169" s="20" t="n"/>
      <c r="O2169" s="20" t="n"/>
    </row>
    <row r="2170">
      <c r="A2170" s="16" t="n">
        <v>2167</v>
      </c>
      <c r="B2170" s="16" t="inlineStr">
        <is>
          <t>2.7.12.2.4</t>
        </is>
      </c>
      <c r="C2170" s="18" t="inlineStr">
        <is>
          <t>Part 2 – Technical Systems</t>
        </is>
      </c>
      <c r="D2170" s="18" t="inlineStr">
        <is>
          <t>2.7 PRIVATE CLOUD TECHNICAL INFRASTRUCTURE</t>
        </is>
      </c>
      <c r="E2170" s="18" t="inlineStr">
        <is>
          <t>2.7.12 DATACENTER SOLUTION, DCIM AND RACKS</t>
        </is>
      </c>
      <c r="F2170" s="18" t="inlineStr">
        <is>
          <t>Cabinets shall be designed to accommodate server rail kits from various equipment manufactures</t>
        </is>
      </c>
      <c r="G2170" s="19" t="n"/>
      <c r="H2170" s="20" t="n"/>
      <c r="I2170" s="20" t="n"/>
      <c r="J2170" s="19" t="n"/>
      <c r="K2170" s="21" t="n"/>
      <c r="L2170" s="22">
        <f>IF(OR(J2170="",K2170=""),"",J2170*K2170)</f>
        <v/>
      </c>
      <c r="M2170" s="19" t="n"/>
      <c r="N2170" s="20" t="n"/>
      <c r="O2170" s="20" t="n"/>
    </row>
    <row r="2171">
      <c r="A2171" s="23" t="n">
        <v>2168</v>
      </c>
      <c r="B2171" s="23" t="inlineStr">
        <is>
          <t>2.7.12.2.5</t>
        </is>
      </c>
      <c r="C2171" s="25" t="inlineStr">
        <is>
          <t>Part 2 – Technical Systems</t>
        </is>
      </c>
      <c r="D2171" s="25" t="inlineStr">
        <is>
          <t>2.7 PRIVATE CLOUD TECHNICAL INFRASTRUCTURE</t>
        </is>
      </c>
      <c r="E2171" s="25" t="inlineStr">
        <is>
          <t>2.7.12 DATACENTER SOLUTION, DCIM AND RACKS</t>
        </is>
      </c>
      <c r="F2171" s="25" t="inlineStr">
        <is>
          <t>Include removable front &amp; rear locking doors</t>
        </is>
      </c>
      <c r="G2171" s="19" t="n"/>
      <c r="H2171" s="20" t="n"/>
      <c r="I2171" s="20" t="n"/>
      <c r="J2171" s="19" t="n"/>
      <c r="K2171" s="21" t="n"/>
      <c r="L2171" s="22">
        <f>IF(OR(J2171="",K2171=""),"",J2171*K2171)</f>
        <v/>
      </c>
      <c r="M2171" s="19" t="n"/>
      <c r="N2171" s="20" t="n"/>
      <c r="O2171" s="20" t="n"/>
    </row>
    <row r="2172">
      <c r="A2172" s="16" t="n">
        <v>2169</v>
      </c>
      <c r="B2172" s="16" t="inlineStr">
        <is>
          <t>2.7.12.2.6</t>
        </is>
      </c>
      <c r="C2172" s="18" t="inlineStr">
        <is>
          <t>Part 2 – Technical Systems</t>
        </is>
      </c>
      <c r="D2172" s="18" t="inlineStr">
        <is>
          <t>2.7 PRIVATE CLOUD TECHNICAL INFRASTRUCTURE</t>
        </is>
      </c>
      <c r="E2172" s="18" t="inlineStr">
        <is>
          <t>2.7.12 DATACENTER SOLUTION, DCIM AND RACKS</t>
        </is>
      </c>
      <c r="F2172" s="18" t="inlineStr">
        <is>
          <t>Lift-off locking side panels</t>
        </is>
      </c>
      <c r="G2172" s="19" t="n"/>
      <c r="H2172" s="20" t="n"/>
      <c r="I2172" s="20" t="n"/>
      <c r="J2172" s="19" t="n"/>
      <c r="K2172" s="21" t="n"/>
      <c r="L2172" s="22">
        <f>IF(OR(J2172="",K2172=""),"",J2172*K2172)</f>
        <v/>
      </c>
      <c r="M2172" s="19" t="n"/>
      <c r="N2172" s="20" t="n"/>
      <c r="O2172" s="20" t="n"/>
    </row>
    <row r="2173">
      <c r="A2173" s="23" t="n">
        <v>2170</v>
      </c>
      <c r="B2173" s="23" t="inlineStr">
        <is>
          <t>2.7.12.2.7</t>
        </is>
      </c>
      <c r="C2173" s="25" t="inlineStr">
        <is>
          <t>Part 2 – Technical Systems</t>
        </is>
      </c>
      <c r="D2173" s="25" t="inlineStr">
        <is>
          <t>2.7 PRIVATE CLOUD TECHNICAL INFRASTRUCTURE</t>
        </is>
      </c>
      <c r="E2173" s="25" t="inlineStr">
        <is>
          <t>2.7.12 DATACENTER SOLUTION, DCIM AND RACKS</t>
        </is>
      </c>
      <c r="F2173" s="25" t="inlineStr">
        <is>
          <t>Perforated top panel for ventilation and fan mounting</t>
        </is>
      </c>
      <c r="G2173" s="19" t="n"/>
      <c r="H2173" s="20" t="n"/>
      <c r="I2173" s="20" t="n"/>
      <c r="J2173" s="19" t="n"/>
      <c r="K2173" s="21" t="n"/>
      <c r="L2173" s="22">
        <f>IF(OR(J2173="",K2173=""),"",J2173*K2173)</f>
        <v/>
      </c>
      <c r="M2173" s="19" t="n"/>
      <c r="N2173" s="20" t="n"/>
      <c r="O2173" s="20" t="n"/>
    </row>
    <row r="2174">
      <c r="A2174" s="16" t="n">
        <v>2171</v>
      </c>
      <c r="B2174" s="16" t="inlineStr">
        <is>
          <t>2.7.12.2.8</t>
        </is>
      </c>
      <c r="C2174" s="18" t="inlineStr">
        <is>
          <t>Part 2 – Technical Systems</t>
        </is>
      </c>
      <c r="D2174" s="18" t="inlineStr">
        <is>
          <t>2.7 PRIVATE CLOUD TECHNICAL INFRASTRUCTURE</t>
        </is>
      </c>
      <c r="E2174" s="18" t="inlineStr">
        <is>
          <t>2.7.12 DATACENTER SOLUTION, DCIM AND RACKS</t>
        </is>
      </c>
      <c r="F2174" s="18" t="inlineStr">
        <is>
          <t>Open base</t>
        </is>
      </c>
      <c r="G2174" s="19" t="n"/>
      <c r="H2174" s="20" t="n"/>
      <c r="I2174" s="20" t="n"/>
      <c r="J2174" s="19" t="n"/>
      <c r="K2174" s="21" t="n"/>
      <c r="L2174" s="22">
        <f>IF(OR(J2174="",K2174=""),"",J2174*K2174)</f>
        <v/>
      </c>
      <c r="M2174" s="19" t="n"/>
      <c r="N2174" s="20" t="n"/>
      <c r="O2174" s="20" t="n"/>
    </row>
    <row r="2175">
      <c r="A2175" s="23" t="n">
        <v>2172</v>
      </c>
      <c r="B2175" s="23" t="inlineStr">
        <is>
          <t>2.7.12.2.9</t>
        </is>
      </c>
      <c r="C2175" s="25" t="inlineStr">
        <is>
          <t>Part 2 – Technical Systems</t>
        </is>
      </c>
      <c r="D2175" s="25" t="inlineStr">
        <is>
          <t>2.7 PRIVATE CLOUD TECHNICAL INFRASTRUCTURE</t>
        </is>
      </c>
      <c r="E2175" s="25" t="inlineStr">
        <is>
          <t>2.7.12 DATACENTER SOLUTION, DCIM AND RACKS</t>
        </is>
      </c>
      <c r="F2175" s="25" t="inlineStr">
        <is>
          <t>All equipment cabinet assemblies shall include an exhaust fan, power distribution units, grounding bus, and any mounting hardware required</t>
        </is>
      </c>
      <c r="G2175" s="19" t="n"/>
      <c r="H2175" s="20" t="n"/>
      <c r="I2175" s="20" t="n"/>
      <c r="J2175" s="19" t="n"/>
      <c r="K2175" s="21" t="n"/>
      <c r="L2175" s="22">
        <f>IF(OR(J2175="",K2175=""),"",J2175*K2175)</f>
        <v/>
      </c>
      <c r="M2175" s="19" t="n"/>
      <c r="N2175" s="20" t="n"/>
      <c r="O2175" s="20" t="n"/>
    </row>
    <row r="2176">
      <c r="A2176" s="16" t="n">
        <v>2173</v>
      </c>
      <c r="B2176" s="16" t="inlineStr">
        <is>
          <t>2.7.12.2.10</t>
        </is>
      </c>
      <c r="C2176" s="18" t="inlineStr">
        <is>
          <t>Part 2 – Technical Systems</t>
        </is>
      </c>
      <c r="D2176" s="18" t="inlineStr">
        <is>
          <t>2.7 PRIVATE CLOUD TECHNICAL INFRASTRUCTURE</t>
        </is>
      </c>
      <c r="E2176" s="18" t="inlineStr">
        <is>
          <t>2.7.12 DATACENTER SOLUTION, DCIM AND RACKS</t>
        </is>
      </c>
      <c r="F2176" s="18" t="inlineStr">
        <is>
          <t>All equipment cabinets shall be floor mountable by design and permanently fixed to the floor with bolt-down kits. Manufacturer’s procedures for floor mounting shall be followed.</t>
        </is>
      </c>
      <c r="G2176" s="19" t="n"/>
      <c r="H2176" s="20" t="n"/>
      <c r="I2176" s="20" t="n"/>
      <c r="J2176" s="19" t="n"/>
      <c r="K2176" s="21" t="n"/>
      <c r="L2176" s="22">
        <f>IF(OR(J2176="",K2176=""),"",J2176*K2176)</f>
        <v/>
      </c>
      <c r="M2176" s="19" t="n"/>
      <c r="N2176" s="20" t="n"/>
      <c r="O2176" s="20" t="n"/>
    </row>
    <row r="2177">
      <c r="A2177" s="23" t="n">
        <v>2174</v>
      </c>
      <c r="B2177" s="23" t="inlineStr">
        <is>
          <t>2.7.12.2.11</t>
        </is>
      </c>
      <c r="C2177" s="25" t="inlineStr">
        <is>
          <t>Part 2 – Technical Systems</t>
        </is>
      </c>
      <c r="D2177" s="25" t="inlineStr">
        <is>
          <t>2.7 PRIVATE CLOUD TECHNICAL INFRASTRUCTURE</t>
        </is>
      </c>
      <c r="E2177" s="25" t="inlineStr">
        <is>
          <t>2.7.12 DATACENTER SOLUTION, DCIM AND RACKS</t>
        </is>
      </c>
      <c r="F2177" s="25" t="inlineStr">
        <is>
          <t>A common make and type of cabinet shall be used for all cabinets.</t>
        </is>
      </c>
      <c r="G2177" s="19" t="n"/>
      <c r="H2177" s="20" t="n"/>
      <c r="I2177" s="20" t="n"/>
      <c r="J2177" s="19" t="n"/>
      <c r="K2177" s="21" t="n"/>
      <c r="L2177" s="22">
        <f>IF(OR(J2177="",K2177=""),"",J2177*K2177)</f>
        <v/>
      </c>
      <c r="M2177" s="19" t="n"/>
      <c r="N2177" s="20" t="n"/>
      <c r="O2177" s="20" t="n"/>
    </row>
    <row r="2178">
      <c r="A2178" s="16" t="n">
        <v>2175</v>
      </c>
      <c r="B2178" s="16" t="inlineStr">
        <is>
          <t>2.7.12.2.12</t>
        </is>
      </c>
      <c r="C2178" s="18" t="inlineStr">
        <is>
          <t>Part 2 – Technical Systems</t>
        </is>
      </c>
      <c r="D2178" s="18" t="inlineStr">
        <is>
          <t>2.7 PRIVATE CLOUD TECHNICAL INFRASTRUCTURE</t>
        </is>
      </c>
      <c r="E2178" s="18" t="inlineStr">
        <is>
          <t>2.7.12 DATACENTER SOLUTION, DCIM AND RACKS</t>
        </is>
      </c>
      <c r="F2178" s="18" t="inlineStr">
        <is>
          <t>High-speed structured cabling (copper and fiber) with redundant paths capable of supporting ≥25/40/100 Gb Ethernet.</t>
        </is>
      </c>
      <c r="G2178" s="19" t="n"/>
      <c r="H2178" s="20" t="n"/>
      <c r="I2178" s="20" t="n"/>
      <c r="J2178" s="19" t="n"/>
      <c r="K2178" s="21" t="n"/>
      <c r="L2178" s="22">
        <f>IF(OR(J2178="",K2178=""),"",J2178*K2178)</f>
        <v/>
      </c>
      <c r="M2178" s="19" t="n"/>
      <c r="N2178" s="20" t="n"/>
      <c r="O2178" s="20" t="n"/>
    </row>
    <row r="2179">
      <c r="A2179" s="23" t="n">
        <v>2176</v>
      </c>
      <c r="B2179" s="23" t="inlineStr">
        <is>
          <t>2.7.12.2.13</t>
        </is>
      </c>
      <c r="C2179" s="25" t="inlineStr">
        <is>
          <t>Part 2 – Technical Systems</t>
        </is>
      </c>
      <c r="D2179" s="25" t="inlineStr">
        <is>
          <t>2.7 PRIVATE CLOUD TECHNICAL INFRASTRUCTURE</t>
        </is>
      </c>
      <c r="E2179" s="25" t="inlineStr">
        <is>
          <t>2.7.12 DATACENTER SOLUTION, DCIM AND RACKS</t>
        </is>
      </c>
      <c r="F2179" s="25" t="inlineStr">
        <is>
          <t>Each rack shall include capability for intake of dual power distribution (A/B feeds) to at least four metered/intelligent PDUs with each PDU rated for at least 5 KVA.</t>
        </is>
      </c>
      <c r="G2179" s="19" t="n"/>
      <c r="H2179" s="20" t="n"/>
      <c r="I2179" s="20" t="n"/>
      <c r="J2179" s="19" t="n"/>
      <c r="K2179" s="21" t="n"/>
      <c r="L2179" s="22">
        <f>IF(OR(J2179="",K2179=""),"",J2179*K2179)</f>
        <v/>
      </c>
      <c r="M2179" s="19" t="n"/>
      <c r="N2179" s="20" t="n"/>
      <c r="O2179" s="20" t="n"/>
    </row>
    <row r="2180">
      <c r="A2180" s="16" t="n">
        <v>2177</v>
      </c>
      <c r="B2180" s="17" t="inlineStr">
        <is>
          <t>2.7.12.3</t>
        </is>
      </c>
      <c r="C2180" s="18" t="inlineStr">
        <is>
          <t>Part 2 – Technical Systems</t>
        </is>
      </c>
      <c r="D2180" s="18" t="inlineStr">
        <is>
          <t>2.7 PRIVATE CLOUD TECHNICAL INFRASTRUCTURE</t>
        </is>
      </c>
      <c r="E2180" s="18" t="inlineStr">
        <is>
          <t>2.7.12 DATACENTER SOLUTION, DCIM AND RACKS</t>
        </is>
      </c>
      <c r="F2180" s="18" t="inlineStr">
        <is>
          <t>The BIDDER shall note that cabling exists in the room connected to the power source and that the CONTRACTOR is required to supply and install the cabling required from the power units in the datacenter to each of the CONTRACTOR racks.</t>
        </is>
      </c>
      <c r="G2180" s="19" t="n"/>
      <c r="H2180" s="20" t="n"/>
      <c r="I2180" s="20" t="n"/>
      <c r="J2180" s="19" t="n"/>
      <c r="K2180" s="21" t="n"/>
      <c r="L2180" s="22">
        <f>IF(OR(J2180="",K2180=""),"",J2180*K2180)</f>
        <v/>
      </c>
      <c r="M2180" s="19" t="n"/>
      <c r="N2180" s="20" t="n"/>
      <c r="O2180" s="20" t="n"/>
    </row>
    <row r="2181">
      <c r="A2181" s="23" t="n">
        <v>2178</v>
      </c>
      <c r="B2181" s="24" t="inlineStr">
        <is>
          <t>2.7.12.4</t>
        </is>
      </c>
      <c r="C2181" s="25" t="inlineStr">
        <is>
          <t>Part 2 – Technical Systems</t>
        </is>
      </c>
      <c r="D2181" s="25" t="inlineStr">
        <is>
          <t>2.7 PRIVATE CLOUD TECHNICAL INFRASTRUCTURE</t>
        </is>
      </c>
      <c r="E2181" s="25" t="inlineStr">
        <is>
          <t>2.7.12 DATACENTER SOLUTION, DCIM AND RACKS</t>
        </is>
      </c>
      <c r="F2181" s="25" t="inlineStr">
        <is>
          <t>The CONTRACTOR shall deliver perforated doors on the front and rear of all cabinets to improve air flow and equipment cooling.</t>
        </is>
      </c>
      <c r="G2181" s="19" t="n"/>
      <c r="H2181" s="20" t="n"/>
      <c r="I2181" s="20" t="n"/>
      <c r="J2181" s="19" t="n"/>
      <c r="K2181" s="21" t="n"/>
      <c r="L2181" s="22">
        <f>IF(OR(J2181="",K2181=""),"",J2181*K2181)</f>
        <v/>
      </c>
      <c r="M2181" s="19" t="n"/>
      <c r="N2181" s="20" t="n"/>
      <c r="O2181" s="20" t="n"/>
    </row>
    <row r="2182">
      <c r="A2182" s="16" t="n">
        <v>2179</v>
      </c>
      <c r="B2182" s="17" t="inlineStr">
        <is>
          <t>2.7.12.5</t>
        </is>
      </c>
      <c r="C2182" s="18" t="inlineStr">
        <is>
          <t>Part 2 – Technical Systems</t>
        </is>
      </c>
      <c r="D2182" s="18" t="inlineStr">
        <is>
          <t>2.7 PRIVATE CLOUD TECHNICAL INFRASTRUCTURE</t>
        </is>
      </c>
      <c r="E2182" s="18" t="inlineStr">
        <is>
          <t>2.7.12 DATACENTER SOLUTION, DCIM AND RACKS</t>
        </is>
      </c>
      <c r="F2182" s="18" t="inlineStr">
        <is>
          <t>The CONTRACTOR shall install the racks arranged in rows side by side with the side panels between adjoining cabinets removed allowing access between the cabinets, noting that the side panels shall not be removed in cases where they are essential to maintain the correct operating temperature within the cabinet.</t>
        </is>
      </c>
      <c r="G2182" s="19" t="n"/>
      <c r="H2182" s="20" t="n"/>
      <c r="I2182" s="20" t="n"/>
      <c r="J2182" s="19" t="n"/>
      <c r="K2182" s="21" t="n"/>
      <c r="L2182" s="22">
        <f>IF(OR(J2182="",K2182=""),"",J2182*K2182)</f>
        <v/>
      </c>
      <c r="M2182" s="19" t="n"/>
      <c r="N2182" s="20" t="n"/>
      <c r="O2182" s="20" t="n"/>
    </row>
    <row r="2183">
      <c r="A2183" s="23" t="n">
        <v>2180</v>
      </c>
      <c r="B2183" s="24" t="inlineStr">
        <is>
          <t>2.7.12.6</t>
        </is>
      </c>
      <c r="C2183" s="25" t="inlineStr">
        <is>
          <t>Part 2 – Technical Systems</t>
        </is>
      </c>
      <c r="D2183" s="25" t="inlineStr">
        <is>
          <t>2.7 PRIVATE CLOUD TECHNICAL INFRASTRUCTURE</t>
        </is>
      </c>
      <c r="E2183" s="25" t="inlineStr">
        <is>
          <t>2.7.12 DATACENTER SOLUTION, DCIM AND RACKS</t>
        </is>
      </c>
      <c r="F2183" s="25" t="inlineStr">
        <is>
          <t>The CONTRACTOR shall install the racks such that sufficient space shall be left between the rows of equipment to allow all doors to be opened without obstruction and for all equipment within the cabinets to be removed.</t>
        </is>
      </c>
      <c r="G2183" s="19" t="n"/>
      <c r="H2183" s="20" t="n"/>
      <c r="I2183" s="20" t="n"/>
      <c r="J2183" s="19" t="n"/>
      <c r="K2183" s="21" t="n"/>
      <c r="L2183" s="22">
        <f>IF(OR(J2183="",K2183=""),"",J2183*K2183)</f>
        <v/>
      </c>
      <c r="M2183" s="19" t="n"/>
      <c r="N2183" s="20" t="n"/>
      <c r="O2183" s="20" t="n"/>
    </row>
    <row r="2184">
      <c r="A2184" s="16" t="n">
        <v>2181</v>
      </c>
      <c r="B2184" s="17" t="inlineStr">
        <is>
          <t>2.7.12.7</t>
        </is>
      </c>
      <c r="C2184" s="18" t="inlineStr">
        <is>
          <t>Part 2 – Technical Systems</t>
        </is>
      </c>
      <c r="D2184" s="18" t="inlineStr">
        <is>
          <t>2.7 PRIVATE CLOUD TECHNICAL INFRASTRUCTURE</t>
        </is>
      </c>
      <c r="E2184" s="18" t="inlineStr">
        <is>
          <t>2.7.12 DATACENTER SOLUTION, DCIM AND RACKS</t>
        </is>
      </c>
      <c r="F2184" s="18" t="inlineStr">
        <is>
          <t>Where equipment has internally serviceable parts which require top access, that The CONTRACTOR shall install the racks with sliders and cable management devices to allow the unit to be safely pulled out for servicing without the need to disconnect any of the cables and without the need for any additional support.</t>
        </is>
      </c>
      <c r="G2184" s="19" t="n"/>
      <c r="H2184" s="20" t="n"/>
      <c r="I2184" s="20" t="n"/>
      <c r="J2184" s="19" t="n"/>
      <c r="K2184" s="21" t="n"/>
      <c r="L2184" s="22">
        <f>IF(OR(J2184="",K2184=""),"",J2184*K2184)</f>
        <v/>
      </c>
      <c r="M2184" s="19" t="n"/>
      <c r="N2184" s="20" t="n"/>
      <c r="O2184" s="20" t="n"/>
    </row>
    <row r="2185">
      <c r="A2185" s="23" t="n">
        <v>2182</v>
      </c>
      <c r="B2185" s="24" t="inlineStr">
        <is>
          <t>2.7.12.8</t>
        </is>
      </c>
      <c r="C2185" s="25" t="inlineStr">
        <is>
          <t>Part 2 – Technical Systems</t>
        </is>
      </c>
      <c r="D2185" s="25" t="inlineStr">
        <is>
          <t>2.7 PRIVATE CLOUD TECHNICAL INFRASTRUCTURE</t>
        </is>
      </c>
      <c r="E2185" s="25" t="inlineStr">
        <is>
          <t>2.7.12 DATACENTER SOLUTION, DCIM AND RACKS</t>
        </is>
      </c>
      <c r="F2185" s="25" t="inlineStr">
        <is>
          <t>The CONTRACTOR shall install the racks such that the side panels shall be left in place on the outside edges of all end-of-row racks or stand- alone racks.</t>
        </is>
      </c>
      <c r="G2185" s="19" t="n"/>
      <c r="H2185" s="20" t="n"/>
      <c r="I2185" s="20" t="n"/>
      <c r="J2185" s="19" t="n"/>
      <c r="K2185" s="21" t="n"/>
      <c r="L2185" s="22">
        <f>IF(OR(J2185="",K2185=""),"",J2185*K2185)</f>
        <v/>
      </c>
      <c r="M2185" s="19" t="n"/>
      <c r="N2185" s="20" t="n"/>
      <c r="O2185" s="20" t="n"/>
    </row>
    <row r="2186">
      <c r="A2186" s="16" t="n">
        <v>2183</v>
      </c>
      <c r="B2186" s="17" t="inlineStr">
        <is>
          <t>2.7.12.9</t>
        </is>
      </c>
      <c r="C2186" s="18" t="inlineStr">
        <is>
          <t>Part 2 – Technical Systems</t>
        </is>
      </c>
      <c r="D2186" s="18" t="inlineStr">
        <is>
          <t>2.7 PRIVATE CLOUD TECHNICAL INFRASTRUCTURE</t>
        </is>
      </c>
      <c r="E2186" s="18" t="inlineStr">
        <is>
          <t>2.7.12 DATACENTER SOLUTION, DCIM AND RACKS</t>
        </is>
      </c>
      <c r="F2186" s="18" t="inlineStr">
        <is>
          <t>Racks containing powered equipment shall use thermostatically controlled forced air cooling to maintain the temperature within the rack at the midpoint (or optimum) operating temperature.</t>
        </is>
      </c>
      <c r="G2186" s="19" t="n"/>
      <c r="H2186" s="20" t="n"/>
      <c r="I2186" s="20" t="n"/>
      <c r="J2186" s="19" t="n"/>
      <c r="K2186" s="21" t="n"/>
      <c r="L2186" s="22">
        <f>IF(OR(J2186="",K2186=""),"",J2186*K2186)</f>
        <v/>
      </c>
      <c r="M2186" s="19" t="n"/>
      <c r="N2186" s="20" t="n"/>
      <c r="O2186" s="20" t="n"/>
    </row>
    <row r="2187">
      <c r="A2187" s="23" t="n">
        <v>2184</v>
      </c>
      <c r="B2187" s="24" t="inlineStr">
        <is>
          <t>2.7.12.10</t>
        </is>
      </c>
      <c r="C2187" s="25" t="inlineStr">
        <is>
          <t>Part 2 – Technical Systems</t>
        </is>
      </c>
      <c r="D2187" s="25" t="inlineStr">
        <is>
          <t>2.7 PRIVATE CLOUD TECHNICAL INFRASTRUCTURE</t>
        </is>
      </c>
      <c r="E2187" s="25" t="inlineStr">
        <is>
          <t>2.7.12 DATACENTER SOLUTION, DCIM AND RACKS</t>
        </is>
      </c>
      <c r="F2187" s="25" t="inlineStr">
        <is>
          <t>For the OSS911 datacenter, the CONTRACTOR shall implement locally, a scalable and vendor-agnostic centralized datacenter infrastructure management (DCIM) solution that is accessible from anywhere on the OSS911 network and that is dimensioned for 500 devices and 15 cameras.</t>
        </is>
      </c>
      <c r="G2187" s="19" t="n"/>
      <c r="H2187" s="20" t="n"/>
      <c r="I2187" s="20" t="n"/>
      <c r="J2187" s="19" t="n"/>
      <c r="K2187" s="21" t="n"/>
      <c r="L2187" s="22">
        <f>IF(OR(J2187="",K2187=""),"",J2187*K2187)</f>
        <v/>
      </c>
      <c r="M2187" s="19" t="n"/>
      <c r="N2187" s="20" t="n"/>
      <c r="O2187" s="20" t="n"/>
    </row>
    <row r="2188">
      <c r="A2188" s="16" t="n">
        <v>2185</v>
      </c>
      <c r="B2188" s="17" t="inlineStr">
        <is>
          <t>2.7.12.11</t>
        </is>
      </c>
      <c r="C2188" s="18" t="inlineStr">
        <is>
          <t>Part 2 – Technical Systems</t>
        </is>
      </c>
      <c r="D2188" s="18" t="inlineStr">
        <is>
          <t>2.7 PRIVATE CLOUD TECHNICAL INFRASTRUCTURE</t>
        </is>
      </c>
      <c r="E2188" s="18" t="inlineStr">
        <is>
          <t>2.7.12 DATACENTER SOLUTION, DCIM AND RACKS</t>
        </is>
      </c>
      <c r="F2188" s="18" t="inlineStr">
        <is>
          <t>The CONTRACTOR delivered DCIM solution shall be based on COTS products from vendors who are rated as leaders in the last released Gartner Magic Quadrant for DCIM solution.</t>
        </is>
      </c>
      <c r="G2188" s="19" t="n"/>
      <c r="H2188" s="20" t="n"/>
      <c r="I2188" s="20" t="n"/>
      <c r="J2188" s="19" t="n"/>
      <c r="K2188" s="21" t="n"/>
      <c r="L2188" s="22">
        <f>IF(OR(J2188="",K2188=""),"",J2188*K2188)</f>
        <v/>
      </c>
      <c r="M2188" s="19" t="n"/>
      <c r="N2188" s="20" t="n"/>
      <c r="O2188" s="20" t="n"/>
    </row>
    <row r="2189">
      <c r="A2189" s="23" t="n">
        <v>2186</v>
      </c>
      <c r="B2189" s="24" t="inlineStr">
        <is>
          <t>2.7.12.12</t>
        </is>
      </c>
      <c r="C2189" s="25" t="inlineStr">
        <is>
          <t>Part 2 – Technical Systems</t>
        </is>
      </c>
      <c r="D2189" s="25" t="inlineStr">
        <is>
          <t>2.7 PRIVATE CLOUD TECHNICAL INFRASTRUCTURE</t>
        </is>
      </c>
      <c r="E2189" s="25" t="inlineStr">
        <is>
          <t>2.7.12 DATACENTER SOLUTION, DCIM AND RACKS</t>
        </is>
      </c>
      <c r="F2189" s="25" t="inlineStr">
        <is>
          <t>The CONTRACTOR delivered DCIM solution shall monitor, organize, and distribute critical alerts and information, providing a unified view of the datacenter infrastructure environments.</t>
        </is>
      </c>
      <c r="G2189" s="19" t="n"/>
      <c r="H2189" s="20" t="n"/>
      <c r="I2189" s="20" t="n"/>
      <c r="J2189" s="19" t="n"/>
      <c r="K2189" s="21" t="n"/>
      <c r="L2189" s="22">
        <f>IF(OR(J2189="",K2189=""),"",J2189*K2189)</f>
        <v/>
      </c>
      <c r="M2189" s="19" t="n"/>
      <c r="N2189" s="20" t="n"/>
      <c r="O2189" s="20" t="n"/>
    </row>
    <row r="2190">
      <c r="A2190" s="16" t="n">
        <v>2187</v>
      </c>
      <c r="B2190" s="17" t="inlineStr">
        <is>
          <t>2.7.12.13</t>
        </is>
      </c>
      <c r="C2190" s="18" t="inlineStr">
        <is>
          <t>Part 2 – Technical Systems</t>
        </is>
      </c>
      <c r="D2190" s="18" t="inlineStr">
        <is>
          <t>2.7 PRIVATE CLOUD TECHNICAL INFRASTRUCTURE</t>
        </is>
      </c>
      <c r="E2190" s="18" t="inlineStr">
        <is>
          <t>2.7.12 DATACENTER SOLUTION, DCIM AND RACKS</t>
        </is>
      </c>
      <c r="F2190" s="18" t="inlineStr">
        <is>
          <t>The CONTRACTOR delivered DCIM solution shall be integrated with the already existing OSS911 datacenter systems including the CCTV system, the security and access control system, the fire alarm system and fire protection system, cooling system, building management system.</t>
        </is>
      </c>
      <c r="G2190" s="19" t="n"/>
      <c r="H2190" s="20" t="n"/>
      <c r="I2190" s="20" t="n"/>
      <c r="J2190" s="19" t="n"/>
      <c r="K2190" s="21" t="n"/>
      <c r="L2190" s="22">
        <f>IF(OR(J2190="",K2190=""),"",J2190*K2190)</f>
        <v/>
      </c>
      <c r="M2190" s="19" t="n"/>
      <c r="N2190" s="20" t="n"/>
      <c r="O2190" s="20" t="n"/>
    </row>
    <row r="2191">
      <c r="A2191" s="23" t="n">
        <v>2188</v>
      </c>
      <c r="B2191" s="24" t="inlineStr">
        <is>
          <t>2.7.12.14</t>
        </is>
      </c>
      <c r="C2191" s="25" t="inlineStr">
        <is>
          <t>Part 2 – Technical Systems</t>
        </is>
      </c>
      <c r="D2191" s="25" t="inlineStr">
        <is>
          <t>2.7 PRIVATE CLOUD TECHNICAL INFRASTRUCTURE</t>
        </is>
      </c>
      <c r="E2191" s="25" t="inlineStr">
        <is>
          <t>2.7.12 DATACENTER SOLUTION, DCIM AND RACKS</t>
        </is>
      </c>
      <c r="F2191" s="25" t="inlineStr">
        <is>
          <t>The CONTRACTOR shall include all necessary solutions and sensors for centrally monitoring the racks temperature, humidity and cooling and for creating necessary alarms for each rack.</t>
        </is>
      </c>
      <c r="G2191" s="19" t="n"/>
      <c r="H2191" s="20" t="n"/>
      <c r="I2191" s="20" t="n"/>
      <c r="J2191" s="19" t="n"/>
      <c r="K2191" s="21" t="n"/>
      <c r="L2191" s="22">
        <f>IF(OR(J2191="",K2191=""),"",J2191*K2191)</f>
        <v/>
      </c>
      <c r="M2191" s="19" t="n"/>
      <c r="N2191" s="20" t="n"/>
      <c r="O2191" s="20" t="n"/>
    </row>
    <row r="2192">
      <c r="A2192" s="16" t="n">
        <v>2189</v>
      </c>
      <c r="B2192" s="17" t="inlineStr">
        <is>
          <t>2.7.12.15</t>
        </is>
      </c>
      <c r="C2192" s="18" t="inlineStr">
        <is>
          <t>Part 2 – Technical Systems</t>
        </is>
      </c>
      <c r="D2192" s="18" t="inlineStr">
        <is>
          <t>2.7 PRIVATE CLOUD TECHNICAL INFRASTRUCTURE</t>
        </is>
      </c>
      <c r="E2192" s="18" t="inlineStr">
        <is>
          <t>2.7.12 DATACENTER SOLUTION, DCIM AND RACKS</t>
        </is>
      </c>
      <c r="F2192" s="18" t="inlineStr">
        <is>
          <t>The CONTRACTOR shall install the equipment in the racks to be connected to two independent breakers within the rack such that the failure of one power feed to the rack shall have no impact on the operation of that equipment.</t>
        </is>
      </c>
      <c r="G2192" s="19" t="n"/>
      <c r="H2192" s="20" t="n"/>
      <c r="I2192" s="20" t="n"/>
      <c r="J2192" s="19" t="n"/>
      <c r="K2192" s="21" t="n"/>
      <c r="L2192" s="22">
        <f>IF(OR(J2192="",K2192=""),"",J2192*K2192)</f>
        <v/>
      </c>
      <c r="M2192" s="19" t="n"/>
      <c r="N2192" s="20" t="n"/>
      <c r="O2192" s="20" t="n"/>
    </row>
    <row r="2193">
      <c r="A2193" s="23" t="n">
        <v>2190</v>
      </c>
      <c r="B2193" s="24" t="inlineStr">
        <is>
          <t>2.7.12.16</t>
        </is>
      </c>
      <c r="C2193" s="25" t="inlineStr">
        <is>
          <t>Part 2 – Technical Systems</t>
        </is>
      </c>
      <c r="D2193" s="25" t="inlineStr">
        <is>
          <t>2.7 PRIVATE CLOUD TECHNICAL INFRASTRUCTURE</t>
        </is>
      </c>
      <c r="E2193" s="25" t="inlineStr">
        <is>
          <t>2.7.12 DATACENTER SOLUTION, DCIM AND RACKS</t>
        </is>
      </c>
      <c r="F2193" s="25" t="inlineStr">
        <is>
          <t>Where equipment in a rack has only a single power supply, the CONTRACTOR shall evenly distribute the connections for such equipment across the PDUs within the racks.</t>
        </is>
      </c>
      <c r="G2193" s="19" t="n"/>
      <c r="H2193" s="20" t="n"/>
      <c r="I2193" s="20" t="n"/>
      <c r="J2193" s="19" t="n"/>
      <c r="K2193" s="21" t="n"/>
      <c r="L2193" s="22">
        <f>IF(OR(J2193="",K2193=""),"",J2193*K2193)</f>
        <v/>
      </c>
      <c r="M2193" s="19" t="n"/>
      <c r="N2193" s="20" t="n"/>
      <c r="O2193" s="20" t="n"/>
    </row>
    <row r="2194">
      <c r="A2194" s="16" t="n">
        <v>2191</v>
      </c>
      <c r="B2194" s="17" t="inlineStr">
        <is>
          <t>2.7.12.17</t>
        </is>
      </c>
      <c r="C2194" s="18" t="inlineStr">
        <is>
          <t>Part 2 – Technical Systems</t>
        </is>
      </c>
      <c r="D2194" s="18" t="inlineStr">
        <is>
          <t>2.7 PRIVATE CLOUD TECHNICAL INFRASTRUCTURE</t>
        </is>
      </c>
      <c r="E2194" s="18" t="inlineStr">
        <is>
          <t>2.7.12 DATACENTER SOLUTION, DCIM AND RACKS</t>
        </is>
      </c>
      <c r="F2194" s="18" t="inlineStr">
        <is>
          <t>The CONTRACTOR shall install horizontal and vertical cable management in the front of all racks where front routing of cables is required (e.g., patch panels and active equipment such as switches).</t>
        </is>
      </c>
      <c r="G2194" s="19" t="n"/>
      <c r="H2194" s="20" t="n"/>
      <c r="I2194" s="20" t="n"/>
      <c r="J2194" s="19" t="n"/>
      <c r="K2194" s="21" t="n"/>
      <c r="L2194" s="22">
        <f>IF(OR(J2194="",K2194=""),"",J2194*K2194)</f>
        <v/>
      </c>
      <c r="M2194" s="19" t="n"/>
      <c r="N2194" s="20" t="n"/>
      <c r="O2194" s="20" t="n"/>
    </row>
    <row r="2195">
      <c r="A2195" s="23" t="n">
        <v>2192</v>
      </c>
      <c r="B2195" s="24" t="inlineStr">
        <is>
          <t>2.7.12.18</t>
        </is>
      </c>
      <c r="C2195" s="25" t="inlineStr">
        <is>
          <t>Part 2 – Technical Systems</t>
        </is>
      </c>
      <c r="D2195" s="25" t="inlineStr">
        <is>
          <t>2.7 PRIVATE CLOUD TECHNICAL INFRASTRUCTURE</t>
        </is>
      </c>
      <c r="E2195" s="25" t="inlineStr">
        <is>
          <t>2.7.12 DATACENTER SOLUTION, DCIM AND RACKS</t>
        </is>
      </c>
      <c r="F2195" s="25" t="inlineStr">
        <is>
          <t>The CONTRACTOR shall install cable management accessories for all cabling in the rear of the racks.</t>
        </is>
      </c>
      <c r="G2195" s="19" t="n"/>
      <c r="H2195" s="20" t="n"/>
      <c r="I2195" s="20" t="n"/>
      <c r="J2195" s="19" t="n"/>
      <c r="K2195" s="21" t="n"/>
      <c r="L2195" s="22">
        <f>IF(OR(J2195="",K2195=""),"",J2195*K2195)</f>
        <v/>
      </c>
      <c r="M2195" s="19" t="n"/>
      <c r="N2195" s="20" t="n"/>
      <c r="O2195" s="20" t="n"/>
    </row>
    <row r="2196">
      <c r="A2196" s="16" t="n">
        <v>2193</v>
      </c>
      <c r="B2196" s="17" t="inlineStr">
        <is>
          <t>2.7.12.19</t>
        </is>
      </c>
      <c r="C2196" s="18" t="inlineStr">
        <is>
          <t>Part 2 – Technical Systems</t>
        </is>
      </c>
      <c r="D2196" s="18" t="inlineStr">
        <is>
          <t>2.7 PRIVATE CLOUD TECHNICAL INFRASTRUCTURE</t>
        </is>
      </c>
      <c r="E2196" s="18" t="inlineStr">
        <is>
          <t>2.7.12 DATACENTER SOLUTION, DCIM AND RACKS</t>
        </is>
      </c>
      <c r="F2196" s="18" t="inlineStr">
        <is>
          <t>The CONTRACTOR shall ensure appropriate separation of power and signal cables for all their installations.</t>
        </is>
      </c>
      <c r="G2196" s="19" t="n"/>
      <c r="H2196" s="20" t="n"/>
      <c r="I2196" s="20" t="n"/>
      <c r="J2196" s="19" t="n"/>
      <c r="K2196" s="21" t="n"/>
      <c r="L2196" s="22">
        <f>IF(OR(J2196="",K2196=""),"",J2196*K2196)</f>
        <v/>
      </c>
      <c r="M2196" s="19" t="n"/>
      <c r="N2196" s="20" t="n"/>
      <c r="O2196" s="20" t="n"/>
    </row>
    <row r="2197">
      <c r="A2197" s="23" t="n">
        <v>2194</v>
      </c>
      <c r="B2197" s="24" t="inlineStr">
        <is>
          <t>2.7.12.20</t>
        </is>
      </c>
      <c r="C2197" s="25" t="inlineStr">
        <is>
          <t>Part 2 – Technical Systems</t>
        </is>
      </c>
      <c r="D2197" s="25" t="inlineStr">
        <is>
          <t>2.7 PRIVATE CLOUD TECHNICAL INFRASTRUCTURE</t>
        </is>
      </c>
      <c r="E2197" s="25" t="inlineStr">
        <is>
          <t>2.7.12 DATACENTER SOLUTION, DCIM AND RACKS</t>
        </is>
      </c>
      <c r="F2197" s="25" t="inlineStr">
        <is>
          <t>The CONTRACTOR shall install all cables such that the cables that are required to exit the rack shall pass through the side openings to adjacent and adjoining racks and such that the cables shall not exit the cabinet through the front or the rear, and the front and rear of the racks shall remain free of obstacles.</t>
        </is>
      </c>
      <c r="G2197" s="19" t="n"/>
      <c r="H2197" s="20" t="n"/>
      <c r="I2197" s="20" t="n"/>
      <c r="J2197" s="19" t="n"/>
      <c r="K2197" s="21" t="n"/>
      <c r="L2197" s="22">
        <f>IF(OR(J2197="",K2197=""),"",J2197*K2197)</f>
        <v/>
      </c>
      <c r="M2197" s="19" t="n"/>
      <c r="N2197" s="20" t="n"/>
      <c r="O2197" s="20" t="n"/>
    </row>
    <row r="2198">
      <c r="A2198" s="16" t="n">
        <v>2195</v>
      </c>
      <c r="B2198" s="17" t="inlineStr">
        <is>
          <t>2.7.12.21</t>
        </is>
      </c>
      <c r="C2198" s="18" t="inlineStr">
        <is>
          <t>Part 2 – Technical Systems</t>
        </is>
      </c>
      <c r="D2198" s="18" t="inlineStr">
        <is>
          <t>2.7 PRIVATE CLOUD TECHNICAL INFRASTRUCTURE</t>
        </is>
      </c>
      <c r="E2198" s="18" t="inlineStr">
        <is>
          <t>2.7.12 DATACENTER SOLUTION, DCIM AND RACKS</t>
        </is>
      </c>
      <c r="F2198" s="18" t="inlineStr">
        <is>
          <t>The CONTRACTOR shall provide a cable schedule for all installed cables that includes all labels.</t>
        </is>
      </c>
      <c r="G2198" s="19" t="n"/>
      <c r="H2198" s="20" t="n"/>
      <c r="I2198" s="20" t="n"/>
      <c r="J2198" s="19" t="n"/>
      <c r="K2198" s="21" t="n"/>
      <c r="L2198" s="22">
        <f>IF(OR(J2198="",K2198=""),"",J2198*K2198)</f>
        <v/>
      </c>
      <c r="M2198" s="19" t="n"/>
      <c r="N2198" s="20" t="n"/>
      <c r="O2198" s="20" t="n"/>
    </row>
    <row r="2199">
      <c r="A2199" s="23" t="n">
        <v>2196</v>
      </c>
      <c r="B2199" s="24" t="inlineStr">
        <is>
          <t>2.7.12.22</t>
        </is>
      </c>
      <c r="C2199" s="25" t="inlineStr">
        <is>
          <t>Part 2 – Technical Systems</t>
        </is>
      </c>
      <c r="D2199" s="25" t="inlineStr">
        <is>
          <t>2.7 PRIVATE CLOUD TECHNICAL INFRASTRUCTURE</t>
        </is>
      </c>
      <c r="E2199" s="25" t="inlineStr">
        <is>
          <t>2.7.12 DATACENTER SOLUTION, DCIM AND RACKS</t>
        </is>
      </c>
      <c r="F2199" s="25" t="inlineStr">
        <is>
          <t>All cables supplied by the CONTRACTOR shall be tested and certified for compliance to their relevant specification.</t>
        </is>
      </c>
      <c r="G2199" s="19" t="n"/>
      <c r="H2199" s="20" t="n"/>
      <c r="I2199" s="20" t="n"/>
      <c r="J2199" s="19" t="n"/>
      <c r="K2199" s="21" t="n"/>
      <c r="L2199" s="22">
        <f>IF(OR(J2199="",K2199=""),"",J2199*K2199)</f>
        <v/>
      </c>
      <c r="M2199" s="19" t="n"/>
      <c r="N2199" s="20" t="n"/>
      <c r="O2199" s="20" t="n"/>
    </row>
    <row r="2200">
      <c r="A2200" s="16" t="n">
        <v>2197</v>
      </c>
      <c r="B2200" s="17" t="inlineStr">
        <is>
          <t>2.7.12.23</t>
        </is>
      </c>
      <c r="C2200" s="18" t="inlineStr">
        <is>
          <t>Part 2 – Technical Systems</t>
        </is>
      </c>
      <c r="D2200" s="18" t="inlineStr">
        <is>
          <t>2.7 PRIVATE CLOUD TECHNICAL INFRASTRUCTURE</t>
        </is>
      </c>
      <c r="E2200" s="18" t="inlineStr">
        <is>
          <t>2.7.12 DATACENTER SOLUTION, DCIM AND RACKS</t>
        </is>
      </c>
      <c r="F2200" s="18" t="inlineStr">
        <is>
          <t>The CONTRACTOR shall maintain a 3-foot working clearance in the front and in the back of each equipment cabinets as a minimum, and a 3 foot working clearance at both ends of the equipment cabinet or assemblies.</t>
        </is>
      </c>
      <c r="G2200" s="19" t="n"/>
      <c r="H2200" s="20" t="n"/>
      <c r="I2200" s="20" t="n"/>
      <c r="J2200" s="19" t="n"/>
      <c r="K2200" s="21" t="n"/>
      <c r="L2200" s="22">
        <f>IF(OR(J2200="",K2200=""),"",J2200*K2200)</f>
        <v/>
      </c>
      <c r="M2200" s="19" t="n"/>
      <c r="N2200" s="20" t="n"/>
      <c r="O2200" s="20" t="n"/>
    </row>
    <row r="2201">
      <c r="A2201" s="23" t="n">
        <v>2198</v>
      </c>
      <c r="B2201" s="24" t="inlineStr">
        <is>
          <t>2.7.12.24</t>
        </is>
      </c>
      <c r="C2201" s="25" t="inlineStr">
        <is>
          <t>Part 2 – Technical Systems</t>
        </is>
      </c>
      <c r="D2201" s="25" t="inlineStr">
        <is>
          <t>2.7 PRIVATE CLOUD TECHNICAL INFRASTRUCTURE</t>
        </is>
      </c>
      <c r="E2201" s="25" t="inlineStr">
        <is>
          <t>2.7.12 DATACENTER SOLUTION, DCIM AND RACKS</t>
        </is>
      </c>
      <c r="F2201" s="25" t="inlineStr">
        <is>
          <t>The CONTRACTOR shall install cabinets with cable and jumper management and include the accessories to organize and support cabling and patch cords in the vertical and horizontal planes.</t>
        </is>
      </c>
      <c r="G2201" s="19" t="n"/>
      <c r="H2201" s="20" t="n"/>
      <c r="I2201" s="20" t="n"/>
      <c r="J2201" s="19" t="n"/>
      <c r="K2201" s="21" t="n"/>
      <c r="L2201" s="22">
        <f>IF(OR(J2201="",K2201=""),"",J2201*K2201)</f>
        <v/>
      </c>
      <c r="M2201" s="19" t="n"/>
      <c r="N2201" s="20" t="n"/>
      <c r="O2201" s="20" t="n"/>
    </row>
    <row r="2202">
      <c r="A2202" s="16" t="n">
        <v>2199</v>
      </c>
      <c r="B2202" s="17" t="inlineStr">
        <is>
          <t>2.7.12.25</t>
        </is>
      </c>
      <c r="C2202" s="18" t="inlineStr">
        <is>
          <t>Part 2 – Technical Systems</t>
        </is>
      </c>
      <c r="D2202" s="18" t="inlineStr">
        <is>
          <t>2.7 PRIVATE CLOUD TECHNICAL INFRASTRUCTURE</t>
        </is>
      </c>
      <c r="E2202" s="18" t="inlineStr">
        <is>
          <t>2.7.12 DATACENTER SOLUTION, DCIM AND RACKS</t>
        </is>
      </c>
      <c r="F2202" s="18" t="inlineStr">
        <is>
          <t>The CONTRACTOR shall implement all installations in conformance with industry installation guidelines, and manufacturer requirements. Failure to follow the appropriate guidelines will require the CONTRACTOR to provide, in a timely fashion, the additional material and labor necessary to properly rectify the situation, at no additional cost to the MOI.</t>
        </is>
      </c>
      <c r="G2202" s="19" t="n"/>
      <c r="H2202" s="20" t="n"/>
      <c r="I2202" s="20" t="n"/>
      <c r="J2202" s="19" t="n"/>
      <c r="K2202" s="21" t="n"/>
      <c r="L2202" s="22">
        <f>IF(OR(J2202="",K2202=""),"",J2202*K2202)</f>
        <v/>
      </c>
      <c r="M2202" s="19" t="n"/>
      <c r="N2202" s="20" t="n"/>
      <c r="O2202" s="20" t="n"/>
    </row>
    <row r="2203">
      <c r="A2203" s="23" t="n">
        <v>2200</v>
      </c>
      <c r="B2203" s="24" t="inlineStr">
        <is>
          <t>2.7.12.26</t>
        </is>
      </c>
      <c r="C2203" s="25" t="inlineStr">
        <is>
          <t>Part 2 – Technical Systems</t>
        </is>
      </c>
      <c r="D2203" s="25" t="inlineStr">
        <is>
          <t>2.7 PRIVATE CLOUD TECHNICAL INFRASTRUCTURE</t>
        </is>
      </c>
      <c r="E2203" s="25" t="inlineStr">
        <is>
          <t>2.7.12 DATACENTER SOLUTION, DCIM AND RACKS</t>
        </is>
      </c>
      <c r="F2203" s="25" t="inlineStr">
        <is>
          <t>The CONTRACTOR shall install all racks and cabinets to be floor mountable by design and permanently fixed to the floor with bolt-down kits, unless otherwise specified.</t>
        </is>
      </c>
      <c r="G2203" s="19" t="n"/>
      <c r="H2203" s="20" t="n"/>
      <c r="I2203" s="20" t="n"/>
      <c r="J2203" s="19" t="n"/>
      <c r="K2203" s="21" t="n"/>
      <c r="L2203" s="22">
        <f>IF(OR(J2203="",K2203=""),"",J2203*K2203)</f>
        <v/>
      </c>
      <c r="M2203" s="19" t="n"/>
      <c r="N2203" s="20" t="n"/>
      <c r="O2203" s="20" t="n"/>
    </row>
    <row r="2204">
      <c r="A2204" s="16" t="n">
        <v>2201</v>
      </c>
      <c r="B2204" s="17" t="inlineStr">
        <is>
          <t>2.7.12.27</t>
        </is>
      </c>
      <c r="C2204" s="18" t="inlineStr">
        <is>
          <t>Part 2 – Technical Systems</t>
        </is>
      </c>
      <c r="D2204" s="18" t="inlineStr">
        <is>
          <t>2.7 PRIVATE CLOUD TECHNICAL INFRASTRUCTURE</t>
        </is>
      </c>
      <c r="E2204" s="18" t="inlineStr">
        <is>
          <t>2.7.12 DATACENTER SOLUTION, DCIM AND RACKS</t>
        </is>
      </c>
      <c r="F2204" s="18" t="inlineStr">
        <is>
          <t>The CONTRACTOR shall not use plastic cable ties; cables shall be bundled using Velcro wraps of the appropriate length. Velcro ties shall be installed in such a manner that cables may be easily removed or added to the cable bundle.</t>
        </is>
      </c>
      <c r="G2204" s="19" t="n"/>
      <c r="H2204" s="20" t="n"/>
      <c r="I2204" s="20" t="n"/>
      <c r="J2204" s="19" t="n"/>
      <c r="K2204" s="21" t="n"/>
      <c r="L2204" s="22">
        <f>IF(OR(J2204="",K2204=""),"",J2204*K2204)</f>
        <v/>
      </c>
      <c r="M2204" s="19" t="n"/>
      <c r="N2204" s="20" t="n"/>
      <c r="O2204" s="20" t="n"/>
    </row>
    <row r="2205">
      <c r="A2205" s="23" t="n">
        <v>2202</v>
      </c>
      <c r="B2205" s="24" t="inlineStr">
        <is>
          <t>2.7.13.1</t>
        </is>
      </c>
      <c r="C2205" s="25" t="inlineStr">
        <is>
          <t>Part 2 – Technical Systems</t>
        </is>
      </c>
      <c r="D2205" s="25" t="inlineStr">
        <is>
          <t>2.7 PRIVATE CLOUD TECHNICAL INFRASTRUCTURE</t>
        </is>
      </c>
      <c r="E2205" s="25" t="inlineStr">
        <is>
          <t>2.7.13 INSTALLATION REQUIREMENTS</t>
        </is>
      </c>
      <c r="F2205" s="25" t="inlineStr">
        <is>
          <t>Design plans for hardware selection, installation location, and installation details shall be provided by the CONTRACTOR.</t>
        </is>
      </c>
      <c r="G2205" s="19" t="n"/>
      <c r="H2205" s="20" t="n"/>
      <c r="I2205" s="20" t="n"/>
      <c r="J2205" s="19" t="n"/>
      <c r="K2205" s="21" t="n"/>
      <c r="L2205" s="22">
        <f>IF(OR(J2205="",K2205=""),"",J2205*K2205)</f>
        <v/>
      </c>
      <c r="M2205" s="19" t="n"/>
      <c r="N2205" s="20" t="n"/>
      <c r="O2205" s="20" t="n"/>
    </row>
    <row r="2206">
      <c r="A2206" s="16" t="n">
        <v>2203</v>
      </c>
      <c r="B2206" s="17" t="inlineStr">
        <is>
          <t>2.7.13.2</t>
        </is>
      </c>
      <c r="C2206" s="18" t="inlineStr">
        <is>
          <t>Part 2 – Technical Systems</t>
        </is>
      </c>
      <c r="D2206" s="18" t="inlineStr">
        <is>
          <t>2.7 PRIVATE CLOUD TECHNICAL INFRASTRUCTURE</t>
        </is>
      </c>
      <c r="E2206" s="18" t="inlineStr">
        <is>
          <t>2.7.13 INSTALLATION REQUIREMENTS</t>
        </is>
      </c>
      <c r="F2206" s="18" t="inlineStr">
        <is>
          <t>The CONTRACTOR shall ensure the ventilation requirements for the all hardware components are met.</t>
        </is>
      </c>
      <c r="G2206" s="19" t="n"/>
      <c r="H2206" s="20" t="n"/>
      <c r="I2206" s="20" t="n"/>
      <c r="J2206" s="19" t="n"/>
      <c r="K2206" s="21" t="n"/>
      <c r="L2206" s="22">
        <f>IF(OR(J2206="",K2206=""),"",J2206*K2206)</f>
        <v/>
      </c>
      <c r="M2206" s="19" t="n"/>
      <c r="N2206" s="20" t="n"/>
      <c r="O2206" s="20" t="n"/>
    </row>
    <row r="2207">
      <c r="A2207" s="23" t="n">
        <v>2204</v>
      </c>
      <c r="B2207" s="24" t="inlineStr">
        <is>
          <t>2.7.13.3</t>
        </is>
      </c>
      <c r="C2207" s="25" t="inlineStr">
        <is>
          <t>Part 2 – Technical Systems</t>
        </is>
      </c>
      <c r="D2207" s="25" t="inlineStr">
        <is>
          <t>2.7 PRIVATE CLOUD TECHNICAL INFRASTRUCTURE</t>
        </is>
      </c>
      <c r="E2207" s="25" t="inlineStr">
        <is>
          <t>2.7.13 INSTALLATION REQUIREMENTS</t>
        </is>
      </c>
      <c r="F2207" s="25" t="inlineStr">
        <is>
          <t>Installation of the equipment by the CONTRACTOR shall be in accordance with the manufacturer’s installation instructions.</t>
        </is>
      </c>
      <c r="G2207" s="19" t="n"/>
      <c r="H2207" s="20" t="n"/>
      <c r="I2207" s="20" t="n"/>
      <c r="J2207" s="19" t="n"/>
      <c r="K2207" s="21" t="n"/>
      <c r="L2207" s="22">
        <f>IF(OR(J2207="",K2207=""),"",J2207*K2207)</f>
        <v/>
      </c>
      <c r="M2207" s="19" t="n"/>
      <c r="N2207" s="20" t="n"/>
      <c r="O2207" s="20" t="n"/>
    </row>
    <row r="2208">
      <c r="A2208" s="16" t="n">
        <v>2205</v>
      </c>
      <c r="B2208" s="17" t="inlineStr">
        <is>
          <t>2.7.13.4</t>
        </is>
      </c>
      <c r="C2208" s="18" t="inlineStr">
        <is>
          <t>Part 2 – Technical Systems</t>
        </is>
      </c>
      <c r="D2208" s="18" t="inlineStr">
        <is>
          <t>2.7 PRIVATE CLOUD TECHNICAL INFRASTRUCTURE</t>
        </is>
      </c>
      <c r="E2208" s="18" t="inlineStr">
        <is>
          <t>2.7.13 INSTALLATION REQUIREMENTS</t>
        </is>
      </c>
      <c r="F2208" s="18" t="inlineStr">
        <is>
          <t>For the CONTRACTOR supplied equipment, the CONTRACTOR shall produce the final as-built design for the OSS911 equipment at each location. These designs shall include the following:</t>
        </is>
      </c>
      <c r="G2208" s="19" t="n"/>
      <c r="H2208" s="20" t="n"/>
      <c r="I2208" s="20" t="n"/>
      <c r="J2208" s="19" t="n"/>
      <c r="K2208" s="21" t="n"/>
      <c r="L2208" s="22">
        <f>IF(OR(J2208="",K2208=""),"",J2208*K2208)</f>
        <v/>
      </c>
      <c r="M2208" s="19" t="n"/>
      <c r="N2208" s="20" t="n"/>
      <c r="O2208" s="20" t="n"/>
    </row>
    <row r="2209">
      <c r="A2209" s="23" t="n">
        <v>2206</v>
      </c>
      <c r="B2209" s="23" t="inlineStr">
        <is>
          <t>2.7.13.4.1</t>
        </is>
      </c>
      <c r="C2209" s="25" t="inlineStr">
        <is>
          <t>Part 2 – Technical Systems</t>
        </is>
      </c>
      <c r="D2209" s="25" t="inlineStr">
        <is>
          <t>2.7 PRIVATE CLOUD TECHNICAL INFRASTRUCTURE</t>
        </is>
      </c>
      <c r="E2209" s="25" t="inlineStr">
        <is>
          <t>2.7.13 INSTALLATION REQUIREMENTS</t>
        </is>
      </c>
      <c r="F2209" s="25" t="inlineStr">
        <is>
          <t>Floor layouts showing the position of all racks and other equipment that shall be installed in each location</t>
        </is>
      </c>
      <c r="G2209" s="19" t="n"/>
      <c r="H2209" s="20" t="n"/>
      <c r="I2209" s="20" t="n"/>
      <c r="J2209" s="19" t="n"/>
      <c r="K2209" s="21" t="n"/>
      <c r="L2209" s="22">
        <f>IF(OR(J2209="",K2209=""),"",J2209*K2209)</f>
        <v/>
      </c>
      <c r="M2209" s="19" t="n"/>
      <c r="N2209" s="20" t="n"/>
      <c r="O2209" s="20" t="n"/>
    </row>
    <row r="2210">
      <c r="A2210" s="16" t="n">
        <v>2207</v>
      </c>
      <c r="B2210" s="16" t="inlineStr">
        <is>
          <t>2.7.13.4.2</t>
        </is>
      </c>
      <c r="C2210" s="18" t="inlineStr">
        <is>
          <t>Part 2 – Technical Systems</t>
        </is>
      </c>
      <c r="D2210" s="18" t="inlineStr">
        <is>
          <t>2.7 PRIVATE CLOUD TECHNICAL INFRASTRUCTURE</t>
        </is>
      </c>
      <c r="E2210" s="18" t="inlineStr">
        <is>
          <t>2.7.13 INSTALLATION REQUIREMENTS</t>
        </is>
      </c>
      <c r="F2210" s="18" t="inlineStr">
        <is>
          <t>Rack front layouts for each rack</t>
        </is>
      </c>
      <c r="G2210" s="19" t="n"/>
      <c r="H2210" s="20" t="n"/>
      <c r="I2210" s="20" t="n"/>
      <c r="J2210" s="19" t="n"/>
      <c r="K2210" s="21" t="n"/>
      <c r="L2210" s="22">
        <f>IF(OR(J2210="",K2210=""),"",J2210*K2210)</f>
        <v/>
      </c>
      <c r="M2210" s="19" t="n"/>
      <c r="N2210" s="20" t="n"/>
      <c r="O2210" s="20" t="n"/>
    </row>
    <row r="2211">
      <c r="A2211" s="23" t="n">
        <v>2208</v>
      </c>
      <c r="B2211" s="23" t="inlineStr">
        <is>
          <t>2.7.13.4.3</t>
        </is>
      </c>
      <c r="C2211" s="25" t="inlineStr">
        <is>
          <t>Part 2 – Technical Systems</t>
        </is>
      </c>
      <c r="D2211" s="25" t="inlineStr">
        <is>
          <t>2.7 PRIVATE CLOUD TECHNICAL INFRASTRUCTURE</t>
        </is>
      </c>
      <c r="E2211" s="25" t="inlineStr">
        <is>
          <t>2.7.13 INSTALLATION REQUIREMENTS</t>
        </is>
      </c>
      <c r="F2211" s="25" t="inlineStr">
        <is>
          <t>Cable designs</t>
        </is>
      </c>
      <c r="G2211" s="19" t="n"/>
      <c r="H2211" s="20" t="n"/>
      <c r="I2211" s="20" t="n"/>
      <c r="J2211" s="19" t="n"/>
      <c r="K2211" s="21" t="n"/>
      <c r="L2211" s="22">
        <f>IF(OR(J2211="",K2211=""),"",J2211*K2211)</f>
        <v/>
      </c>
      <c r="M2211" s="19" t="n"/>
      <c r="N2211" s="20" t="n"/>
      <c r="O2211" s="20" t="n"/>
    </row>
    <row r="2212">
      <c r="A2212" s="16" t="n">
        <v>2209</v>
      </c>
      <c r="B2212" s="16" t="inlineStr">
        <is>
          <t>2.7.13.4.4</t>
        </is>
      </c>
      <c r="C2212" s="18" t="inlineStr">
        <is>
          <t>Part 2 – Technical Systems</t>
        </is>
      </c>
      <c r="D2212" s="18" t="inlineStr">
        <is>
          <t>2.7 PRIVATE CLOUD TECHNICAL INFRASTRUCTURE</t>
        </is>
      </c>
      <c r="E2212" s="18" t="inlineStr">
        <is>
          <t>2.7.13 INSTALLATION REQUIREMENTS</t>
        </is>
      </c>
      <c r="F2212" s="18" t="inlineStr">
        <is>
          <t>Power requirements analysis showing the loading per rack and per circuit</t>
        </is>
      </c>
      <c r="G2212" s="19" t="n"/>
      <c r="H2212" s="20" t="n"/>
      <c r="I2212" s="20" t="n"/>
      <c r="J2212" s="19" t="n"/>
      <c r="K2212" s="21" t="n"/>
      <c r="L2212" s="22">
        <f>IF(OR(J2212="",K2212=""),"",J2212*K2212)</f>
        <v/>
      </c>
      <c r="M2212" s="19" t="n"/>
      <c r="N2212" s="20" t="n"/>
      <c r="O2212" s="20" t="n"/>
    </row>
    <row r="2213">
      <c r="A2213" s="23" t="n">
        <v>2210</v>
      </c>
      <c r="B2213" s="23" t="inlineStr">
        <is>
          <t>2.7.13.4.5</t>
        </is>
      </c>
      <c r="C2213" s="25" t="inlineStr">
        <is>
          <t>Part 2 – Technical Systems</t>
        </is>
      </c>
      <c r="D2213" s="25" t="inlineStr">
        <is>
          <t>2.7 PRIVATE CLOUD TECHNICAL INFRASTRUCTURE</t>
        </is>
      </c>
      <c r="E2213" s="25" t="inlineStr">
        <is>
          <t>2.7.13 INSTALLATION REQUIREMENTS</t>
        </is>
      </c>
      <c r="F2213" s="25" t="inlineStr">
        <is>
          <t>Heat output analysis</t>
        </is>
      </c>
      <c r="G2213" s="19" t="n"/>
      <c r="H2213" s="20" t="n"/>
      <c r="I2213" s="20" t="n"/>
      <c r="J2213" s="19" t="n"/>
      <c r="K2213" s="21" t="n"/>
      <c r="L2213" s="22">
        <f>IF(OR(J2213="",K2213=""),"",J2213*K2213)</f>
        <v/>
      </c>
      <c r="M2213" s="19" t="n"/>
      <c r="N2213" s="20" t="n"/>
      <c r="O2213" s="20" t="n"/>
    </row>
    <row r="2214">
      <c r="A2214" s="16" t="n">
        <v>2211</v>
      </c>
      <c r="B2214" s="16" t="inlineStr">
        <is>
          <t>2.7.13.4.6</t>
        </is>
      </c>
      <c r="C2214" s="18" t="inlineStr">
        <is>
          <t>Part 2 – Technical Systems</t>
        </is>
      </c>
      <c r="D2214" s="18" t="inlineStr">
        <is>
          <t>2.7 PRIVATE CLOUD TECHNICAL INFRASTRUCTURE</t>
        </is>
      </c>
      <c r="E2214" s="18" t="inlineStr">
        <is>
          <t>2.7.13 INSTALLATION REQUIREMENTS</t>
        </is>
      </c>
      <c r="F2214" s="18" t="inlineStr">
        <is>
          <t>Floor loadings</t>
        </is>
      </c>
      <c r="G2214" s="19" t="n"/>
      <c r="H2214" s="20" t="n"/>
      <c r="I2214" s="20" t="n"/>
      <c r="J2214" s="19" t="n"/>
      <c r="K2214" s="21" t="n"/>
      <c r="L2214" s="22">
        <f>IF(OR(J2214="",K2214=""),"",J2214*K2214)</f>
        <v/>
      </c>
      <c r="M2214" s="19" t="n"/>
      <c r="N2214" s="20" t="n"/>
      <c r="O2214" s="20" t="n"/>
    </row>
    <row r="2215">
      <c r="A2215" s="23" t="n">
        <v>2212</v>
      </c>
      <c r="B2215" s="24" t="inlineStr">
        <is>
          <t>2.7.13.5</t>
        </is>
      </c>
      <c r="C2215" s="25" t="inlineStr">
        <is>
          <t>Part 2 – Technical Systems</t>
        </is>
      </c>
      <c r="D2215" s="25" t="inlineStr">
        <is>
          <t>2.7 PRIVATE CLOUD TECHNICAL INFRASTRUCTURE</t>
        </is>
      </c>
      <c r="E2215" s="25" t="inlineStr">
        <is>
          <t>2.7.13 INSTALLATION REQUIREMENTS</t>
        </is>
      </c>
      <c r="F2215" s="25" t="inlineStr">
        <is>
          <t>The CONTRACTOR shall implement:</t>
        </is>
      </c>
      <c r="G2215" s="19" t="n"/>
      <c r="H2215" s="20" t="n"/>
      <c r="I2215" s="20" t="n"/>
      <c r="J2215" s="19" t="n"/>
      <c r="K2215" s="21" t="n"/>
      <c r="L2215" s="22">
        <f>IF(OR(J2215="",K2215=""),"",J2215*K2215)</f>
        <v/>
      </c>
      <c r="M2215" s="19" t="n"/>
      <c r="N2215" s="20" t="n"/>
      <c r="O2215" s="20" t="n"/>
    </row>
    <row r="2216">
      <c r="A2216" s="16" t="n">
        <v>2213</v>
      </c>
      <c r="B2216" s="16" t="inlineStr">
        <is>
          <t>2.7.13.5.1</t>
        </is>
      </c>
      <c r="C2216" s="18" t="inlineStr">
        <is>
          <t>Part 2 – Technical Systems</t>
        </is>
      </c>
      <c r="D2216" s="18" t="inlineStr">
        <is>
          <t>2.7 PRIVATE CLOUD TECHNICAL INFRASTRUCTURE</t>
        </is>
      </c>
      <c r="E2216" s="18" t="inlineStr">
        <is>
          <t>2.7.13 INSTALLATION REQUIREMENTS</t>
        </is>
      </c>
      <c r="F2216" s="18" t="inlineStr">
        <is>
          <t>Power distribution strips that shall conform to the local KSA standards from SASO and standards of the NIC and MOI as prescribed on their website.</t>
        </is>
      </c>
      <c r="G2216" s="19" t="n"/>
      <c r="H2216" s="20" t="n"/>
      <c r="I2216" s="20" t="n"/>
      <c r="J2216" s="19" t="n"/>
      <c r="K2216" s="21" t="n"/>
      <c r="L2216" s="22">
        <f>IF(OR(J2216="",K2216=""),"",J2216*K2216)</f>
        <v/>
      </c>
      <c r="M2216" s="19" t="n"/>
      <c r="N2216" s="20" t="n"/>
      <c r="O2216" s="20" t="n"/>
    </row>
    <row r="2217">
      <c r="A2217" s="23" t="n">
        <v>2214</v>
      </c>
      <c r="B2217" s="23" t="inlineStr">
        <is>
          <t>2.7.13.5.2</t>
        </is>
      </c>
      <c r="C2217" s="25" t="inlineStr">
        <is>
          <t>Part 2 – Technical Systems</t>
        </is>
      </c>
      <c r="D2217" s="25" t="inlineStr">
        <is>
          <t>2.7 PRIVATE CLOUD TECHNICAL INFRASTRUCTURE</t>
        </is>
      </c>
      <c r="E2217" s="25" t="inlineStr">
        <is>
          <t>2.7.13 INSTALLATION REQUIREMENTS</t>
        </is>
      </c>
      <c r="F2217" s="25" t="inlineStr">
        <is>
          <t>Power cabling and termination blocks, if any, that shall be installed between the UPS panel/switchboard designated for the equipment room and the rack.</t>
        </is>
      </c>
      <c r="G2217" s="19" t="n"/>
      <c r="H2217" s="20" t="n"/>
      <c r="I2217" s="20" t="n"/>
      <c r="J2217" s="19" t="n"/>
      <c r="K2217" s="21" t="n"/>
      <c r="L2217" s="22">
        <f>IF(OR(J2217="",K2217=""),"",J2217*K2217)</f>
        <v/>
      </c>
      <c r="M2217" s="19" t="n"/>
      <c r="N2217" s="20" t="n"/>
      <c r="O2217" s="20" t="n"/>
    </row>
    <row r="2218">
      <c r="A2218" s="16" t="n">
        <v>2215</v>
      </c>
      <c r="B2218" s="16" t="inlineStr">
        <is>
          <t>2.7.13.5.3</t>
        </is>
      </c>
      <c r="C2218" s="18" t="inlineStr">
        <is>
          <t>Part 2 – Technical Systems</t>
        </is>
      </c>
      <c r="D2218" s="18" t="inlineStr">
        <is>
          <t>2.7 PRIVATE CLOUD TECHNICAL INFRASTRUCTURE</t>
        </is>
      </c>
      <c r="E2218" s="18" t="inlineStr">
        <is>
          <t>2.7.13 INSTALLATION REQUIREMENTS</t>
        </is>
      </c>
      <c r="F2218" s="18" t="inlineStr">
        <is>
          <t>All power plugs on installed equipment shall conform to the KSA standards.</t>
        </is>
      </c>
      <c r="G2218" s="19" t="n"/>
      <c r="H2218" s="20" t="n"/>
      <c r="I2218" s="20" t="n"/>
      <c r="J2218" s="19" t="n"/>
      <c r="K2218" s="21" t="n"/>
      <c r="L2218" s="22">
        <f>IF(OR(J2218="",K2218=""),"",J2218*K2218)</f>
        <v/>
      </c>
      <c r="M2218" s="19" t="n"/>
      <c r="N2218" s="20" t="n"/>
      <c r="O2218" s="20" t="n"/>
    </row>
    <row r="2219">
      <c r="A2219" s="23" t="n">
        <v>2216</v>
      </c>
      <c r="B2219" s="23" t="inlineStr">
        <is>
          <t>2.7.13.5.4</t>
        </is>
      </c>
      <c r="C2219" s="25" t="inlineStr">
        <is>
          <t>Part 2 – Technical Systems</t>
        </is>
      </c>
      <c r="D2219" s="25" t="inlineStr">
        <is>
          <t>2.7 PRIVATE CLOUD TECHNICAL INFRASTRUCTURE</t>
        </is>
      </c>
      <c r="E2219" s="25" t="inlineStr">
        <is>
          <t>2.7.13 INSTALLATION REQUIREMENTS</t>
        </is>
      </c>
      <c r="F2219" s="25" t="inlineStr">
        <is>
          <t>Each rack shall be designed to be fed from a minimum of two independent circuit breakers of an appropriate rating for the load they supply.</t>
        </is>
      </c>
      <c r="G2219" s="19" t="n"/>
      <c r="H2219" s="20" t="n"/>
      <c r="I2219" s="20" t="n"/>
      <c r="J2219" s="19" t="n"/>
      <c r="K2219" s="21" t="n"/>
      <c r="L2219" s="22">
        <f>IF(OR(J2219="",K2219=""),"",J2219*K2219)</f>
        <v/>
      </c>
      <c r="M2219" s="19" t="n"/>
      <c r="N2219" s="20" t="n"/>
      <c r="O2219" s="20" t="n"/>
    </row>
    <row r="2220">
      <c r="A2220" s="16" t="n">
        <v>2217</v>
      </c>
      <c r="B2220" s="16" t="inlineStr">
        <is>
          <t>2.7.13.5.5</t>
        </is>
      </c>
      <c r="C2220" s="18" t="inlineStr">
        <is>
          <t>Part 2 – Technical Systems</t>
        </is>
      </c>
      <c r="D2220" s="18" t="inlineStr">
        <is>
          <t>2.7 PRIVATE CLOUD TECHNICAL INFRASTRUCTURE</t>
        </is>
      </c>
      <c r="E2220" s="18" t="inlineStr">
        <is>
          <t>2.7.13 INSTALLATION REQUIREMENTS</t>
        </is>
      </c>
      <c r="F2220" s="18" t="inlineStr">
        <is>
          <t>The rows of racks shall be configured in hot aisle/cold aisle layout to maximize cooling</t>
        </is>
      </c>
      <c r="G2220" s="19" t="n"/>
      <c r="H2220" s="20" t="n"/>
      <c r="I2220" s="20" t="n"/>
      <c r="J2220" s="19" t="n"/>
      <c r="K2220" s="21" t="n"/>
      <c r="L2220" s="22">
        <f>IF(OR(J2220="",K2220=""),"",J2220*K2220)</f>
        <v/>
      </c>
      <c r="M2220" s="19" t="n"/>
      <c r="N2220" s="20" t="n"/>
      <c r="O2220" s="20" t="n"/>
    </row>
    <row r="2221">
      <c r="A2221" s="23" t="n">
        <v>2218</v>
      </c>
      <c r="B2221" s="24" t="inlineStr">
        <is>
          <t>2.7.14.1</t>
        </is>
      </c>
      <c r="C2221" s="25" t="inlineStr">
        <is>
          <t>Part 2 – Technical Systems</t>
        </is>
      </c>
      <c r="D2221" s="25" t="inlineStr">
        <is>
          <t>2.7 PRIVATE CLOUD TECHNICAL INFRASTRUCTURE</t>
        </is>
      </c>
      <c r="E2221" s="25" t="inlineStr">
        <is>
          <t>2.7.14 COMPUTERS, MONITORS, PRINTERS AND FAX</t>
        </is>
      </c>
      <c r="F2221" s="25" t="inlineStr">
        <is>
          <t>Computers and peripherals shall be installed by the CONTRACTOR in each of the OSS911 Centers.</t>
        </is>
      </c>
      <c r="G2221" s="19" t="n"/>
      <c r="H2221" s="20" t="n"/>
      <c r="I2221" s="20" t="n"/>
      <c r="J2221" s="19" t="n"/>
      <c r="K2221" s="21" t="n"/>
      <c r="L2221" s="22">
        <f>IF(OR(J2221="",K2221=""),"",J2221*K2221)</f>
        <v/>
      </c>
      <c r="M2221" s="19" t="n"/>
      <c r="N2221" s="20" t="n"/>
      <c r="O2221" s="20" t="n"/>
    </row>
    <row r="2222">
      <c r="A2222" s="16" t="n">
        <v>2219</v>
      </c>
      <c r="B2222" s="17" t="inlineStr">
        <is>
          <t>2.7.14.2</t>
        </is>
      </c>
      <c r="C2222" s="18" t="inlineStr">
        <is>
          <t>Part 2 – Technical Systems</t>
        </is>
      </c>
      <c r="D2222" s="18" t="inlineStr">
        <is>
          <t>2.7 PRIVATE CLOUD TECHNICAL INFRASTRUCTURE</t>
        </is>
      </c>
      <c r="E2222" s="18" t="inlineStr">
        <is>
          <t>2.7.14 COMPUTERS, MONITORS, PRINTERS AND FAX</t>
        </is>
      </c>
      <c r="F2222" s="18" t="inlineStr">
        <is>
          <t>Within their proposal, the BIDDER shall include a detailed breakdown of the quantities of the different equipment under supply including breakdown by different areas within OSS911.</t>
        </is>
      </c>
      <c r="G2222" s="19" t="n"/>
      <c r="H2222" s="20" t="n"/>
      <c r="I2222" s="20" t="n"/>
      <c r="J2222" s="19" t="n"/>
      <c r="K2222" s="21" t="n"/>
      <c r="L2222" s="22">
        <f>IF(OR(J2222="",K2222=""),"",J2222*K2222)</f>
        <v/>
      </c>
      <c r="M2222" s="19" t="n"/>
      <c r="N2222" s="20" t="n"/>
      <c r="O2222" s="20" t="n"/>
    </row>
    <row r="2223">
      <c r="A2223" s="23" t="n">
        <v>2220</v>
      </c>
      <c r="B2223" s="24" t="inlineStr">
        <is>
          <t>2.7.14.3</t>
        </is>
      </c>
      <c r="C2223" s="25" t="inlineStr">
        <is>
          <t>Part 2 – Technical Systems</t>
        </is>
      </c>
      <c r="D2223" s="25" t="inlineStr">
        <is>
          <t>2.7 PRIVATE CLOUD TECHNICAL INFRASTRUCTURE</t>
        </is>
      </c>
      <c r="E2223" s="25" t="inlineStr">
        <is>
          <t>2.7.14 COMPUTERS, MONITORS, PRINTERS AND FAX</t>
        </is>
      </c>
      <c r="F2223" s="25" t="inlineStr">
        <is>
          <t>The computing solution from the CONTRACTOR shall use the OSS911 Center structured cabling system of the OSS911 center. Proprietary cabling systems are not acceptable.</t>
        </is>
      </c>
      <c r="G2223" s="19" t="n"/>
      <c r="H2223" s="20" t="n"/>
      <c r="I2223" s="20" t="n"/>
      <c r="J2223" s="19" t="n"/>
      <c r="K2223" s="21" t="n"/>
      <c r="L2223" s="22">
        <f>IF(OR(J2223="",K2223=""),"",J2223*K2223)</f>
        <v/>
      </c>
      <c r="M2223" s="19" t="n"/>
      <c r="N2223" s="20" t="n"/>
      <c r="O2223" s="20" t="n"/>
    </row>
    <row r="2224">
      <c r="A2224" s="16" t="n">
        <v>2221</v>
      </c>
      <c r="B2224" s="17" t="inlineStr">
        <is>
          <t>2.7.14.4</t>
        </is>
      </c>
      <c r="C2224" s="18" t="inlineStr">
        <is>
          <t>Part 2 – Technical Systems</t>
        </is>
      </c>
      <c r="D2224" s="18" t="inlineStr">
        <is>
          <t>2.7 PRIVATE CLOUD TECHNICAL INFRASTRUCTURE</t>
        </is>
      </c>
      <c r="E2224" s="18" t="inlineStr">
        <is>
          <t>2.7.14 COMPUTERS, MONITORS, PRINTERS AND FAX</t>
        </is>
      </c>
      <c r="F2224" s="18" t="inlineStr">
        <is>
          <t>The PCs implemented by the CONTRACTOR within all the OSS911 Centers shall be of the same basic manufacturer, and model.</t>
        </is>
      </c>
      <c r="G2224" s="19" t="n"/>
      <c r="H2224" s="20" t="n"/>
      <c r="I2224" s="20" t="n"/>
      <c r="J2224" s="19" t="n"/>
      <c r="K2224" s="21" t="n"/>
      <c r="L2224" s="22">
        <f>IF(OR(J2224="",K2224=""),"",J2224*K2224)</f>
        <v/>
      </c>
      <c r="M2224" s="19" t="n"/>
      <c r="N2224" s="20" t="n"/>
      <c r="O2224" s="20" t="n"/>
    </row>
    <row r="2225">
      <c r="A2225" s="23" t="n">
        <v>2222</v>
      </c>
      <c r="B2225" s="24" t="inlineStr">
        <is>
          <t>2.7.14.5</t>
        </is>
      </c>
      <c r="C2225" s="25" t="inlineStr">
        <is>
          <t>Part 2 – Technical Systems</t>
        </is>
      </c>
      <c r="D2225" s="25" t="inlineStr">
        <is>
          <t>2.7 PRIVATE CLOUD TECHNICAL INFRASTRUCTURE</t>
        </is>
      </c>
      <c r="E2225" s="25" t="inlineStr">
        <is>
          <t>2.7.14 COMPUTERS, MONITORS, PRINTERS AND FAX</t>
        </is>
      </c>
      <c r="F2225" s="25" t="inlineStr">
        <is>
          <t>The CONTRACTOR shall supply PCs in three different configurations, as per the related appendix#8.</t>
        </is>
      </c>
      <c r="G2225" s="19" t="n"/>
      <c r="H2225" s="20" t="n"/>
      <c r="I2225" s="20" t="n"/>
      <c r="J2225" s="19" t="n"/>
      <c r="K2225" s="21" t="n"/>
      <c r="L2225" s="22">
        <f>IF(OR(J2225="",K2225=""),"",J2225*K2225)</f>
        <v/>
      </c>
      <c r="M2225" s="19" t="n"/>
      <c r="N2225" s="20" t="n"/>
      <c r="O2225" s="20" t="n"/>
    </row>
    <row r="2226">
      <c r="A2226" s="16" t="n">
        <v>2223</v>
      </c>
      <c r="B2226" s="17" t="inlineStr">
        <is>
          <t>2.7.14.6</t>
        </is>
      </c>
      <c r="C2226" s="18" t="inlineStr">
        <is>
          <t>Part 2 – Technical Systems</t>
        </is>
      </c>
      <c r="D2226" s="18" t="inlineStr">
        <is>
          <t>2.7 PRIVATE CLOUD TECHNICAL INFRASTRUCTURE</t>
        </is>
      </c>
      <c r="E2226" s="18" t="inlineStr">
        <is>
          <t>2.7.14 COMPUTERS, MONITORS, PRINTERS AND FAX</t>
        </is>
      </c>
      <c r="F2226" s="18" t="inlineStr">
        <is>
          <t>Each PC deployed by the CONTRACTOR at the OSS911 centers shall be capable of driving the required number of high-resolution displays simultaneously, without any noticeable degradation in performance of the applications.</t>
        </is>
      </c>
      <c r="G2226" s="19" t="n"/>
      <c r="H2226" s="20" t="n"/>
      <c r="I2226" s="20" t="n"/>
      <c r="J2226" s="19" t="n"/>
      <c r="K2226" s="21" t="n"/>
      <c r="L2226" s="22">
        <f>IF(OR(J2226="",K2226=""),"",J2226*K2226)</f>
        <v/>
      </c>
      <c r="M2226" s="19" t="n"/>
      <c r="N2226" s="20" t="n"/>
      <c r="O2226" s="20" t="n"/>
    </row>
    <row r="2227">
      <c r="A2227" s="23" t="n">
        <v>2224</v>
      </c>
      <c r="B2227" s="24" t="inlineStr">
        <is>
          <t>2.7.14.7</t>
        </is>
      </c>
      <c r="C2227" s="25" t="inlineStr">
        <is>
          <t>Part 2 – Technical Systems</t>
        </is>
      </c>
      <c r="D2227" s="25" t="inlineStr">
        <is>
          <t>2.7 PRIVATE CLOUD TECHNICAL INFRASTRUCTURE</t>
        </is>
      </c>
      <c r="E2227" s="25" t="inlineStr">
        <is>
          <t>2.7.14 COMPUTERS, MONITORS, PRINTERS AND FAX</t>
        </is>
      </c>
      <c r="F2227" s="25" t="inlineStr">
        <is>
          <t>The CONTRACTOR shall supply two 24” LED monitors, each monitor with built-in speakers, for each operational position with each of the call taking PCs to be equipped with built-in webcam that will be integrated with OSS911 solutions for video calls handling.</t>
        </is>
      </c>
      <c r="G2227" s="19" t="n"/>
      <c r="H2227" s="20" t="n"/>
      <c r="I2227" s="20" t="n"/>
      <c r="J2227" s="19" t="n"/>
      <c r="K2227" s="21" t="n"/>
      <c r="L2227" s="22">
        <f>IF(OR(J2227="",K2227=""),"",J2227*K2227)</f>
        <v/>
      </c>
      <c r="M2227" s="19" t="n"/>
      <c r="N2227" s="20" t="n"/>
      <c r="O2227" s="20" t="n"/>
    </row>
    <row r="2228">
      <c r="A2228" s="16" t="n">
        <v>2225</v>
      </c>
      <c r="B2228" s="17" t="inlineStr">
        <is>
          <t>2.7.14.8</t>
        </is>
      </c>
      <c r="C2228" s="18" t="inlineStr">
        <is>
          <t>Part 2 – Technical Systems</t>
        </is>
      </c>
      <c r="D2228" s="18" t="inlineStr">
        <is>
          <t>2.7 PRIVATE CLOUD TECHNICAL INFRASTRUCTURE</t>
        </is>
      </c>
      <c r="E2228" s="18" t="inlineStr">
        <is>
          <t>2.7.14 COMPUTERS, MONITORS, PRINTERS AND FAX</t>
        </is>
      </c>
      <c r="F2228" s="18" t="inlineStr">
        <is>
          <t>Each configuration of the PC shall be certified for use by the various COTS vendors and the CONTRACTOR for their solutions to work as per the performance and service level requirements of this RFP.</t>
        </is>
      </c>
      <c r="G2228" s="19" t="n"/>
      <c r="H2228" s="20" t="n"/>
      <c r="I2228" s="20" t="n"/>
      <c r="J2228" s="19" t="n"/>
      <c r="K2228" s="21" t="n"/>
      <c r="L2228" s="22">
        <f>IF(OR(J2228="",K2228=""),"",J2228*K2228)</f>
        <v/>
      </c>
      <c r="M2228" s="19" t="n"/>
      <c r="N2228" s="20" t="n"/>
      <c r="O2228" s="20" t="n"/>
    </row>
    <row r="2229">
      <c r="A2229" s="23" t="n">
        <v>2226</v>
      </c>
      <c r="B2229" s="24" t="inlineStr">
        <is>
          <t>2.7.14.9</t>
        </is>
      </c>
      <c r="C2229" s="25" t="inlineStr">
        <is>
          <t>Part 2 – Technical Systems</t>
        </is>
      </c>
      <c r="D2229" s="25" t="inlineStr">
        <is>
          <t>2.7 PRIVATE CLOUD TECHNICAL INFRASTRUCTURE</t>
        </is>
      </c>
      <c r="E2229" s="25" t="inlineStr">
        <is>
          <t>2.7.14 COMPUTERS, MONITORS, PRINTERS AND FAX</t>
        </is>
      </c>
      <c r="F2229" s="25" t="inlineStr">
        <is>
          <t>The CONTRACTOR shall supply each of the PC with the most current, full release desktop operating system which is compatible with the OSS911 systems and architecture, stable as certified by the OSS911 systems’ manufacturer, and supports the required security profile.</t>
        </is>
      </c>
      <c r="G2229" s="19" t="n"/>
      <c r="H2229" s="20" t="n"/>
      <c r="I2229" s="20" t="n"/>
      <c r="J2229" s="19" t="n"/>
      <c r="K2229" s="21" t="n"/>
      <c r="L2229" s="22">
        <f>IF(OR(J2229="",K2229=""),"",J2229*K2229)</f>
        <v/>
      </c>
      <c r="M2229" s="19" t="n"/>
      <c r="N2229" s="20" t="n"/>
      <c r="O2229" s="20" t="n"/>
    </row>
    <row r="2230">
      <c r="A2230" s="16" t="n">
        <v>2227</v>
      </c>
      <c r="B2230" s="17" t="inlineStr">
        <is>
          <t>2.7.14.10</t>
        </is>
      </c>
      <c r="C2230" s="18" t="inlineStr">
        <is>
          <t>Part 2 – Technical Systems</t>
        </is>
      </c>
      <c r="D2230" s="18" t="inlineStr">
        <is>
          <t>2.7 PRIVATE CLOUD TECHNICAL INFRASTRUCTURE</t>
        </is>
      </c>
      <c r="E2230" s="18" t="inlineStr">
        <is>
          <t>2.7.14 COMPUTERS, MONITORS, PRINTERS AND FAX</t>
        </is>
      </c>
      <c r="F2230" s="18" t="inlineStr">
        <is>
          <t>The operating system version to be installed shall be approved by MOI during detailed design following the award of the contract.</t>
        </is>
      </c>
      <c r="G2230" s="19" t="n"/>
      <c r="H2230" s="20" t="n"/>
      <c r="I2230" s="20" t="n"/>
      <c r="J2230" s="19" t="n"/>
      <c r="K2230" s="21" t="n"/>
      <c r="L2230" s="22">
        <f>IF(OR(J2230="",K2230=""),"",J2230*K2230)</f>
        <v/>
      </c>
      <c r="M2230" s="19" t="n"/>
      <c r="N2230" s="20" t="n"/>
      <c r="O2230" s="20" t="n"/>
    </row>
    <row r="2231">
      <c r="A2231" s="23" t="n">
        <v>2228</v>
      </c>
      <c r="B2231" s="24" t="inlineStr">
        <is>
          <t>2.7.14.11</t>
        </is>
      </c>
      <c r="C2231" s="25" t="inlineStr">
        <is>
          <t>Part 2 – Technical Systems</t>
        </is>
      </c>
      <c r="D2231" s="25" t="inlineStr">
        <is>
          <t>2.7 PRIVATE CLOUD TECHNICAL INFRASTRUCTURE</t>
        </is>
      </c>
      <c r="E2231" s="25" t="inlineStr">
        <is>
          <t>2.7.14 COMPUTERS, MONITORS, PRINTERS AND FAX</t>
        </is>
      </c>
      <c r="F2231" s="25" t="inlineStr">
        <is>
          <t>The CONTRACTOR shall provide the latest version of desktop automation suite (capability of word processing, spreadsheet, presentation and collaboration including email) on each supplied personal computer, together with the appropriate licenses.</t>
        </is>
      </c>
      <c r="G2231" s="19" t="n"/>
      <c r="H2231" s="20" t="n"/>
      <c r="I2231" s="20" t="n"/>
      <c r="J2231" s="19" t="n"/>
      <c r="K2231" s="21" t="n"/>
      <c r="L2231" s="22">
        <f>IF(OR(J2231="",K2231=""),"",J2231*K2231)</f>
        <v/>
      </c>
      <c r="M2231" s="19" t="n"/>
      <c r="N2231" s="20" t="n"/>
      <c r="O2231" s="20" t="n"/>
    </row>
    <row r="2232">
      <c r="A2232" s="16" t="n">
        <v>2229</v>
      </c>
      <c r="B2232" s="17" t="inlineStr">
        <is>
          <t>2.7.14.12</t>
        </is>
      </c>
      <c r="C2232" s="18" t="inlineStr">
        <is>
          <t>Part 2 – Technical Systems</t>
        </is>
      </c>
      <c r="D2232" s="18" t="inlineStr">
        <is>
          <t>2.7 PRIVATE CLOUD TECHNICAL INFRASTRUCTURE</t>
        </is>
      </c>
      <c r="E2232" s="18" t="inlineStr">
        <is>
          <t>2.7.14 COMPUTERS, MONITORS, PRINTERS AND FAX</t>
        </is>
      </c>
      <c r="F2232" s="18" t="inlineStr">
        <is>
          <t>The CONTRACTOR shall produce a standard workstation base build with the operating systems and other common applications, and then add the appropriate specific application software related to the intended usage.</t>
        </is>
      </c>
      <c r="G2232" s="19" t="n"/>
      <c r="H2232" s="20" t="n"/>
      <c r="I2232" s="20" t="n"/>
      <c r="J2232" s="19" t="n"/>
      <c r="K2232" s="21" t="n"/>
      <c r="L2232" s="22">
        <f>IF(OR(J2232="",K2232=""),"",J2232*K2232)</f>
        <v/>
      </c>
      <c r="M2232" s="19" t="n"/>
      <c r="N2232" s="20" t="n"/>
      <c r="O2232" s="20" t="n"/>
    </row>
    <row r="2233">
      <c r="A2233" s="23" t="n">
        <v>2230</v>
      </c>
      <c r="B2233" s="24" t="inlineStr">
        <is>
          <t>2.7.14.13</t>
        </is>
      </c>
      <c r="C2233" s="25" t="inlineStr">
        <is>
          <t>Part 2 – Technical Systems</t>
        </is>
      </c>
      <c r="D2233" s="25" t="inlineStr">
        <is>
          <t>2.7 PRIVATE CLOUD TECHNICAL INFRASTRUCTURE</t>
        </is>
      </c>
      <c r="E2233" s="25" t="inlineStr">
        <is>
          <t>2.7.14 COMPUTERS, MONITORS, PRINTERS AND FAX</t>
        </is>
      </c>
      <c r="F2233" s="25" t="inlineStr">
        <is>
          <t>The CONTRACTOR shall deliver the images of all builds to the MOI.</t>
        </is>
      </c>
      <c r="G2233" s="19" t="n"/>
      <c r="H2233" s="20" t="n"/>
      <c r="I2233" s="20" t="n"/>
      <c r="J2233" s="19" t="n"/>
      <c r="K2233" s="21" t="n"/>
      <c r="L2233" s="22">
        <f>IF(OR(J2233="",K2233=""),"",J2233*K2233)</f>
        <v/>
      </c>
      <c r="M2233" s="19" t="n"/>
      <c r="N2233" s="20" t="n"/>
      <c r="O2233" s="20" t="n"/>
    </row>
    <row r="2234">
      <c r="A2234" s="16" t="n">
        <v>2231</v>
      </c>
      <c r="B2234" s="17" t="inlineStr">
        <is>
          <t>2.7.14.14</t>
        </is>
      </c>
      <c r="C2234" s="18" t="inlineStr">
        <is>
          <t>Part 2 – Technical Systems</t>
        </is>
      </c>
      <c r="D2234" s="18" t="inlineStr">
        <is>
          <t>2.7 PRIVATE CLOUD TECHNICAL INFRASTRUCTURE</t>
        </is>
      </c>
      <c r="E2234" s="18" t="inlineStr">
        <is>
          <t>2.7.14 COMPUTERS, MONITORS, PRINTERS AND FAX</t>
        </is>
      </c>
      <c r="F2234" s="18" t="inlineStr">
        <is>
          <t>The CONTRACTOR shall supply the PCs with a wired optical mouse with a navigation wheel and a minimum of 2 navigation buttons.</t>
        </is>
      </c>
      <c r="G2234" s="19" t="n"/>
      <c r="H2234" s="20" t="n"/>
      <c r="I2234" s="20" t="n"/>
      <c r="J2234" s="19" t="n"/>
      <c r="K2234" s="21" t="n"/>
      <c r="L2234" s="22">
        <f>IF(OR(J2234="",K2234=""),"",J2234*K2234)</f>
        <v/>
      </c>
      <c r="M2234" s="19" t="n"/>
      <c r="N2234" s="20" t="n"/>
      <c r="O2234" s="20" t="n"/>
    </row>
    <row r="2235">
      <c r="A2235" s="23" t="n">
        <v>2232</v>
      </c>
      <c r="B2235" s="24" t="inlineStr">
        <is>
          <t>2.7.14.15</t>
        </is>
      </c>
      <c r="C2235" s="25" t="inlineStr">
        <is>
          <t>Part 2 – Technical Systems</t>
        </is>
      </c>
      <c r="D2235" s="25" t="inlineStr">
        <is>
          <t>2.7 PRIVATE CLOUD TECHNICAL INFRASTRUCTURE</t>
        </is>
      </c>
      <c r="E2235" s="25" t="inlineStr">
        <is>
          <t>2.7.14 COMPUTERS, MONITORS, PRINTERS AND FAX</t>
        </is>
      </c>
      <c r="F2235" s="25" t="inlineStr">
        <is>
          <t>The CONTRACTOR shall supply the PCs with full sized wired keyboards that include a numeric keypad. All relevant keys shall be printed with both Latin and Arabic letters.</t>
        </is>
      </c>
      <c r="G2235" s="19" t="n"/>
      <c r="H2235" s="20" t="n"/>
      <c r="I2235" s="20" t="n"/>
      <c r="J2235" s="19" t="n"/>
      <c r="K2235" s="21" t="n"/>
      <c r="L2235" s="22">
        <f>IF(OR(J2235="",K2235=""),"",J2235*K2235)</f>
        <v/>
      </c>
      <c r="M2235" s="19" t="n"/>
      <c r="N2235" s="20" t="n"/>
      <c r="O2235" s="20" t="n"/>
    </row>
    <row r="2236">
      <c r="A2236" s="16" t="n">
        <v>2233</v>
      </c>
      <c r="B2236" s="17" t="inlineStr">
        <is>
          <t>2.7.14.16</t>
        </is>
      </c>
      <c r="C2236" s="18" t="inlineStr">
        <is>
          <t>Part 2 – Technical Systems</t>
        </is>
      </c>
      <c r="D2236" s="18" t="inlineStr">
        <is>
          <t>2.7 PRIVATE CLOUD TECHNICAL INFRASTRUCTURE</t>
        </is>
      </c>
      <c r="E2236" s="18" t="inlineStr">
        <is>
          <t>2.7.14 COMPUTERS, MONITORS, PRINTERS AND FAX</t>
        </is>
      </c>
      <c r="F2236" s="18" t="inlineStr">
        <is>
          <t>The CONTRACTOR shall supply monitors which shall be flat panel and support native full HD as a minimum.</t>
        </is>
      </c>
      <c r="G2236" s="19" t="n"/>
      <c r="H2236" s="20" t="n"/>
      <c r="I2236" s="20" t="n"/>
      <c r="J2236" s="19" t="n"/>
      <c r="K2236" s="21" t="n"/>
      <c r="L2236" s="22">
        <f>IF(OR(J2236="",K2236=""),"",J2236*K2236)</f>
        <v/>
      </c>
      <c r="M2236" s="19" t="n"/>
      <c r="N2236" s="20" t="n"/>
      <c r="O2236" s="20" t="n"/>
    </row>
    <row r="2237">
      <c r="A2237" s="23" t="n">
        <v>2234</v>
      </c>
      <c r="B2237" s="24" t="inlineStr">
        <is>
          <t>2.7.14.17</t>
        </is>
      </c>
      <c r="C2237" s="25" t="inlineStr">
        <is>
          <t>Part 2 – Technical Systems</t>
        </is>
      </c>
      <c r="D2237" s="25" t="inlineStr">
        <is>
          <t>2.7 PRIVATE CLOUD TECHNICAL INFRASTRUCTURE</t>
        </is>
      </c>
      <c r="E2237" s="25" t="inlineStr">
        <is>
          <t>2.7.14 COMPUTERS, MONITORS, PRINTERS AND FAX</t>
        </is>
      </c>
      <c r="F2237" s="25" t="inlineStr">
        <is>
          <t>The monitor that the CONTRACTOR shall install shall have a Video Electronics Standards Association (VESA) universal mounting that allows the stand to be removed and replaced by an arm or other type of mounting device.</t>
        </is>
      </c>
      <c r="G2237" s="19" t="n"/>
      <c r="H2237" s="20" t="n"/>
      <c r="I2237" s="20" t="n"/>
      <c r="J2237" s="19" t="n"/>
      <c r="K2237" s="21" t="n"/>
      <c r="L2237" s="22">
        <f>IF(OR(J2237="",K2237=""),"",J2237*K2237)</f>
        <v/>
      </c>
      <c r="M2237" s="19" t="n"/>
      <c r="N2237" s="20" t="n"/>
      <c r="O2237" s="20" t="n"/>
    </row>
    <row r="2238">
      <c r="A2238" s="16" t="n">
        <v>2235</v>
      </c>
      <c r="B2238" s="17" t="inlineStr">
        <is>
          <t>2.7.14.18</t>
        </is>
      </c>
      <c r="C2238" s="18" t="inlineStr">
        <is>
          <t>Part 2 – Technical Systems</t>
        </is>
      </c>
      <c r="D2238" s="18" t="inlineStr">
        <is>
          <t>2.7 PRIVATE CLOUD TECHNICAL INFRASTRUCTURE</t>
        </is>
      </c>
      <c r="E2238" s="18" t="inlineStr">
        <is>
          <t>2.7.14 COMPUTERS, MONITORS, PRINTERS AND FAX</t>
        </is>
      </c>
      <c r="F2238" s="18" t="inlineStr">
        <is>
          <t>The CONTRACTOR shall implement a fax solution shall allow Fax over IP which allows any authorized user and/or computer from any of the OSS911 center to transmit and receive faxes via a centrally located fax server.</t>
        </is>
      </c>
      <c r="G2238" s="19" t="n"/>
      <c r="H2238" s="20" t="n"/>
      <c r="I2238" s="20" t="n"/>
      <c r="J2238" s="19" t="n"/>
      <c r="K2238" s="21" t="n"/>
      <c r="L2238" s="22">
        <f>IF(OR(J2238="",K2238=""),"",J2238*K2238)</f>
        <v/>
      </c>
      <c r="M2238" s="19" t="n"/>
      <c r="N2238" s="20" t="n"/>
      <c r="O2238" s="20" t="n"/>
    </row>
    <row r="2239">
      <c r="A2239" s="23" t="n">
        <v>2236</v>
      </c>
      <c r="B2239" s="24" t="inlineStr">
        <is>
          <t>2.7.14.19</t>
        </is>
      </c>
      <c r="C2239" s="25" t="inlineStr">
        <is>
          <t>Part 2 – Technical Systems</t>
        </is>
      </c>
      <c r="D2239" s="25" t="inlineStr">
        <is>
          <t>2.7 PRIVATE CLOUD TECHNICAL INFRASTRUCTURE</t>
        </is>
      </c>
      <c r="E2239" s="25" t="inlineStr">
        <is>
          <t>2.7.14 COMPUTERS, MONITORS, PRINTERS AND FAX</t>
        </is>
      </c>
      <c r="F2239" s="25" t="inlineStr">
        <is>
          <t>The CONTRACTOR shall implement any gateways and cabling that are required for connecting their fax server to the incoming fax lines.</t>
        </is>
      </c>
      <c r="G2239" s="19" t="n"/>
      <c r="H2239" s="20" t="n"/>
      <c r="I2239" s="20" t="n"/>
      <c r="J2239" s="19" t="n"/>
      <c r="K2239" s="21" t="n"/>
      <c r="L2239" s="22">
        <f>IF(OR(J2239="",K2239=""),"",J2239*K2239)</f>
        <v/>
      </c>
      <c r="M2239" s="19" t="n"/>
      <c r="N2239" s="20" t="n"/>
      <c r="O2239" s="20" t="n"/>
    </row>
    <row r="2240">
      <c r="A2240" s="16" t="n">
        <v>2237</v>
      </c>
      <c r="B2240" s="17" t="inlineStr">
        <is>
          <t>2.7.14.20</t>
        </is>
      </c>
      <c r="C2240" s="18" t="inlineStr">
        <is>
          <t>Part 2 – Technical Systems</t>
        </is>
      </c>
      <c r="D2240" s="18" t="inlineStr">
        <is>
          <t>2.7 PRIVATE CLOUD TECHNICAL INFRASTRUCTURE</t>
        </is>
      </c>
      <c r="E2240" s="18" t="inlineStr">
        <is>
          <t>2.7.14 COMPUTERS, MONITORS, PRINTERS AND FAX</t>
        </is>
      </c>
      <c r="F2240" s="18" t="inlineStr">
        <is>
          <t>The CONTRACTOR shall implement the fax solution to be capable of storing and forwarding all inbound fax communication into the OSS911 Center.</t>
        </is>
      </c>
      <c r="G2240" s="19" t="n"/>
      <c r="H2240" s="20" t="n"/>
      <c r="I2240" s="20" t="n"/>
      <c r="J2240" s="19" t="n"/>
      <c r="K2240" s="21" t="n"/>
      <c r="L2240" s="22">
        <f>IF(OR(J2240="",K2240=""),"",J2240*K2240)</f>
        <v/>
      </c>
      <c r="M2240" s="19" t="n"/>
      <c r="N2240" s="20" t="n"/>
      <c r="O2240" s="20" t="n"/>
    </row>
    <row r="2241">
      <c r="A2241" s="23" t="n">
        <v>2238</v>
      </c>
      <c r="B2241" s="24" t="inlineStr">
        <is>
          <t>2.7.14.21</t>
        </is>
      </c>
      <c r="C2241" s="25" t="inlineStr">
        <is>
          <t>Part 2 – Technical Systems</t>
        </is>
      </c>
      <c r="D2241" s="25" t="inlineStr">
        <is>
          <t>2.7 PRIVATE CLOUD TECHNICAL INFRASTRUCTURE</t>
        </is>
      </c>
      <c r="E2241" s="25" t="inlineStr">
        <is>
          <t>2.7.14 COMPUTERS, MONITORS, PRINTERS AND FAX</t>
        </is>
      </c>
      <c r="F2241" s="25" t="inlineStr">
        <is>
          <t>The CONTRACTOR shall implement the fax solution to be capable of having multiple Direct Dial Inward (DDI) numbers allowing routing of the inbound fax based on the dialed number.</t>
        </is>
      </c>
      <c r="G2241" s="19" t="n"/>
      <c r="H2241" s="20" t="n"/>
      <c r="I2241" s="20" t="n"/>
      <c r="J2241" s="19" t="n"/>
      <c r="K2241" s="21" t="n"/>
      <c r="L2241" s="22">
        <f>IF(OR(J2241="",K2241=""),"",J2241*K2241)</f>
        <v/>
      </c>
      <c r="M2241" s="19" t="n"/>
      <c r="N2241" s="20" t="n"/>
      <c r="O2241" s="20" t="n"/>
    </row>
    <row r="2242">
      <c r="A2242" s="16" t="n">
        <v>2239</v>
      </c>
      <c r="B2242" s="17" t="inlineStr">
        <is>
          <t>2.7.14.22</t>
        </is>
      </c>
      <c r="C2242" s="18" t="inlineStr">
        <is>
          <t>Part 2 – Technical Systems</t>
        </is>
      </c>
      <c r="D2242" s="18" t="inlineStr">
        <is>
          <t>2.7 PRIVATE CLOUD TECHNICAL INFRASTRUCTURE</t>
        </is>
      </c>
      <c r="E2242" s="18" t="inlineStr">
        <is>
          <t>2.7.14 COMPUTERS, MONITORS, PRINTERS AND FAX</t>
        </is>
      </c>
      <c r="F2242" s="18" t="inlineStr">
        <is>
          <t>The CONTRACTOR shall implement the fax solution such that all inbound faxes are stored and indexed on the fax server and details such as the CLI of the originating call shall be recorded when available.</t>
        </is>
      </c>
      <c r="G2242" s="19" t="n"/>
      <c r="H2242" s="20" t="n"/>
      <c r="I2242" s="20" t="n"/>
      <c r="J2242" s="19" t="n"/>
      <c r="K2242" s="21" t="n"/>
      <c r="L2242" s="22">
        <f>IF(OR(J2242="",K2242=""),"",J2242*K2242)</f>
        <v/>
      </c>
      <c r="M2242" s="19" t="n"/>
      <c r="N2242" s="20" t="n"/>
      <c r="O2242" s="20" t="n"/>
    </row>
    <row r="2243">
      <c r="A2243" s="23" t="n">
        <v>2240</v>
      </c>
      <c r="B2243" s="24" t="inlineStr">
        <is>
          <t>2.7.14.23</t>
        </is>
      </c>
      <c r="C2243" s="25" t="inlineStr">
        <is>
          <t>Part 2 – Technical Systems</t>
        </is>
      </c>
      <c r="D2243" s="25" t="inlineStr">
        <is>
          <t>2.7 PRIVATE CLOUD TECHNICAL INFRASTRUCTURE</t>
        </is>
      </c>
      <c r="E2243" s="25" t="inlineStr">
        <is>
          <t>2.7.14 COMPUTERS, MONITORS, PRINTERS AND FAX</t>
        </is>
      </c>
      <c r="F2243" s="25" t="inlineStr">
        <is>
          <t>The CONTRACTOR shall implement the fax solution such that access to data stored on the fax server is only available to authorized users.</t>
        </is>
      </c>
      <c r="G2243" s="19" t="n"/>
      <c r="H2243" s="20" t="n"/>
      <c r="I2243" s="20" t="n"/>
      <c r="J2243" s="19" t="n"/>
      <c r="K2243" s="21" t="n"/>
      <c r="L2243" s="22">
        <f>IF(OR(J2243="",K2243=""),"",J2243*K2243)</f>
        <v/>
      </c>
      <c r="M2243" s="19" t="n"/>
      <c r="N2243" s="20" t="n"/>
      <c r="O2243" s="20" t="n"/>
    </row>
    <row r="2244">
      <c r="A2244" s="16" t="n">
        <v>2241</v>
      </c>
      <c r="B2244" s="17" t="inlineStr">
        <is>
          <t>2.7.14.24</t>
        </is>
      </c>
      <c r="C2244" s="18" t="inlineStr">
        <is>
          <t>Part 2 – Technical Systems</t>
        </is>
      </c>
      <c r="D2244" s="18" t="inlineStr">
        <is>
          <t>2.7 PRIVATE CLOUD TECHNICAL INFRASTRUCTURE</t>
        </is>
      </c>
      <c r="E2244" s="18" t="inlineStr">
        <is>
          <t>2.7.14 COMPUTERS, MONITORS, PRINTERS AND FAX</t>
        </is>
      </c>
      <c r="F2244" s="18" t="inlineStr">
        <is>
          <t>The CONTRACTOR shall implement the fax solution such that itis possible to archive to removable media all fax data that is older than a certain period of time.</t>
        </is>
      </c>
      <c r="G2244" s="19" t="n"/>
      <c r="H2244" s="20" t="n"/>
      <c r="I2244" s="20" t="n"/>
      <c r="J2244" s="19" t="n"/>
      <c r="K2244" s="21" t="n"/>
      <c r="L2244" s="22">
        <f>IF(OR(J2244="",K2244=""),"",J2244*K2244)</f>
        <v/>
      </c>
      <c r="M2244" s="19" t="n"/>
      <c r="N2244" s="20" t="n"/>
      <c r="O2244" s="20" t="n"/>
    </row>
    <row r="2245">
      <c r="A2245" s="23" t="n">
        <v>2242</v>
      </c>
      <c r="B2245" s="24" t="inlineStr">
        <is>
          <t>2.7.14.25</t>
        </is>
      </c>
      <c r="C2245" s="25" t="inlineStr">
        <is>
          <t>Part 2 – Technical Systems</t>
        </is>
      </c>
      <c r="D2245" s="25" t="inlineStr">
        <is>
          <t>2.7 PRIVATE CLOUD TECHNICAL INFRASTRUCTURE</t>
        </is>
      </c>
      <c r="E2245" s="25" t="inlineStr">
        <is>
          <t>2.7.14 COMPUTERS, MONITORS, PRINTERS AND FAX</t>
        </is>
      </c>
      <c r="F2245" s="25" t="inlineStr">
        <is>
          <t>The CONTRACTOR shall implement the fax solution such that it is configured to restore to the fax server all or selected archived data.</t>
        </is>
      </c>
      <c r="G2245" s="19" t="n"/>
      <c r="H2245" s="20" t="n"/>
      <c r="I2245" s="20" t="n"/>
      <c r="J2245" s="19" t="n"/>
      <c r="K2245" s="21" t="n"/>
      <c r="L2245" s="22">
        <f>IF(OR(J2245="",K2245=""),"",J2245*K2245)</f>
        <v/>
      </c>
      <c r="M2245" s="19" t="n"/>
      <c r="N2245" s="20" t="n"/>
      <c r="O2245" s="20" t="n"/>
    </row>
    <row r="2246">
      <c r="A2246" s="16" t="n">
        <v>2243</v>
      </c>
      <c r="B2246" s="17" t="inlineStr">
        <is>
          <t>2.7.14.26</t>
        </is>
      </c>
      <c r="C2246" s="18" t="inlineStr">
        <is>
          <t>Part 2 – Technical Systems</t>
        </is>
      </c>
      <c r="D2246" s="18" t="inlineStr">
        <is>
          <t>2.7 PRIVATE CLOUD TECHNICAL INFRASTRUCTURE</t>
        </is>
      </c>
      <c r="E2246" s="18" t="inlineStr">
        <is>
          <t>2.7.14 COMPUTERS, MONITORS, PRINTERS AND FAX</t>
        </is>
      </c>
      <c r="F2246" s="18" t="inlineStr">
        <is>
          <t>The CONTRACTOR shall implement the fax solution such that all inbound and outbound faxes are given a unique reference in the system.</t>
        </is>
      </c>
      <c r="G2246" s="19" t="n"/>
      <c r="H2246" s="20" t="n"/>
      <c r="I2246" s="20" t="n"/>
      <c r="J2246" s="19" t="n"/>
      <c r="K2246" s="21" t="n"/>
      <c r="L2246" s="22">
        <f>IF(OR(J2246="",K2246=""),"",J2246*K2246)</f>
        <v/>
      </c>
      <c r="M2246" s="19" t="n"/>
      <c r="N2246" s="20" t="n"/>
      <c r="O2246" s="20" t="n"/>
    </row>
    <row r="2247">
      <c r="A2247" s="23" t="n">
        <v>2244</v>
      </c>
      <c r="B2247" s="24" t="inlineStr">
        <is>
          <t>2.7.14.27</t>
        </is>
      </c>
      <c r="C2247" s="25" t="inlineStr">
        <is>
          <t>Part 2 – Technical Systems</t>
        </is>
      </c>
      <c r="D2247" s="25" t="inlineStr">
        <is>
          <t>2.7 PRIVATE CLOUD TECHNICAL INFRASTRUCTURE</t>
        </is>
      </c>
      <c r="E2247" s="25" t="inlineStr">
        <is>
          <t>2.7.14 COMPUTERS, MONITORS, PRINTERS AND FAX</t>
        </is>
      </c>
      <c r="F2247" s="25" t="inlineStr">
        <is>
          <t>The CONTRACTOR shall implement the fax solution such that it is configured to produce reports on all inbound and outbound fax traffic.</t>
        </is>
      </c>
      <c r="G2247" s="19" t="n"/>
      <c r="H2247" s="20" t="n"/>
      <c r="I2247" s="20" t="n"/>
      <c r="J2247" s="19" t="n"/>
      <c r="K2247" s="21" t="n"/>
      <c r="L2247" s="22">
        <f>IF(OR(J2247="",K2247=""),"",J2247*K2247)</f>
        <v/>
      </c>
      <c r="M2247" s="19" t="n"/>
      <c r="N2247" s="20" t="n"/>
      <c r="O2247" s="20" t="n"/>
    </row>
    <row r="2248">
      <c r="A2248" s="16" t="n">
        <v>2245</v>
      </c>
      <c r="B2248" s="17" t="inlineStr">
        <is>
          <t>2.8.1.1</t>
        </is>
      </c>
      <c r="C2248" s="18" t="inlineStr">
        <is>
          <t>Part 2 – Technical Systems</t>
        </is>
      </c>
      <c r="D2248" s="18" t="inlineStr">
        <is>
          <t>2.8 INTEGRATION WITH EXISTING VIDEO DISPLAY SYSTEMS (VDS)</t>
        </is>
      </c>
      <c r="E2248" s="18" t="inlineStr">
        <is>
          <t>2.8.1 SCOPE OF WORK</t>
        </is>
      </c>
      <c r="F2248" s="18" t="inlineStr">
        <is>
          <t>The CONTRACTOR shall implement all requirements in this section with the understanding that:</t>
        </is>
      </c>
      <c r="G2248" s="19" t="n"/>
      <c r="H2248" s="20" t="n"/>
      <c r="I2248" s="20" t="n"/>
      <c r="J2248" s="19" t="n"/>
      <c r="K2248" s="21" t="n"/>
      <c r="L2248" s="22">
        <f>IF(OR(J2248="",K2248=""),"",J2248*K2248)</f>
        <v/>
      </c>
      <c r="M2248" s="19" t="n"/>
      <c r="N2248" s="20" t="n"/>
      <c r="O2248" s="20" t="n"/>
    </row>
    <row r="2249">
      <c r="A2249" s="23" t="n">
        <v>2246</v>
      </c>
      <c r="B2249" s="23" t="inlineStr">
        <is>
          <t>2.8.1.1.1</t>
        </is>
      </c>
      <c r="C2249" s="25" t="inlineStr">
        <is>
          <t>Part 2 – Technical Systems</t>
        </is>
      </c>
      <c r="D2249" s="25" t="inlineStr">
        <is>
          <t>2.8 INTEGRATION WITH EXISTING VIDEO DISPLAY SYSTEMS (VDS)</t>
        </is>
      </c>
      <c r="E2249" s="25" t="inlineStr">
        <is>
          <t>2.8.1 SCOPE OF WORK</t>
        </is>
      </c>
      <c r="F2249" s="25" t="inlineStr">
        <is>
          <t>Unless otherwise explicitly stated, the phrase “OSS911 center” refers to OSS911 centers in each of the provinces that are included in the scope of this contract.</t>
        </is>
      </c>
      <c r="G2249" s="19" t="n"/>
      <c r="H2249" s="20" t="n"/>
      <c r="I2249" s="20" t="n"/>
      <c r="J2249" s="19" t="n"/>
      <c r="K2249" s="21" t="n"/>
      <c r="L2249" s="22">
        <f>IF(OR(J2249="",K2249=""),"",J2249*K2249)</f>
        <v/>
      </c>
      <c r="M2249" s="19" t="n"/>
      <c r="N2249" s="20" t="n"/>
      <c r="O2249" s="20" t="n"/>
    </row>
    <row r="2250">
      <c r="A2250" s="16" t="n">
        <v>2247</v>
      </c>
      <c r="B2250" s="16" t="inlineStr">
        <is>
          <t>2.8.1.1.2</t>
        </is>
      </c>
      <c r="C2250" s="18" t="inlineStr">
        <is>
          <t>Part 2 – Technical Systems</t>
        </is>
      </c>
      <c r="D2250" s="18" t="inlineStr">
        <is>
          <t>2.8 INTEGRATION WITH EXISTING VIDEO DISPLAY SYSTEMS (VDS)</t>
        </is>
      </c>
      <c r="E2250" s="18" t="inlineStr">
        <is>
          <t>2.8.1 SCOPE OF WORK</t>
        </is>
      </c>
      <c r="F2250" s="18" t="inlineStr">
        <is>
          <t>Unless otherwise explicitly stated, the phrases “OSS911 solution” or “OSS911 systems” or “OSS911 subsystems” refer to all the OSS911 systems being delivered by the CONTRACTOR as part of this contract.</t>
        </is>
      </c>
      <c r="G2250" s="19" t="n"/>
      <c r="H2250" s="20" t="n"/>
      <c r="I2250" s="20" t="n"/>
      <c r="J2250" s="19" t="n"/>
      <c r="K2250" s="21" t="n"/>
      <c r="L2250" s="22">
        <f>IF(OR(J2250="",K2250=""),"",J2250*K2250)</f>
        <v/>
      </c>
      <c r="M2250" s="19" t="n"/>
      <c r="N2250" s="20" t="n"/>
      <c r="O2250" s="20" t="n"/>
    </row>
    <row r="2251">
      <c r="A2251" s="23" t="n">
        <v>2248</v>
      </c>
      <c r="B2251" s="23" t="inlineStr">
        <is>
          <t>2.8.1.1.3</t>
        </is>
      </c>
      <c r="C2251" s="25" t="inlineStr">
        <is>
          <t>Part 2 – Technical Systems</t>
        </is>
      </c>
      <c r="D2251" s="25" t="inlineStr">
        <is>
          <t>2.8 INTEGRATION WITH EXISTING VIDEO DISPLAY SYSTEMS (VDS)</t>
        </is>
      </c>
      <c r="E2251" s="25" t="inlineStr">
        <is>
          <t>2.8.1 SCOPE OF WORK</t>
        </is>
      </c>
      <c r="F2251" s="25" t="inlineStr">
        <is>
          <t>Unless otherwise explicitly stated, the word “data” in this document includes all types of data including voice, text, video and SMS.</t>
        </is>
      </c>
      <c r="G2251" s="19" t="n"/>
      <c r="H2251" s="20" t="n"/>
      <c r="I2251" s="20" t="n"/>
      <c r="J2251" s="19" t="n"/>
      <c r="K2251" s="21" t="n"/>
      <c r="L2251" s="22">
        <f>IF(OR(J2251="",K2251=""),"",J2251*K2251)</f>
        <v/>
      </c>
      <c r="M2251" s="19" t="n"/>
      <c r="N2251" s="20" t="n"/>
      <c r="O2251" s="20" t="n"/>
    </row>
    <row r="2252">
      <c r="A2252" s="16" t="n">
        <v>2249</v>
      </c>
      <c r="B2252" s="17" t="inlineStr">
        <is>
          <t>2.8.1.2</t>
        </is>
      </c>
      <c r="C2252" s="18" t="inlineStr">
        <is>
          <t>Part 2 – Technical Systems</t>
        </is>
      </c>
      <c r="D2252" s="18" t="inlineStr">
        <is>
          <t>2.8 INTEGRATION WITH EXISTING VIDEO DISPLAY SYSTEMS (VDS)</t>
        </is>
      </c>
      <c r="E2252" s="18" t="inlineStr">
        <is>
          <t>2.8.1 SCOPE OF WORK</t>
        </is>
      </c>
      <c r="F2252" s="18" t="inlineStr">
        <is>
          <t>The CONTRACTOR shall deliver all the requirements of this section that are fully compliant to the concept of operations requirements stated in this RFP.</t>
        </is>
      </c>
      <c r="G2252" s="19" t="n"/>
      <c r="H2252" s="20" t="n"/>
      <c r="I2252" s="20" t="n"/>
      <c r="J2252" s="19" t="n"/>
      <c r="K2252" s="21" t="n"/>
      <c r="L2252" s="22">
        <f>IF(OR(J2252="",K2252=""),"",J2252*K2252)</f>
        <v/>
      </c>
      <c r="M2252" s="19" t="n"/>
      <c r="N2252" s="20" t="n"/>
      <c r="O2252" s="20" t="n"/>
    </row>
    <row r="2253">
      <c r="A2253" s="23" t="n">
        <v>2250</v>
      </c>
      <c r="B2253" s="24" t="inlineStr">
        <is>
          <t>2.8.1.3</t>
        </is>
      </c>
      <c r="C2253" s="25" t="inlineStr">
        <is>
          <t>Part 2 – Technical Systems</t>
        </is>
      </c>
      <c r="D2253" s="25" t="inlineStr">
        <is>
          <t>2.8 INTEGRATION WITH EXISTING VIDEO DISPLAY SYSTEMS (VDS)</t>
        </is>
      </c>
      <c r="E2253" s="25" t="inlineStr">
        <is>
          <t>2.8.1 SCOPE OF WORK</t>
        </is>
      </c>
      <c r="F2253" s="25" t="inlineStr">
        <is>
          <t>The CONTACTOR shall integrate the OSS911 solutions with MOI- provided VDS which comprises the existing Video walls, Video Management System (VMS) and Video Analytics (VA) solutions in the Makkah 911 center.</t>
        </is>
      </c>
      <c r="G2253" s="19" t="n"/>
      <c r="H2253" s="20" t="n"/>
      <c r="I2253" s="20" t="n"/>
      <c r="J2253" s="19" t="n"/>
      <c r="K2253" s="21" t="n"/>
      <c r="L2253" s="22">
        <f>IF(OR(J2253="",K2253=""),"",J2253*K2253)</f>
        <v/>
      </c>
      <c r="M2253" s="19" t="n"/>
      <c r="N2253" s="20" t="n"/>
      <c r="O2253" s="20" t="n"/>
    </row>
    <row r="2254">
      <c r="A2254" s="16" t="n">
        <v>2251</v>
      </c>
      <c r="B2254" s="17" t="inlineStr">
        <is>
          <t>2.8.1.4</t>
        </is>
      </c>
      <c r="C2254" s="18" t="inlineStr">
        <is>
          <t>Part 2 – Technical Systems</t>
        </is>
      </c>
      <c r="D2254" s="18" t="inlineStr">
        <is>
          <t>2.8 INTEGRATION WITH EXISTING VIDEO DISPLAY SYSTEMS (VDS)</t>
        </is>
      </c>
      <c r="E2254" s="18" t="inlineStr">
        <is>
          <t>2.8.1 SCOPE OF WORK</t>
        </is>
      </c>
      <c r="F2254" s="18" t="inlineStr">
        <is>
          <t>The CONTRACTOR integration with MOI-provided VDS shall be such that there is no limitation in the combinations of visualized sources.</t>
        </is>
      </c>
      <c r="G2254" s="19" t="n"/>
      <c r="H2254" s="20" t="n"/>
      <c r="I2254" s="20" t="n"/>
      <c r="J2254" s="19" t="n"/>
      <c r="K2254" s="21" t="n"/>
      <c r="L2254" s="22">
        <f>IF(OR(J2254="",K2254=""),"",J2254*K2254)</f>
        <v/>
      </c>
      <c r="M2254" s="19" t="n"/>
      <c r="N2254" s="20" t="n"/>
      <c r="O2254" s="20" t="n"/>
    </row>
    <row r="2255">
      <c r="A2255" s="23" t="n">
        <v>2252</v>
      </c>
      <c r="B2255" s="24" t="inlineStr">
        <is>
          <t>2.8.1.5</t>
        </is>
      </c>
      <c r="C2255" s="25" t="inlineStr">
        <is>
          <t>Part 2 – Technical Systems</t>
        </is>
      </c>
      <c r="D2255" s="25" t="inlineStr">
        <is>
          <t>2.8 INTEGRATION WITH EXISTING VIDEO DISPLAY SYSTEMS (VDS)</t>
        </is>
      </c>
      <c r="E2255" s="25" t="inlineStr">
        <is>
          <t>2.8.1 SCOPE OF WORK</t>
        </is>
      </c>
      <c r="F2255" s="25" t="inlineStr">
        <is>
          <t>The CONTRACTOR shall configure the integration with MOI-provided VDS such that a single image shall be able to be displayed on the whole of the video walls whilst maintaining the correct aspect ratio of the input signal.</t>
        </is>
      </c>
      <c r="G2255" s="19" t="n"/>
      <c r="H2255" s="20" t="n"/>
      <c r="I2255" s="20" t="n"/>
      <c r="J2255" s="19" t="n"/>
      <c r="K2255" s="21" t="n"/>
      <c r="L2255" s="22">
        <f>IF(OR(J2255="",K2255=""),"",J2255*K2255)</f>
        <v/>
      </c>
      <c r="M2255" s="19" t="n"/>
      <c r="N2255" s="20" t="n"/>
      <c r="O2255" s="20" t="n"/>
    </row>
    <row r="2256">
      <c r="A2256" s="16" t="n">
        <v>2253</v>
      </c>
      <c r="B2256" s="17" t="inlineStr">
        <is>
          <t>2.8.1.6</t>
        </is>
      </c>
      <c r="C2256" s="18" t="inlineStr">
        <is>
          <t>Part 2 – Technical Systems</t>
        </is>
      </c>
      <c r="D2256" s="18" t="inlineStr">
        <is>
          <t>2.8 INTEGRATION WITH EXISTING VIDEO DISPLAY SYSTEMS (VDS)</t>
        </is>
      </c>
      <c r="E2256" s="18" t="inlineStr">
        <is>
          <t>2.8.1 SCOPE OF WORK</t>
        </is>
      </c>
      <c r="F2256" s="18" t="inlineStr">
        <is>
          <t>The CONTRACTOR’s integration with MOI-provided VDS shall allow authorized users in to display any of the incoming video feeds into the center to be displayed on any of video walls in these areas.</t>
        </is>
      </c>
      <c r="G2256" s="19" t="n"/>
      <c r="H2256" s="20" t="n"/>
      <c r="I2256" s="20" t="n"/>
      <c r="J2256" s="19" t="n"/>
      <c r="K2256" s="21" t="n"/>
      <c r="L2256" s="22">
        <f>IF(OR(J2256="",K2256=""),"",J2256*K2256)</f>
        <v/>
      </c>
      <c r="M2256" s="19" t="n"/>
      <c r="N2256" s="20" t="n"/>
      <c r="O2256" s="20" t="n"/>
    </row>
    <row r="2257">
      <c r="F2257" s="3" t="inlineStr">
        <is>
          <t>GRAND TOTAL (SAR)</t>
        </is>
      </c>
      <c r="L2257" s="26">
        <f>SUM(L4:L2256)</f>
        <v/>
      </c>
    </row>
  </sheetData>
  <autoFilter ref="A3:O2256"/>
  <mergeCells count="2">
    <mergeCell ref="A1:O1"/>
    <mergeCell ref="B2:E2"/>
  </mergeCells>
  <dataValidations count="1">
    <dataValidation sqref="G4:G2256" showDropDown="0" showInputMessage="0" showErrorMessage="0" allowBlank="1" errorTitle="Invalid compliance code" error="Select one of: C, PC, NC, N/A" type="list">
      <formula1>"C,PC,NC,N/A"</formula1>
      <formula2>0</formula2>
    </dataValidation>
  </dataValidations>
  <pageMargins left="0.75" right="0.75" top="1" bottom="1" header="0.511811023622047" footer="0.511811023622047"/>
  <pageSetup orientation="portrait" paperSize="9" horizontalDpi="300" verticalDpi="300"/>
  <headerFooter>
    <oddHeader>&amp;L&amp;"Aptos"&amp;1 &amp;K317100 This message/document has been classified as “Public”         #_x000d_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I20"/>
  <sheetViews>
    <sheetView showGridLines="0" zoomScaleNormal="100" workbookViewId="0">
      <selection activeCell="E27" sqref="E27"/>
    </sheetView>
  </sheetViews>
  <sheetFormatPr baseColWidth="8" defaultColWidth="8.7109375" defaultRowHeight="15"/>
  <cols>
    <col width="55" customWidth="1" min="1" max="1"/>
    <col width="12" customWidth="1" min="2" max="7"/>
    <col width="16" customWidth="1" min="8" max="8"/>
    <col width="20" customWidth="1" min="9" max="9"/>
  </cols>
  <sheetData>
    <row r="1" ht="16.5" customHeight="1">
      <c r="A1" s="4" t="inlineStr">
        <is>
          <t>COMPLIANCE &amp; PRICING SUMMARY BY SECTION</t>
        </is>
      </c>
    </row>
    <row r="3" ht="30" customHeight="1">
      <c r="A3" s="1" t="inlineStr">
        <is>
          <t>Section</t>
        </is>
      </c>
      <c r="B3" s="1" t="inlineStr">
        <is>
          <t>Requirements</t>
        </is>
      </c>
      <c r="C3" s="1" t="inlineStr">
        <is>
          <t>C</t>
        </is>
      </c>
      <c r="D3" s="1" t="inlineStr">
        <is>
          <t>PC</t>
        </is>
      </c>
      <c r="E3" s="1" t="inlineStr">
        <is>
          <t>NC</t>
        </is>
      </c>
      <c r="F3" s="1" t="inlineStr">
        <is>
          <t>N/A</t>
        </is>
      </c>
      <c r="G3" s="1" t="inlineStr">
        <is>
          <t>Not Answered</t>
        </is>
      </c>
      <c r="H3" s="1" t="inlineStr">
        <is>
          <t>% Fully Compliant</t>
        </is>
      </c>
      <c r="I3" s="1" t="inlineStr">
        <is>
          <t>Section Price (SAR)</t>
        </is>
      </c>
    </row>
    <row r="4">
      <c r="A4" s="2" t="inlineStr">
        <is>
          <t>1.2 THE OSS911 PROJECT</t>
        </is>
      </c>
      <c r="B4" s="5">
        <f>COUNTIF('Compliance Matrix'!$D$4:$D$2256,$A4)</f>
        <v/>
      </c>
      <c r="C4" s="5">
        <f>COUNTIFS('Compliance Matrix'!$D$4:$D$2256,$A4,'Compliance Matrix'!$G$4:$G$2256,"C")</f>
        <v/>
      </c>
      <c r="D4" s="5">
        <f>COUNTIFS('Compliance Matrix'!$D$4:$D$2256,$A4,'Compliance Matrix'!$G$4:$G$2256,"PC")</f>
        <v/>
      </c>
      <c r="E4" s="5">
        <f>COUNTIFS('Compliance Matrix'!$D$4:$D$2256,$A4,'Compliance Matrix'!$G$4:$G$2256,"NC")</f>
        <v/>
      </c>
      <c r="F4" s="5">
        <f>COUNTIFS('Compliance Matrix'!$D$4:$D$2256,$A4,'Compliance Matrix'!$G$4:$G$2256,"N/A")</f>
        <v/>
      </c>
      <c r="G4" s="5">
        <f>B4-SUM(C4:F4)</f>
        <v/>
      </c>
      <c r="H4" s="6">
        <f>IF($B4=0,0,C4/$B4)</f>
        <v/>
      </c>
      <c r="I4" s="7">
        <f>SUMIF('Compliance Matrix'!$D$4:$D$2256,$A4,'Compliance Matrix'!$L$4:$L$2256)</f>
        <v/>
      </c>
    </row>
    <row r="5">
      <c r="A5" s="2" t="inlineStr">
        <is>
          <t>1.3 CONCEPT OF OPERATIONS (CONOPS)</t>
        </is>
      </c>
      <c r="B5" s="5">
        <f>COUNTIF('Compliance Matrix'!$D$4:$D$2256,$A5)</f>
        <v/>
      </c>
      <c r="C5" s="5">
        <f>COUNTIFS('Compliance Matrix'!$D$4:$D$2256,$A5,'Compliance Matrix'!$G$4:$G$2256,"C")</f>
        <v/>
      </c>
      <c r="D5" s="5">
        <f>COUNTIFS('Compliance Matrix'!$D$4:$D$2256,$A5,'Compliance Matrix'!$G$4:$G$2256,"PC")</f>
        <v/>
      </c>
      <c r="E5" s="5">
        <f>COUNTIFS('Compliance Matrix'!$D$4:$D$2256,$A5,'Compliance Matrix'!$G$4:$G$2256,"NC")</f>
        <v/>
      </c>
      <c r="F5" s="5">
        <f>COUNTIFS('Compliance Matrix'!$D$4:$D$2256,$A5,'Compliance Matrix'!$G$4:$G$2256,"N/A")</f>
        <v/>
      </c>
      <c r="G5" s="5">
        <f>B5-SUM(C5:F5)</f>
        <v/>
      </c>
      <c r="H5" s="6">
        <f>IF($B5=0,0,C5/$B5)</f>
        <v/>
      </c>
      <c r="I5" s="7">
        <f>SUMIF('Compliance Matrix'!$D$4:$D$2256,$A5,'Compliance Matrix'!$L$4:$L$2256)</f>
        <v/>
      </c>
    </row>
    <row r="6">
      <c r="A6" s="2" t="inlineStr">
        <is>
          <t>1.4 PROJECT MANAGEMENT</t>
        </is>
      </c>
      <c r="B6" s="5">
        <f>COUNTIF('Compliance Matrix'!$D$4:$D$2256,$A6)</f>
        <v/>
      </c>
      <c r="C6" s="5">
        <f>COUNTIFS('Compliance Matrix'!$D$4:$D$2256,$A6,'Compliance Matrix'!$G$4:$G$2256,"C")</f>
        <v/>
      </c>
      <c r="D6" s="5">
        <f>COUNTIFS('Compliance Matrix'!$D$4:$D$2256,$A6,'Compliance Matrix'!$G$4:$G$2256,"PC")</f>
        <v/>
      </c>
      <c r="E6" s="5">
        <f>COUNTIFS('Compliance Matrix'!$D$4:$D$2256,$A6,'Compliance Matrix'!$G$4:$G$2256,"NC")</f>
        <v/>
      </c>
      <c r="F6" s="5">
        <f>COUNTIFS('Compliance Matrix'!$D$4:$D$2256,$A6,'Compliance Matrix'!$G$4:$G$2256,"N/A")</f>
        <v/>
      </c>
      <c r="G6" s="5">
        <f>B6-SUM(C6:F6)</f>
        <v/>
      </c>
      <c r="H6" s="6">
        <f>IF($B6=0,0,C6/$B6)</f>
        <v/>
      </c>
      <c r="I6" s="7">
        <f>SUMIF('Compliance Matrix'!$D$4:$D$2256,$A6,'Compliance Matrix'!$L$4:$L$2256)</f>
        <v/>
      </c>
    </row>
    <row r="7" ht="24" customHeight="1">
      <c r="A7" s="2" t="inlineStr">
        <is>
          <t>1.5 TECHNICAL AND OPERATIONS SERVICE MANAGEMENT AND SUPPORT (TOSMS)</t>
        </is>
      </c>
      <c r="B7" s="5">
        <f>COUNTIF('Compliance Matrix'!$D$4:$D$2256,$A7)</f>
        <v/>
      </c>
      <c r="C7" s="5">
        <f>COUNTIFS('Compliance Matrix'!$D$4:$D$2256,$A7,'Compliance Matrix'!$G$4:$G$2256,"C")</f>
        <v/>
      </c>
      <c r="D7" s="5">
        <f>COUNTIFS('Compliance Matrix'!$D$4:$D$2256,$A7,'Compliance Matrix'!$G$4:$G$2256,"PC")</f>
        <v/>
      </c>
      <c r="E7" s="5">
        <f>COUNTIFS('Compliance Matrix'!$D$4:$D$2256,$A7,'Compliance Matrix'!$G$4:$G$2256,"NC")</f>
        <v/>
      </c>
      <c r="F7" s="5">
        <f>COUNTIFS('Compliance Matrix'!$D$4:$D$2256,$A7,'Compliance Matrix'!$G$4:$G$2256,"N/A")</f>
        <v/>
      </c>
      <c r="G7" s="5">
        <f>B7-SUM(C7:F7)</f>
        <v/>
      </c>
      <c r="H7" s="6">
        <f>IF($B7=0,0,C7/$B7)</f>
        <v/>
      </c>
      <c r="I7" s="7">
        <f>SUMIF('Compliance Matrix'!$D$4:$D$2256,$A7,'Compliance Matrix'!$L$4:$L$2256)</f>
        <v/>
      </c>
    </row>
    <row r="8">
      <c r="A8" s="2" t="inlineStr">
        <is>
          <t>1.6 SYSTEMS DEVELOPMENT, INTEGRATION AND TESTING</t>
        </is>
      </c>
      <c r="B8" s="5">
        <f>COUNTIF('Compliance Matrix'!$D$4:$D$2256,$A8)</f>
        <v/>
      </c>
      <c r="C8" s="5">
        <f>COUNTIFS('Compliance Matrix'!$D$4:$D$2256,$A8,'Compliance Matrix'!$G$4:$G$2256,"C")</f>
        <v/>
      </c>
      <c r="D8" s="5">
        <f>COUNTIFS('Compliance Matrix'!$D$4:$D$2256,$A8,'Compliance Matrix'!$G$4:$G$2256,"PC")</f>
        <v/>
      </c>
      <c r="E8" s="5">
        <f>COUNTIFS('Compliance Matrix'!$D$4:$D$2256,$A8,'Compliance Matrix'!$G$4:$G$2256,"NC")</f>
        <v/>
      </c>
      <c r="F8" s="5">
        <f>COUNTIFS('Compliance Matrix'!$D$4:$D$2256,$A8,'Compliance Matrix'!$G$4:$G$2256,"N/A")</f>
        <v/>
      </c>
      <c r="G8" s="5">
        <f>B8-SUM(C8:F8)</f>
        <v/>
      </c>
      <c r="H8" s="6">
        <f>IF($B8=0,0,C8/$B8)</f>
        <v/>
      </c>
      <c r="I8" s="7">
        <f>SUMIF('Compliance Matrix'!$D$4:$D$2256,$A8,'Compliance Matrix'!$L$4:$L$2256)</f>
        <v/>
      </c>
    </row>
    <row r="9">
      <c r="A9" s="2" t="inlineStr">
        <is>
          <t>1.7 TRAINING</t>
        </is>
      </c>
      <c r="B9" s="5">
        <f>COUNTIF('Compliance Matrix'!$D$4:$D$2256,$A9)</f>
        <v/>
      </c>
      <c r="C9" s="5">
        <f>COUNTIFS('Compliance Matrix'!$D$4:$D$2256,$A9,'Compliance Matrix'!$G$4:$G$2256,"C")</f>
        <v/>
      </c>
      <c r="D9" s="5">
        <f>COUNTIFS('Compliance Matrix'!$D$4:$D$2256,$A9,'Compliance Matrix'!$G$4:$G$2256,"PC")</f>
        <v/>
      </c>
      <c r="E9" s="5">
        <f>COUNTIFS('Compliance Matrix'!$D$4:$D$2256,$A9,'Compliance Matrix'!$G$4:$G$2256,"NC")</f>
        <v/>
      </c>
      <c r="F9" s="5">
        <f>COUNTIFS('Compliance Matrix'!$D$4:$D$2256,$A9,'Compliance Matrix'!$G$4:$G$2256,"N/A")</f>
        <v/>
      </c>
      <c r="G9" s="5">
        <f>B9-SUM(C9:F9)</f>
        <v/>
      </c>
      <c r="H9" s="6">
        <f>IF($B9=0,0,C9/$B9)</f>
        <v/>
      </c>
      <c r="I9" s="7">
        <f>SUMIF('Compliance Matrix'!$D$4:$D$2256,$A9,'Compliance Matrix'!$L$4:$L$2256)</f>
        <v/>
      </c>
    </row>
    <row r="10">
      <c r="A10" s="2" t="inlineStr">
        <is>
          <t>2.1 Geographical Information System (GIS)</t>
        </is>
      </c>
      <c r="B10" s="5">
        <f>COUNTIF('Compliance Matrix'!$D$4:$D$2256,$A10)</f>
        <v/>
      </c>
      <c r="C10" s="5">
        <f>COUNTIFS('Compliance Matrix'!$D$4:$D$2256,$A10,'Compliance Matrix'!$G$4:$G$2256,"C")</f>
        <v/>
      </c>
      <c r="D10" s="5">
        <f>COUNTIFS('Compliance Matrix'!$D$4:$D$2256,$A10,'Compliance Matrix'!$G$4:$G$2256,"PC")</f>
        <v/>
      </c>
      <c r="E10" s="5">
        <f>COUNTIFS('Compliance Matrix'!$D$4:$D$2256,$A10,'Compliance Matrix'!$G$4:$G$2256,"NC")</f>
        <v/>
      </c>
      <c r="F10" s="5">
        <f>COUNTIFS('Compliance Matrix'!$D$4:$D$2256,$A10,'Compliance Matrix'!$G$4:$G$2256,"N/A")</f>
        <v/>
      </c>
      <c r="G10" s="5">
        <f>B10-SUM(C10:F10)</f>
        <v/>
      </c>
      <c r="H10" s="6">
        <f>IF($B10=0,0,C10/$B10)</f>
        <v/>
      </c>
      <c r="I10" s="7">
        <f>SUMIF('Compliance Matrix'!$D$4:$D$2256,$A10,'Compliance Matrix'!$L$4:$L$2256)</f>
        <v/>
      </c>
    </row>
    <row r="11">
      <c r="A11" s="2" t="inlineStr">
        <is>
          <t>2.2 COMMON OPEARATIONAL PICTURE (COP)</t>
        </is>
      </c>
      <c r="B11" s="5">
        <f>COUNTIF('Compliance Matrix'!$D$4:$D$2256,$A11)</f>
        <v/>
      </c>
      <c r="C11" s="5">
        <f>COUNTIFS('Compliance Matrix'!$D$4:$D$2256,$A11,'Compliance Matrix'!$G$4:$G$2256,"C")</f>
        <v/>
      </c>
      <c r="D11" s="5">
        <f>COUNTIFS('Compliance Matrix'!$D$4:$D$2256,$A11,'Compliance Matrix'!$G$4:$G$2256,"PC")</f>
        <v/>
      </c>
      <c r="E11" s="5">
        <f>COUNTIFS('Compliance Matrix'!$D$4:$D$2256,$A11,'Compliance Matrix'!$G$4:$G$2256,"NC")</f>
        <v/>
      </c>
      <c r="F11" s="5">
        <f>COUNTIFS('Compliance Matrix'!$D$4:$D$2256,$A11,'Compliance Matrix'!$G$4:$G$2256,"N/A")</f>
        <v/>
      </c>
      <c r="G11" s="5">
        <f>B11-SUM(C11:F11)</f>
        <v/>
      </c>
      <c r="H11" s="6">
        <f>IF($B11=0,0,C11/$B11)</f>
        <v/>
      </c>
      <c r="I11" s="7">
        <f>SUMIF('Compliance Matrix'!$D$4:$D$2256,$A11,'Compliance Matrix'!$L$4:$L$2256)</f>
        <v/>
      </c>
    </row>
    <row r="12">
      <c r="A12" s="2" t="inlineStr">
        <is>
          <t>2.3 INCIDENT AND RESOURCE MANAGEMENT SYSTEM (IRMS)</t>
        </is>
      </c>
      <c r="B12" s="5">
        <f>COUNTIF('Compliance Matrix'!$D$4:$D$2256,$A12)</f>
        <v/>
      </c>
      <c r="C12" s="5">
        <f>COUNTIFS('Compliance Matrix'!$D$4:$D$2256,$A12,'Compliance Matrix'!$G$4:$G$2256,"C")</f>
        <v/>
      </c>
      <c r="D12" s="5">
        <f>COUNTIFS('Compliance Matrix'!$D$4:$D$2256,$A12,'Compliance Matrix'!$G$4:$G$2256,"PC")</f>
        <v/>
      </c>
      <c r="E12" s="5">
        <f>COUNTIFS('Compliance Matrix'!$D$4:$D$2256,$A12,'Compliance Matrix'!$G$4:$G$2256,"NC")</f>
        <v/>
      </c>
      <c r="F12" s="5">
        <f>COUNTIFS('Compliance Matrix'!$D$4:$D$2256,$A12,'Compliance Matrix'!$G$4:$G$2256,"N/A")</f>
        <v/>
      </c>
      <c r="G12" s="5">
        <f>B12-SUM(C12:F12)</f>
        <v/>
      </c>
      <c r="H12" s="6">
        <f>IF($B12=0,0,C12/$B12)</f>
        <v/>
      </c>
      <c r="I12" s="7">
        <f>SUMIF('Compliance Matrix'!$D$4:$D$2256,$A12,'Compliance Matrix'!$L$4:$L$2256)</f>
        <v/>
      </c>
    </row>
    <row r="13" ht="24" customHeight="1">
      <c r="A13" s="2" t="inlineStr">
        <is>
          <t>2.4 INTEGRATION WITH MOI FIELD SYSTEMS / PLATFORMS / APPS</t>
        </is>
      </c>
      <c r="B13" s="5">
        <f>COUNTIF('Compliance Matrix'!$D$4:$D$2256,$A13)</f>
        <v/>
      </c>
      <c r="C13" s="5">
        <f>COUNTIFS('Compliance Matrix'!$D$4:$D$2256,$A13,'Compliance Matrix'!$G$4:$G$2256,"C")</f>
        <v/>
      </c>
      <c r="D13" s="5">
        <f>COUNTIFS('Compliance Matrix'!$D$4:$D$2256,$A13,'Compliance Matrix'!$G$4:$G$2256,"PC")</f>
        <v/>
      </c>
      <c r="E13" s="5">
        <f>COUNTIFS('Compliance Matrix'!$D$4:$D$2256,$A13,'Compliance Matrix'!$G$4:$G$2256,"NC")</f>
        <v/>
      </c>
      <c r="F13" s="5">
        <f>COUNTIFS('Compliance Matrix'!$D$4:$D$2256,$A13,'Compliance Matrix'!$G$4:$G$2256,"N/A")</f>
        <v/>
      </c>
      <c r="G13" s="5">
        <f>B13-SUM(C13:F13)</f>
        <v/>
      </c>
      <c r="H13" s="6">
        <f>IF($B13=0,0,C13/$B13)</f>
        <v/>
      </c>
      <c r="I13" s="7">
        <f>SUMIF('Compliance Matrix'!$D$4:$D$2256,$A13,'Compliance Matrix'!$L$4:$L$2256)</f>
        <v/>
      </c>
    </row>
    <row r="14" ht="24" customHeight="1">
      <c r="A14" s="2" t="inlineStr">
        <is>
          <t>2.5 INTEGRATION WITH VIDEO MANAGEMENT SYSTEM (VMS) AND VIDEO ANALYTICS (VA)</t>
        </is>
      </c>
      <c r="B14" s="5">
        <f>COUNTIF('Compliance Matrix'!$D$4:$D$2256,$A14)</f>
        <v/>
      </c>
      <c r="C14" s="5">
        <f>COUNTIFS('Compliance Matrix'!$D$4:$D$2256,$A14,'Compliance Matrix'!$G$4:$G$2256,"C")</f>
        <v/>
      </c>
      <c r="D14" s="5">
        <f>COUNTIFS('Compliance Matrix'!$D$4:$D$2256,$A14,'Compliance Matrix'!$G$4:$G$2256,"PC")</f>
        <v/>
      </c>
      <c r="E14" s="5">
        <f>COUNTIFS('Compliance Matrix'!$D$4:$D$2256,$A14,'Compliance Matrix'!$G$4:$G$2256,"NC")</f>
        <v/>
      </c>
      <c r="F14" s="5">
        <f>COUNTIFS('Compliance Matrix'!$D$4:$D$2256,$A14,'Compliance Matrix'!$G$4:$G$2256,"N/A")</f>
        <v/>
      </c>
      <c r="G14" s="5">
        <f>B14-SUM(C14:F14)</f>
        <v/>
      </c>
      <c r="H14" s="6">
        <f>IF($B14=0,0,C14/$B14)</f>
        <v/>
      </c>
      <c r="I14" s="7">
        <f>SUMIF('Compliance Matrix'!$D$4:$D$2256,$A14,'Compliance Matrix'!$L$4:$L$2256)</f>
        <v/>
      </c>
    </row>
    <row r="15">
      <c r="A15" s="2" t="inlineStr">
        <is>
          <t>2.6 IP TELEPHONY (VoIP)</t>
        </is>
      </c>
      <c r="B15" s="5">
        <f>COUNTIF('Compliance Matrix'!$D$4:$D$2256,$A15)</f>
        <v/>
      </c>
      <c r="C15" s="5">
        <f>COUNTIFS('Compliance Matrix'!$D$4:$D$2256,$A15,'Compliance Matrix'!$G$4:$G$2256,"C")</f>
        <v/>
      </c>
      <c r="D15" s="5">
        <f>COUNTIFS('Compliance Matrix'!$D$4:$D$2256,$A15,'Compliance Matrix'!$G$4:$G$2256,"PC")</f>
        <v/>
      </c>
      <c r="E15" s="5">
        <f>COUNTIFS('Compliance Matrix'!$D$4:$D$2256,$A15,'Compliance Matrix'!$G$4:$G$2256,"NC")</f>
        <v/>
      </c>
      <c r="F15" s="5">
        <f>COUNTIFS('Compliance Matrix'!$D$4:$D$2256,$A15,'Compliance Matrix'!$G$4:$G$2256,"N/A")</f>
        <v/>
      </c>
      <c r="G15" s="5">
        <f>B15-SUM(C15:F15)</f>
        <v/>
      </c>
      <c r="H15" s="6">
        <f>IF($B15=0,0,C15/$B15)</f>
        <v/>
      </c>
      <c r="I15" s="7">
        <f>SUMIF('Compliance Matrix'!$D$4:$D$2256,$A15,'Compliance Matrix'!$L$4:$L$2256)</f>
        <v/>
      </c>
    </row>
    <row r="16">
      <c r="A16" s="2" t="inlineStr">
        <is>
          <t>2.7 PRIVATE CLOUD TECHNICAL INFRASTRUCTURE</t>
        </is>
      </c>
      <c r="B16" s="5">
        <f>COUNTIF('Compliance Matrix'!$D$4:$D$2256,$A16)</f>
        <v/>
      </c>
      <c r="C16" s="5">
        <f>COUNTIFS('Compliance Matrix'!$D$4:$D$2256,$A16,'Compliance Matrix'!$G$4:$G$2256,"C")</f>
        <v/>
      </c>
      <c r="D16" s="5">
        <f>COUNTIFS('Compliance Matrix'!$D$4:$D$2256,$A16,'Compliance Matrix'!$G$4:$G$2256,"PC")</f>
        <v/>
      </c>
      <c r="E16" s="5">
        <f>COUNTIFS('Compliance Matrix'!$D$4:$D$2256,$A16,'Compliance Matrix'!$G$4:$G$2256,"NC")</f>
        <v/>
      </c>
      <c r="F16" s="5">
        <f>COUNTIFS('Compliance Matrix'!$D$4:$D$2256,$A16,'Compliance Matrix'!$G$4:$G$2256,"N/A")</f>
        <v/>
      </c>
      <c r="G16" s="5">
        <f>B16-SUM(C16:F16)</f>
        <v/>
      </c>
      <c r="H16" s="6">
        <f>IF($B16=0,0,C16/$B16)</f>
        <v/>
      </c>
      <c r="I16" s="7">
        <f>SUMIF('Compliance Matrix'!$D$4:$D$2256,$A16,'Compliance Matrix'!$L$4:$L$2256)</f>
        <v/>
      </c>
    </row>
    <row r="17" ht="24" customHeight="1">
      <c r="A17" s="2" t="inlineStr">
        <is>
          <t>2.8 INTEGRATION WITH EXISTING VIDEO DISPLAY SYSTEMS (VDS)</t>
        </is>
      </c>
      <c r="B17" s="5">
        <f>COUNTIF('Compliance Matrix'!$D$4:$D$2256,$A17)</f>
        <v/>
      </c>
      <c r="C17" s="5">
        <f>COUNTIFS('Compliance Matrix'!$D$4:$D$2256,$A17,'Compliance Matrix'!$G$4:$G$2256,"C")</f>
        <v/>
      </c>
      <c r="D17" s="5">
        <f>COUNTIFS('Compliance Matrix'!$D$4:$D$2256,$A17,'Compliance Matrix'!$G$4:$G$2256,"PC")</f>
        <v/>
      </c>
      <c r="E17" s="5">
        <f>COUNTIFS('Compliance Matrix'!$D$4:$D$2256,$A17,'Compliance Matrix'!$G$4:$G$2256,"NC")</f>
        <v/>
      </c>
      <c r="F17" s="5">
        <f>COUNTIFS('Compliance Matrix'!$D$4:$D$2256,$A17,'Compliance Matrix'!$G$4:$G$2256,"N/A")</f>
        <v/>
      </c>
      <c r="G17" s="5">
        <f>B17-SUM(C17:F17)</f>
        <v/>
      </c>
      <c r="H17" s="6">
        <f>IF($B17=0,0,C17/$B17)</f>
        <v/>
      </c>
      <c r="I17" s="7">
        <f>SUMIF('Compliance Matrix'!$D$4:$D$2256,$A17,'Compliance Matrix'!$L$4:$L$2256)</f>
        <v/>
      </c>
    </row>
    <row r="18">
      <c r="A18" s="8" t="inlineStr">
        <is>
          <t>TOTAL</t>
        </is>
      </c>
      <c r="B18" s="9">
        <f>SUM(B4:B17)</f>
        <v/>
      </c>
      <c r="C18" s="9">
        <f>SUM(C4:C17)</f>
        <v/>
      </c>
      <c r="D18" s="9">
        <f>SUM(D4:D17)</f>
        <v/>
      </c>
      <c r="E18" s="9">
        <f>SUM(E4:E17)</f>
        <v/>
      </c>
      <c r="F18" s="9">
        <f>SUM(F4:F17)</f>
        <v/>
      </c>
      <c r="G18" s="9">
        <f>SUM(G4:G17)</f>
        <v/>
      </c>
      <c r="H18" s="10">
        <f>IF($B18=0,0,C18/$B18)</f>
        <v/>
      </c>
      <c r="I18" s="11">
        <f>SUM(I4:I17)</f>
        <v/>
      </c>
    </row>
    <row r="20">
      <c r="A20" s="12" t="inlineStr">
        <is>
          <t>Counts update automatically as the vendor fills column G of the Compliance Matrix.</t>
        </is>
      </c>
    </row>
  </sheetData>
  <pageMargins left="0.75" right="0.75" top="1" bottom="1" header="0.511811023622047" footer="0.511811023622047"/>
  <pageSetup orientation="portrait" paperSize="9" horizontalDpi="300" verticalDpi="300"/>
  <headerFooter>
    <oddHeader>&amp;L&amp;"Aptos"&amp;1 &amp;K317100 This message/document has been classified as “Public”         #_x000d_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2026-08-09T15:29:12Z</dcterms:created>
  <dcterms:modified xmlns:dcterms="http://purl.org/dc/terms/" xmlns:xsi="http://www.w3.org/2001/XMLSchema-instance" xsi:type="dcterms:W3CDTF">2026-08-31T18:18:27Z</dcterms:modified>
  <cp:lastModifiedBy>Bashir Mohamed Ali</cp:lastModifiedBy>
  <cp:revision>0</cp:revision>
</cp:coreProperties>
</file>